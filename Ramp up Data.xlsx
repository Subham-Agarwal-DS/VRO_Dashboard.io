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ts.accenture.com/sites/VertexOTCModernizationWorkdaySFDC-GCC2/Shared Documents/GCC - Private/24. Phase 3 - BOT RUN/Assetized Dashboard/"/>
    </mc:Choice>
  </mc:AlternateContent>
  <xr:revisionPtr revIDLastSave="885" documentId="13_ncr:1_{3C4E0CEB-076A-47C8-B37B-29D660CEC48C}" xr6:coauthVersionLast="47" xr6:coauthVersionMax="47" xr10:uidLastSave="{211436F8-F941-4E30-A07E-776B932A7999}"/>
  <bookViews>
    <workbookView xWindow="-110" yWindow="-110" windowWidth="19420" windowHeight="11500" firstSheet="1" activeTab="6" xr2:uid="{00000000-000D-0000-FFFF-FFFF00000000}"/>
  </bookViews>
  <sheets>
    <sheet name="Summary" sheetId="1" r:id="rId1"/>
    <sheet name="Raw Data" sheetId="2" r:id="rId2"/>
    <sheet name="Raw Data Final" sheetId="4" r:id="rId3"/>
    <sheet name="Roles" sheetId="5" r:id="rId4"/>
    <sheet name="Teams" sheetId="6" r:id="rId5"/>
    <sheet name="Streams" sheetId="7" r:id="rId6"/>
    <sheet name="Planned Demand" sheetId="8" r:id="rId7"/>
    <sheet name="Talent Data" sheetId="9" r:id="rId8"/>
    <sheet name="Top Skills" sheetId="18" r:id="rId9"/>
    <sheet name="Health" sheetId="12" r:id="rId10"/>
    <sheet name="Program Data" sheetId="10" r:id="rId11"/>
    <sheet name="Program Deep Dive" sheetId="17" r:id="rId12"/>
    <sheet name="Financial Forecast" sheetId="14" r:id="rId13"/>
    <sheet name="Fixed Spend" sheetId="19" r:id="rId14"/>
    <sheet name="Rolewise - RateCard" sheetId="13" r:id="rId15"/>
    <sheet name="PM Dash" sheetId="16" r:id="rId16"/>
    <sheet name="Theme Plan#" sheetId="15" r:id="rId17"/>
  </sheets>
  <definedNames>
    <definedName name="_xlnm._FilterDatabase" localSheetId="12" hidden="1">'Financial Forecast'!$A$1:$I$579</definedName>
    <definedName name="_xlnm._FilterDatabase" localSheetId="6" hidden="1">'Planned Demand'!$A$1:$G$1201</definedName>
    <definedName name="_xlnm._FilterDatabase" localSheetId="15" hidden="1">'PM Dash'!$A$1:$K$10</definedName>
    <definedName name="_xlnm._FilterDatabase" localSheetId="11" hidden="1">'Program Deep Dive'!$A$1:$H$312</definedName>
    <definedName name="_xlnm._FilterDatabase" localSheetId="2" hidden="1">'Raw Data Final'!$A$1:$K$301</definedName>
    <definedName name="_xlnm._FilterDatabase" localSheetId="14" hidden="1">'Rolewise - RateCard'!$A$1:$B$196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4" l="1"/>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2" i="14"/>
  <c r="G7" i="19"/>
  <c r="G6" i="19"/>
  <c r="G5" i="19"/>
  <c r="G4" i="19"/>
  <c r="G3" i="19"/>
  <c r="G2" i="19"/>
  <c r="E2" i="19"/>
  <c r="D2" i="19"/>
  <c r="E4" i="19"/>
  <c r="E5" i="19"/>
  <c r="E6" i="19"/>
  <c r="E7" i="19"/>
  <c r="E8" i="19"/>
  <c r="E9" i="19"/>
  <c r="E10" i="19"/>
  <c r="E11" i="19"/>
  <c r="E12" i="19"/>
  <c r="E13" i="19"/>
  <c r="E14" i="19"/>
  <c r="E15" i="19"/>
  <c r="E16" i="19"/>
  <c r="E17" i="19"/>
  <c r="E18" i="19"/>
  <c r="E19" i="19"/>
  <c r="E3" i="19"/>
  <c r="D19" i="19"/>
  <c r="D18" i="19"/>
  <c r="D17" i="19"/>
  <c r="D16" i="19"/>
  <c r="D15" i="19"/>
  <c r="D14" i="19"/>
  <c r="D13" i="19"/>
  <c r="D12" i="19"/>
  <c r="D11" i="19"/>
  <c r="D10" i="19"/>
  <c r="D9" i="19"/>
  <c r="D8" i="19"/>
  <c r="D7" i="19"/>
  <c r="D6" i="19"/>
  <c r="D5" i="19"/>
  <c r="D4" i="19"/>
  <c r="D3" i="19"/>
  <c r="L8" i="12" l="1"/>
  <c r="L6" i="12"/>
  <c r="L5" i="12"/>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2" i="14"/>
  <c r="J3" i="14"/>
  <c r="J290" i="14"/>
  <c r="D3" i="16" l="1"/>
  <c r="D4" i="16"/>
  <c r="D5" i="16"/>
  <c r="D6" i="16"/>
  <c r="D7" i="16"/>
  <c r="D8" i="16"/>
  <c r="D9" i="16"/>
  <c r="D10" i="16"/>
  <c r="D2" i="16"/>
  <c r="B17" i="9"/>
  <c r="D17" i="9" s="1"/>
  <c r="B16" i="9"/>
  <c r="D16" i="9" s="1"/>
  <c r="B15" i="9"/>
  <c r="D15" i="9" s="1"/>
  <c r="B14" i="9"/>
  <c r="D14" i="9" s="1"/>
  <c r="B13" i="9"/>
  <c r="D13" i="9" s="1"/>
  <c r="B12" i="9"/>
  <c r="D12" i="9" s="1"/>
  <c r="B11" i="9"/>
  <c r="D11" i="9" s="1"/>
  <c r="B10" i="9"/>
  <c r="D10" i="9" s="1"/>
  <c r="B9" i="9"/>
  <c r="D9" i="9" s="1"/>
  <c r="B8" i="9"/>
  <c r="D8" i="9" s="1"/>
  <c r="B7" i="9"/>
  <c r="D7" i="9" s="1"/>
  <c r="B6" i="9"/>
  <c r="D6" i="9" s="1"/>
  <c r="F3" i="10" l="1"/>
  <c r="F4" i="10"/>
  <c r="F5" i="10"/>
  <c r="F6" i="10"/>
  <c r="F7" i="10"/>
  <c r="F8" i="10"/>
  <c r="F2" i="10"/>
  <c r="D3" i="10"/>
  <c r="C3" i="10" s="1"/>
  <c r="D4" i="10"/>
  <c r="C4" i="10" s="1"/>
  <c r="D5" i="10"/>
  <c r="C5" i="10" s="1"/>
  <c r="D6" i="10"/>
  <c r="C6" i="10" s="1"/>
  <c r="D7" i="10"/>
  <c r="C7" i="10" s="1"/>
  <c r="D8" i="10"/>
  <c r="C8" i="10" s="1"/>
  <c r="D2" i="10"/>
  <c r="E2" i="10" s="1"/>
  <c r="B3" i="10"/>
  <c r="B4" i="10"/>
  <c r="B5" i="10"/>
  <c r="B6" i="10"/>
  <c r="B7" i="10"/>
  <c r="B8" i="10"/>
  <c r="B2" i="10"/>
  <c r="J10" i="16"/>
  <c r="J9" i="16"/>
  <c r="J8" i="16"/>
  <c r="J7" i="16"/>
  <c r="J6" i="16"/>
  <c r="J5" i="16"/>
  <c r="J4" i="16"/>
  <c r="I3" i="16"/>
  <c r="J3" i="16" s="1"/>
  <c r="J2" i="16"/>
  <c r="E5" i="10" l="1"/>
  <c r="E4" i="10"/>
  <c r="E3" i="10"/>
  <c r="E7" i="10"/>
  <c r="E8" i="10"/>
  <c r="E6" i="10"/>
  <c r="C2" i="10"/>
  <c r="H3" i="8" l="1"/>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2" i="8"/>
  <c r="K8" i="12"/>
  <c r="K6" i="12"/>
  <c r="K5" i="12"/>
  <c r="B3" i="9"/>
  <c r="D3" i="9" s="1"/>
  <c r="B4" i="9"/>
  <c r="D4" i="9" s="1"/>
  <c r="B5" i="9"/>
  <c r="D5" i="9" s="1"/>
  <c r="B2" i="9"/>
  <c r="D2" i="9" s="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2" i="8"/>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2"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 i="4"/>
  <c r="J2" i="4"/>
  <c r="D3" i="4"/>
  <c r="E3" i="4"/>
  <c r="F3" i="4"/>
  <c r="G3" i="4"/>
  <c r="H3" i="4"/>
  <c r="I3" i="4"/>
  <c r="D4" i="4"/>
  <c r="E4" i="4"/>
  <c r="F4" i="4"/>
  <c r="G4" i="4"/>
  <c r="H4" i="4"/>
  <c r="I4" i="4"/>
  <c r="D5" i="4"/>
  <c r="E5" i="4"/>
  <c r="F5" i="4"/>
  <c r="G5" i="4"/>
  <c r="H5" i="4"/>
  <c r="I5" i="4"/>
  <c r="D6" i="4"/>
  <c r="E6" i="4"/>
  <c r="F6" i="4"/>
  <c r="G6" i="4"/>
  <c r="H6" i="4"/>
  <c r="I6" i="4"/>
  <c r="D7" i="4"/>
  <c r="E7" i="4"/>
  <c r="F7" i="4"/>
  <c r="G7" i="4"/>
  <c r="H7" i="4"/>
  <c r="I7" i="4"/>
  <c r="D8" i="4"/>
  <c r="E8" i="4"/>
  <c r="F8" i="4"/>
  <c r="G8" i="4"/>
  <c r="H8" i="4"/>
  <c r="I8" i="4"/>
  <c r="D9" i="4"/>
  <c r="E9" i="4"/>
  <c r="F9" i="4"/>
  <c r="G9" i="4"/>
  <c r="H9" i="4"/>
  <c r="I9" i="4"/>
  <c r="D10" i="4"/>
  <c r="E10" i="4"/>
  <c r="F10" i="4"/>
  <c r="G10" i="4"/>
  <c r="H10" i="4"/>
  <c r="I10" i="4"/>
  <c r="D11" i="4"/>
  <c r="E11" i="4"/>
  <c r="F11" i="4"/>
  <c r="G11" i="4"/>
  <c r="H11" i="4"/>
  <c r="I11" i="4"/>
  <c r="D12" i="4"/>
  <c r="E12" i="4"/>
  <c r="F12" i="4"/>
  <c r="G12" i="4"/>
  <c r="H12" i="4"/>
  <c r="I12" i="4"/>
  <c r="D13" i="4"/>
  <c r="E13" i="4"/>
  <c r="F13" i="4"/>
  <c r="G13" i="4"/>
  <c r="H13" i="4"/>
  <c r="I13" i="4"/>
  <c r="D14" i="4"/>
  <c r="E14" i="4"/>
  <c r="F14" i="4"/>
  <c r="G14" i="4"/>
  <c r="H14" i="4"/>
  <c r="I14" i="4"/>
  <c r="D15" i="4"/>
  <c r="E15" i="4"/>
  <c r="F15" i="4"/>
  <c r="G15" i="4"/>
  <c r="H15" i="4"/>
  <c r="I15" i="4"/>
  <c r="D16" i="4"/>
  <c r="E16" i="4"/>
  <c r="F16" i="4"/>
  <c r="G16" i="4"/>
  <c r="H16" i="4"/>
  <c r="I16" i="4"/>
  <c r="D17" i="4"/>
  <c r="E17" i="4"/>
  <c r="F17" i="4"/>
  <c r="G17" i="4"/>
  <c r="H17" i="4"/>
  <c r="I17" i="4"/>
  <c r="D18" i="4"/>
  <c r="E18" i="4"/>
  <c r="F18" i="4"/>
  <c r="G18" i="4"/>
  <c r="H18" i="4"/>
  <c r="I18" i="4"/>
  <c r="D19" i="4"/>
  <c r="E19" i="4"/>
  <c r="F19" i="4"/>
  <c r="G19" i="4"/>
  <c r="H19" i="4"/>
  <c r="I19" i="4"/>
  <c r="D20" i="4"/>
  <c r="E20" i="4"/>
  <c r="F20" i="4"/>
  <c r="G20" i="4"/>
  <c r="H20" i="4"/>
  <c r="I20" i="4"/>
  <c r="D21" i="4"/>
  <c r="E21" i="4"/>
  <c r="F21" i="4"/>
  <c r="G21" i="4"/>
  <c r="H21" i="4"/>
  <c r="I21" i="4"/>
  <c r="D22" i="4"/>
  <c r="E22" i="4"/>
  <c r="F22" i="4"/>
  <c r="G22" i="4"/>
  <c r="H22" i="4"/>
  <c r="I22" i="4"/>
  <c r="D23" i="4"/>
  <c r="E23" i="4"/>
  <c r="F23" i="4"/>
  <c r="G23" i="4"/>
  <c r="H23" i="4"/>
  <c r="I23" i="4"/>
  <c r="D24" i="4"/>
  <c r="E24" i="4"/>
  <c r="F24" i="4"/>
  <c r="G24" i="4"/>
  <c r="H24" i="4"/>
  <c r="I24" i="4"/>
  <c r="D25" i="4"/>
  <c r="E25" i="4"/>
  <c r="F25" i="4"/>
  <c r="G25" i="4"/>
  <c r="H25" i="4"/>
  <c r="I25" i="4"/>
  <c r="D26" i="4"/>
  <c r="E26" i="4"/>
  <c r="F26" i="4"/>
  <c r="G26" i="4"/>
  <c r="H26" i="4"/>
  <c r="I26" i="4"/>
  <c r="D27" i="4"/>
  <c r="E27" i="4"/>
  <c r="F27" i="4"/>
  <c r="G27" i="4"/>
  <c r="H27" i="4"/>
  <c r="I27" i="4"/>
  <c r="D28" i="4"/>
  <c r="E28" i="4"/>
  <c r="F28" i="4"/>
  <c r="G28" i="4"/>
  <c r="H28" i="4"/>
  <c r="I28" i="4"/>
  <c r="D29" i="4"/>
  <c r="E29" i="4"/>
  <c r="F29" i="4"/>
  <c r="G29" i="4"/>
  <c r="H29" i="4"/>
  <c r="I29" i="4"/>
  <c r="D30" i="4"/>
  <c r="E30" i="4"/>
  <c r="F30" i="4"/>
  <c r="G30" i="4"/>
  <c r="H30" i="4"/>
  <c r="I30" i="4"/>
  <c r="D31" i="4"/>
  <c r="E31" i="4"/>
  <c r="F31" i="4"/>
  <c r="G31" i="4"/>
  <c r="H31" i="4"/>
  <c r="I31" i="4"/>
  <c r="D32" i="4"/>
  <c r="E32" i="4"/>
  <c r="F32" i="4"/>
  <c r="G32" i="4"/>
  <c r="H32" i="4"/>
  <c r="I32" i="4"/>
  <c r="D33" i="4"/>
  <c r="E33" i="4"/>
  <c r="F33" i="4"/>
  <c r="G33" i="4"/>
  <c r="H33" i="4"/>
  <c r="I33" i="4"/>
  <c r="D34" i="4"/>
  <c r="E34" i="4"/>
  <c r="F34" i="4"/>
  <c r="G34" i="4"/>
  <c r="H34" i="4"/>
  <c r="I34" i="4"/>
  <c r="D35" i="4"/>
  <c r="E35" i="4"/>
  <c r="F35" i="4"/>
  <c r="G35" i="4"/>
  <c r="H35" i="4"/>
  <c r="I35" i="4"/>
  <c r="D36" i="4"/>
  <c r="E36" i="4"/>
  <c r="F36" i="4"/>
  <c r="G36" i="4"/>
  <c r="H36" i="4"/>
  <c r="I36" i="4"/>
  <c r="D37" i="4"/>
  <c r="E37" i="4"/>
  <c r="F37" i="4"/>
  <c r="G37" i="4"/>
  <c r="H37" i="4"/>
  <c r="I37" i="4"/>
  <c r="D38" i="4"/>
  <c r="E38" i="4"/>
  <c r="F38" i="4"/>
  <c r="G38" i="4"/>
  <c r="H38" i="4"/>
  <c r="I38" i="4"/>
  <c r="D39" i="4"/>
  <c r="E39" i="4"/>
  <c r="F39" i="4"/>
  <c r="G39" i="4"/>
  <c r="H39" i="4"/>
  <c r="I39" i="4"/>
  <c r="D40" i="4"/>
  <c r="E40" i="4"/>
  <c r="F40" i="4"/>
  <c r="G40" i="4"/>
  <c r="H40" i="4"/>
  <c r="I40" i="4"/>
  <c r="D41" i="4"/>
  <c r="E41" i="4"/>
  <c r="F41" i="4"/>
  <c r="G41" i="4"/>
  <c r="H41" i="4"/>
  <c r="I41" i="4"/>
  <c r="D42" i="4"/>
  <c r="E42" i="4"/>
  <c r="F42" i="4"/>
  <c r="G42" i="4"/>
  <c r="H42" i="4"/>
  <c r="I42" i="4"/>
  <c r="D43" i="4"/>
  <c r="E43" i="4"/>
  <c r="F43" i="4"/>
  <c r="G43" i="4"/>
  <c r="H43" i="4"/>
  <c r="I43" i="4"/>
  <c r="D44" i="4"/>
  <c r="E44" i="4"/>
  <c r="F44" i="4"/>
  <c r="G44" i="4"/>
  <c r="H44" i="4"/>
  <c r="I44" i="4"/>
  <c r="D45" i="4"/>
  <c r="E45" i="4"/>
  <c r="F45" i="4"/>
  <c r="G45" i="4"/>
  <c r="H45" i="4"/>
  <c r="I45" i="4"/>
  <c r="D46" i="4"/>
  <c r="E46" i="4"/>
  <c r="F46" i="4"/>
  <c r="G46" i="4"/>
  <c r="H46" i="4"/>
  <c r="I46" i="4"/>
  <c r="D47" i="4"/>
  <c r="E47" i="4"/>
  <c r="F47" i="4"/>
  <c r="G47" i="4"/>
  <c r="H47" i="4"/>
  <c r="I47" i="4"/>
  <c r="D48" i="4"/>
  <c r="E48" i="4"/>
  <c r="F48" i="4"/>
  <c r="G48" i="4"/>
  <c r="H48" i="4"/>
  <c r="I48" i="4"/>
  <c r="D49" i="4"/>
  <c r="E49" i="4"/>
  <c r="F49" i="4"/>
  <c r="G49" i="4"/>
  <c r="H49" i="4"/>
  <c r="I49" i="4"/>
  <c r="D50" i="4"/>
  <c r="E50" i="4"/>
  <c r="F50" i="4"/>
  <c r="G50" i="4"/>
  <c r="H50" i="4"/>
  <c r="I50" i="4"/>
  <c r="D51" i="4"/>
  <c r="E51" i="4"/>
  <c r="F51" i="4"/>
  <c r="G51" i="4"/>
  <c r="H51" i="4"/>
  <c r="I51" i="4"/>
  <c r="D52" i="4"/>
  <c r="E52" i="4"/>
  <c r="F52" i="4"/>
  <c r="G52" i="4"/>
  <c r="H52" i="4"/>
  <c r="I52" i="4"/>
  <c r="D53" i="4"/>
  <c r="E53" i="4"/>
  <c r="F53" i="4"/>
  <c r="G53" i="4"/>
  <c r="H53" i="4"/>
  <c r="I53" i="4"/>
  <c r="D54" i="4"/>
  <c r="E54" i="4"/>
  <c r="F54" i="4"/>
  <c r="G54" i="4"/>
  <c r="H54" i="4"/>
  <c r="I54" i="4"/>
  <c r="D55" i="4"/>
  <c r="E55" i="4"/>
  <c r="F55" i="4"/>
  <c r="G55" i="4"/>
  <c r="H55" i="4"/>
  <c r="I55" i="4"/>
  <c r="D56" i="4"/>
  <c r="E56" i="4"/>
  <c r="F56" i="4"/>
  <c r="G56" i="4"/>
  <c r="H56" i="4"/>
  <c r="I56" i="4"/>
  <c r="D57" i="4"/>
  <c r="E57" i="4"/>
  <c r="F57" i="4"/>
  <c r="G57" i="4"/>
  <c r="H57" i="4"/>
  <c r="I57" i="4"/>
  <c r="D58" i="4"/>
  <c r="E58" i="4"/>
  <c r="F58" i="4"/>
  <c r="G58" i="4"/>
  <c r="H58" i="4"/>
  <c r="I58" i="4"/>
  <c r="D59" i="4"/>
  <c r="E59" i="4"/>
  <c r="F59" i="4"/>
  <c r="G59" i="4"/>
  <c r="H59" i="4"/>
  <c r="I59" i="4"/>
  <c r="D60" i="4"/>
  <c r="E60" i="4"/>
  <c r="F60" i="4"/>
  <c r="G60" i="4"/>
  <c r="H60" i="4"/>
  <c r="I60" i="4"/>
  <c r="D61" i="4"/>
  <c r="E61" i="4"/>
  <c r="F61" i="4"/>
  <c r="G61" i="4"/>
  <c r="H61" i="4"/>
  <c r="I61" i="4"/>
  <c r="D62" i="4"/>
  <c r="E62" i="4"/>
  <c r="F62" i="4"/>
  <c r="G62" i="4"/>
  <c r="H62" i="4"/>
  <c r="I62" i="4"/>
  <c r="D63" i="4"/>
  <c r="E63" i="4"/>
  <c r="F63" i="4"/>
  <c r="G63" i="4"/>
  <c r="H63" i="4"/>
  <c r="I63" i="4"/>
  <c r="D64" i="4"/>
  <c r="E64" i="4"/>
  <c r="F64" i="4"/>
  <c r="G64" i="4"/>
  <c r="H64" i="4"/>
  <c r="I64" i="4"/>
  <c r="D65" i="4"/>
  <c r="E65" i="4"/>
  <c r="F65" i="4"/>
  <c r="G65" i="4"/>
  <c r="H65" i="4"/>
  <c r="I65" i="4"/>
  <c r="D66" i="4"/>
  <c r="E66" i="4"/>
  <c r="F66" i="4"/>
  <c r="G66" i="4"/>
  <c r="H66" i="4"/>
  <c r="I66" i="4"/>
  <c r="D67" i="4"/>
  <c r="E67" i="4"/>
  <c r="F67" i="4"/>
  <c r="G67" i="4"/>
  <c r="H67" i="4"/>
  <c r="I67" i="4"/>
  <c r="D68" i="4"/>
  <c r="E68" i="4"/>
  <c r="F68" i="4"/>
  <c r="G68" i="4"/>
  <c r="H68" i="4"/>
  <c r="I68" i="4"/>
  <c r="D69" i="4"/>
  <c r="E69" i="4"/>
  <c r="F69" i="4"/>
  <c r="G69" i="4"/>
  <c r="H69" i="4"/>
  <c r="I69" i="4"/>
  <c r="D70" i="4"/>
  <c r="E70" i="4"/>
  <c r="F70" i="4"/>
  <c r="G70" i="4"/>
  <c r="H70" i="4"/>
  <c r="I70" i="4"/>
  <c r="D71" i="4"/>
  <c r="E71" i="4"/>
  <c r="F71" i="4"/>
  <c r="G71" i="4"/>
  <c r="H71" i="4"/>
  <c r="I71" i="4"/>
  <c r="D72" i="4"/>
  <c r="E72" i="4"/>
  <c r="F72" i="4"/>
  <c r="G72" i="4"/>
  <c r="H72" i="4"/>
  <c r="I72" i="4"/>
  <c r="D73" i="4"/>
  <c r="E73" i="4"/>
  <c r="F73" i="4"/>
  <c r="G73" i="4"/>
  <c r="H73" i="4"/>
  <c r="I73" i="4"/>
  <c r="D74" i="4"/>
  <c r="E74" i="4"/>
  <c r="F74" i="4"/>
  <c r="G74" i="4"/>
  <c r="H74" i="4"/>
  <c r="I74" i="4"/>
  <c r="D75" i="4"/>
  <c r="E75" i="4"/>
  <c r="F75" i="4"/>
  <c r="G75" i="4"/>
  <c r="H75" i="4"/>
  <c r="I75" i="4"/>
  <c r="D76" i="4"/>
  <c r="E76" i="4"/>
  <c r="F76" i="4"/>
  <c r="G76" i="4"/>
  <c r="H76" i="4"/>
  <c r="I76" i="4"/>
  <c r="D77" i="4"/>
  <c r="E77" i="4"/>
  <c r="F77" i="4"/>
  <c r="G77" i="4"/>
  <c r="H77" i="4"/>
  <c r="I77" i="4"/>
  <c r="D78" i="4"/>
  <c r="E78" i="4"/>
  <c r="F78" i="4"/>
  <c r="G78" i="4"/>
  <c r="H78" i="4"/>
  <c r="I78" i="4"/>
  <c r="D79" i="4"/>
  <c r="E79" i="4"/>
  <c r="F79" i="4"/>
  <c r="G79" i="4"/>
  <c r="H79" i="4"/>
  <c r="I79" i="4"/>
  <c r="D80" i="4"/>
  <c r="E80" i="4"/>
  <c r="F80" i="4"/>
  <c r="G80" i="4"/>
  <c r="H80" i="4"/>
  <c r="I80" i="4"/>
  <c r="D81" i="4"/>
  <c r="E81" i="4"/>
  <c r="F81" i="4"/>
  <c r="G81" i="4"/>
  <c r="H81" i="4"/>
  <c r="I81" i="4"/>
  <c r="D82" i="4"/>
  <c r="E82" i="4"/>
  <c r="F82" i="4"/>
  <c r="G82" i="4"/>
  <c r="H82" i="4"/>
  <c r="I82" i="4"/>
  <c r="D83" i="4"/>
  <c r="E83" i="4"/>
  <c r="F83" i="4"/>
  <c r="G83" i="4"/>
  <c r="H83" i="4"/>
  <c r="I83" i="4"/>
  <c r="D84" i="4"/>
  <c r="E84" i="4"/>
  <c r="F84" i="4"/>
  <c r="G84" i="4"/>
  <c r="H84" i="4"/>
  <c r="I84" i="4"/>
  <c r="D85" i="4"/>
  <c r="E85" i="4"/>
  <c r="F85" i="4"/>
  <c r="G85" i="4"/>
  <c r="H85" i="4"/>
  <c r="I85" i="4"/>
  <c r="D86" i="4"/>
  <c r="E86" i="4"/>
  <c r="F86" i="4"/>
  <c r="G86" i="4"/>
  <c r="H86" i="4"/>
  <c r="I86" i="4"/>
  <c r="D87" i="4"/>
  <c r="E87" i="4"/>
  <c r="F87" i="4"/>
  <c r="G87" i="4"/>
  <c r="H87" i="4"/>
  <c r="I87" i="4"/>
  <c r="D88" i="4"/>
  <c r="E88" i="4"/>
  <c r="F88" i="4"/>
  <c r="G88" i="4"/>
  <c r="H88" i="4"/>
  <c r="I88" i="4"/>
  <c r="D89" i="4"/>
  <c r="E89" i="4"/>
  <c r="F89" i="4"/>
  <c r="G89" i="4"/>
  <c r="H89" i="4"/>
  <c r="I89" i="4"/>
  <c r="D90" i="4"/>
  <c r="E90" i="4"/>
  <c r="F90" i="4"/>
  <c r="G90" i="4"/>
  <c r="H90" i="4"/>
  <c r="I90" i="4"/>
  <c r="D91" i="4"/>
  <c r="E91" i="4"/>
  <c r="F91" i="4"/>
  <c r="G91" i="4"/>
  <c r="H91" i="4"/>
  <c r="I91" i="4"/>
  <c r="D92" i="4"/>
  <c r="E92" i="4"/>
  <c r="F92" i="4"/>
  <c r="G92" i="4"/>
  <c r="H92" i="4"/>
  <c r="I92" i="4"/>
  <c r="D93" i="4"/>
  <c r="E93" i="4"/>
  <c r="F93" i="4"/>
  <c r="G93" i="4"/>
  <c r="H93" i="4"/>
  <c r="I93" i="4"/>
  <c r="D94" i="4"/>
  <c r="E94" i="4"/>
  <c r="F94" i="4"/>
  <c r="G94" i="4"/>
  <c r="H94" i="4"/>
  <c r="I94" i="4"/>
  <c r="D95" i="4"/>
  <c r="E95" i="4"/>
  <c r="F95" i="4"/>
  <c r="G95" i="4"/>
  <c r="H95" i="4"/>
  <c r="I95" i="4"/>
  <c r="D96" i="4"/>
  <c r="E96" i="4"/>
  <c r="F96" i="4"/>
  <c r="G96" i="4"/>
  <c r="H96" i="4"/>
  <c r="I96" i="4"/>
  <c r="D97" i="4"/>
  <c r="E97" i="4"/>
  <c r="F97" i="4"/>
  <c r="G97" i="4"/>
  <c r="H97" i="4"/>
  <c r="I97" i="4"/>
  <c r="D98" i="4"/>
  <c r="E98" i="4"/>
  <c r="F98" i="4"/>
  <c r="G98" i="4"/>
  <c r="H98" i="4"/>
  <c r="I98" i="4"/>
  <c r="D99" i="4"/>
  <c r="E99" i="4"/>
  <c r="F99" i="4"/>
  <c r="G99" i="4"/>
  <c r="H99" i="4"/>
  <c r="I99" i="4"/>
  <c r="D100" i="4"/>
  <c r="E100" i="4"/>
  <c r="F100" i="4"/>
  <c r="G100" i="4"/>
  <c r="H100" i="4"/>
  <c r="I100" i="4"/>
  <c r="D101" i="4"/>
  <c r="E101" i="4"/>
  <c r="F101" i="4"/>
  <c r="G101" i="4"/>
  <c r="H101" i="4"/>
  <c r="I101" i="4"/>
  <c r="D102" i="4"/>
  <c r="E102" i="4"/>
  <c r="F102" i="4"/>
  <c r="G102" i="4"/>
  <c r="H102" i="4"/>
  <c r="I102" i="4"/>
  <c r="D103" i="4"/>
  <c r="E103" i="4"/>
  <c r="F103" i="4"/>
  <c r="G103" i="4"/>
  <c r="H103" i="4"/>
  <c r="I103" i="4"/>
  <c r="D104" i="4"/>
  <c r="E104" i="4"/>
  <c r="F104" i="4"/>
  <c r="G104" i="4"/>
  <c r="H104" i="4"/>
  <c r="I104" i="4"/>
  <c r="D105" i="4"/>
  <c r="E105" i="4"/>
  <c r="F105" i="4"/>
  <c r="G105" i="4"/>
  <c r="H105" i="4"/>
  <c r="I105" i="4"/>
  <c r="D106" i="4"/>
  <c r="E106" i="4"/>
  <c r="F106" i="4"/>
  <c r="G106" i="4"/>
  <c r="H106" i="4"/>
  <c r="I106" i="4"/>
  <c r="D107" i="4"/>
  <c r="E107" i="4"/>
  <c r="F107" i="4"/>
  <c r="G107" i="4"/>
  <c r="H107" i="4"/>
  <c r="I107" i="4"/>
  <c r="D108" i="4"/>
  <c r="E108" i="4"/>
  <c r="F108" i="4"/>
  <c r="G108" i="4"/>
  <c r="H108" i="4"/>
  <c r="I108" i="4"/>
  <c r="D109" i="4"/>
  <c r="E109" i="4"/>
  <c r="F109" i="4"/>
  <c r="G109" i="4"/>
  <c r="H109" i="4"/>
  <c r="I109" i="4"/>
  <c r="D110" i="4"/>
  <c r="E110" i="4"/>
  <c r="F110" i="4"/>
  <c r="G110" i="4"/>
  <c r="H110" i="4"/>
  <c r="I110" i="4"/>
  <c r="D111" i="4"/>
  <c r="E111" i="4"/>
  <c r="F111" i="4"/>
  <c r="G111" i="4"/>
  <c r="H111" i="4"/>
  <c r="I111" i="4"/>
  <c r="D112" i="4"/>
  <c r="E112" i="4"/>
  <c r="F112" i="4"/>
  <c r="G112" i="4"/>
  <c r="H112" i="4"/>
  <c r="I112" i="4"/>
  <c r="D113" i="4"/>
  <c r="E113" i="4"/>
  <c r="F113" i="4"/>
  <c r="G113" i="4"/>
  <c r="H113" i="4"/>
  <c r="I113" i="4"/>
  <c r="D114" i="4"/>
  <c r="E114" i="4"/>
  <c r="F114" i="4"/>
  <c r="G114" i="4"/>
  <c r="H114" i="4"/>
  <c r="I114" i="4"/>
  <c r="D115" i="4"/>
  <c r="E115" i="4"/>
  <c r="F115" i="4"/>
  <c r="G115" i="4"/>
  <c r="H115" i="4"/>
  <c r="I115" i="4"/>
  <c r="D116" i="4"/>
  <c r="E116" i="4"/>
  <c r="F116" i="4"/>
  <c r="G116" i="4"/>
  <c r="H116" i="4"/>
  <c r="I116" i="4"/>
  <c r="D117" i="4"/>
  <c r="E117" i="4"/>
  <c r="F117" i="4"/>
  <c r="G117" i="4"/>
  <c r="H117" i="4"/>
  <c r="I117" i="4"/>
  <c r="D118" i="4"/>
  <c r="E118" i="4"/>
  <c r="F118" i="4"/>
  <c r="G118" i="4"/>
  <c r="H118" i="4"/>
  <c r="I118" i="4"/>
  <c r="D119" i="4"/>
  <c r="E119" i="4"/>
  <c r="F119" i="4"/>
  <c r="G119" i="4"/>
  <c r="H119" i="4"/>
  <c r="I119" i="4"/>
  <c r="D120" i="4"/>
  <c r="E120" i="4"/>
  <c r="F120" i="4"/>
  <c r="G120" i="4"/>
  <c r="H120" i="4"/>
  <c r="I120" i="4"/>
  <c r="D121" i="4"/>
  <c r="E121" i="4"/>
  <c r="F121" i="4"/>
  <c r="G121" i="4"/>
  <c r="H121" i="4"/>
  <c r="I121" i="4"/>
  <c r="D122" i="4"/>
  <c r="E122" i="4"/>
  <c r="F122" i="4"/>
  <c r="G122" i="4"/>
  <c r="H122" i="4"/>
  <c r="I122" i="4"/>
  <c r="D123" i="4"/>
  <c r="E123" i="4"/>
  <c r="F123" i="4"/>
  <c r="G123" i="4"/>
  <c r="H123" i="4"/>
  <c r="I123" i="4"/>
  <c r="D124" i="4"/>
  <c r="E124" i="4"/>
  <c r="F124" i="4"/>
  <c r="G124" i="4"/>
  <c r="H124" i="4"/>
  <c r="I124" i="4"/>
  <c r="D125" i="4"/>
  <c r="E125" i="4"/>
  <c r="F125" i="4"/>
  <c r="G125" i="4"/>
  <c r="H125" i="4"/>
  <c r="I125" i="4"/>
  <c r="D126" i="4"/>
  <c r="E126" i="4"/>
  <c r="F126" i="4"/>
  <c r="G126" i="4"/>
  <c r="H126" i="4"/>
  <c r="I126" i="4"/>
  <c r="D127" i="4"/>
  <c r="E127" i="4"/>
  <c r="F127" i="4"/>
  <c r="G127" i="4"/>
  <c r="H127" i="4"/>
  <c r="I127" i="4"/>
  <c r="D128" i="4"/>
  <c r="E128" i="4"/>
  <c r="F128" i="4"/>
  <c r="G128" i="4"/>
  <c r="H128" i="4"/>
  <c r="I128" i="4"/>
  <c r="D129" i="4"/>
  <c r="E129" i="4"/>
  <c r="F129" i="4"/>
  <c r="G129" i="4"/>
  <c r="H129" i="4"/>
  <c r="I129" i="4"/>
  <c r="D130" i="4"/>
  <c r="E130" i="4"/>
  <c r="F130" i="4"/>
  <c r="G130" i="4"/>
  <c r="H130" i="4"/>
  <c r="I130" i="4"/>
  <c r="D131" i="4"/>
  <c r="E131" i="4"/>
  <c r="F131" i="4"/>
  <c r="G131" i="4"/>
  <c r="H131" i="4"/>
  <c r="I131" i="4"/>
  <c r="D132" i="4"/>
  <c r="E132" i="4"/>
  <c r="F132" i="4"/>
  <c r="G132" i="4"/>
  <c r="H132" i="4"/>
  <c r="I132" i="4"/>
  <c r="D133" i="4"/>
  <c r="E133" i="4"/>
  <c r="F133" i="4"/>
  <c r="G133" i="4"/>
  <c r="H133" i="4"/>
  <c r="I133" i="4"/>
  <c r="D134" i="4"/>
  <c r="E134" i="4"/>
  <c r="F134" i="4"/>
  <c r="G134" i="4"/>
  <c r="H134" i="4"/>
  <c r="I134" i="4"/>
  <c r="D135" i="4"/>
  <c r="E135" i="4"/>
  <c r="F135" i="4"/>
  <c r="G135" i="4"/>
  <c r="H135" i="4"/>
  <c r="I135" i="4"/>
  <c r="D136" i="4"/>
  <c r="E136" i="4"/>
  <c r="F136" i="4"/>
  <c r="G136" i="4"/>
  <c r="H136" i="4"/>
  <c r="I136" i="4"/>
  <c r="D137" i="4"/>
  <c r="E137" i="4"/>
  <c r="F137" i="4"/>
  <c r="G137" i="4"/>
  <c r="H137" i="4"/>
  <c r="I137" i="4"/>
  <c r="D138" i="4"/>
  <c r="E138" i="4"/>
  <c r="F138" i="4"/>
  <c r="G138" i="4"/>
  <c r="H138" i="4"/>
  <c r="I138" i="4"/>
  <c r="D139" i="4"/>
  <c r="E139" i="4"/>
  <c r="F139" i="4"/>
  <c r="G139" i="4"/>
  <c r="H139" i="4"/>
  <c r="I139" i="4"/>
  <c r="D140" i="4"/>
  <c r="E140" i="4"/>
  <c r="F140" i="4"/>
  <c r="G140" i="4"/>
  <c r="H140" i="4"/>
  <c r="I140" i="4"/>
  <c r="D141" i="4"/>
  <c r="E141" i="4"/>
  <c r="F141" i="4"/>
  <c r="G141" i="4"/>
  <c r="H141" i="4"/>
  <c r="I141" i="4"/>
  <c r="D142" i="4"/>
  <c r="E142" i="4"/>
  <c r="F142" i="4"/>
  <c r="G142" i="4"/>
  <c r="H142" i="4"/>
  <c r="I142" i="4"/>
  <c r="D143" i="4"/>
  <c r="E143" i="4"/>
  <c r="F143" i="4"/>
  <c r="G143" i="4"/>
  <c r="H143" i="4"/>
  <c r="I143" i="4"/>
  <c r="D144" i="4"/>
  <c r="E144" i="4"/>
  <c r="F144" i="4"/>
  <c r="G144" i="4"/>
  <c r="H144" i="4"/>
  <c r="I144" i="4"/>
  <c r="D145" i="4"/>
  <c r="E145" i="4"/>
  <c r="F145" i="4"/>
  <c r="G145" i="4"/>
  <c r="H145" i="4"/>
  <c r="I145" i="4"/>
  <c r="D146" i="4"/>
  <c r="E146" i="4"/>
  <c r="F146" i="4"/>
  <c r="G146" i="4"/>
  <c r="H146" i="4"/>
  <c r="I146" i="4"/>
  <c r="D147" i="4"/>
  <c r="E147" i="4"/>
  <c r="F147" i="4"/>
  <c r="G147" i="4"/>
  <c r="H147" i="4"/>
  <c r="I147" i="4"/>
  <c r="D148" i="4"/>
  <c r="E148" i="4"/>
  <c r="F148" i="4"/>
  <c r="G148" i="4"/>
  <c r="H148" i="4"/>
  <c r="I148" i="4"/>
  <c r="D149" i="4"/>
  <c r="E149" i="4"/>
  <c r="F149" i="4"/>
  <c r="G149" i="4"/>
  <c r="H149" i="4"/>
  <c r="I149" i="4"/>
  <c r="D150" i="4"/>
  <c r="E150" i="4"/>
  <c r="F150" i="4"/>
  <c r="G150" i="4"/>
  <c r="H150" i="4"/>
  <c r="I150" i="4"/>
  <c r="D151" i="4"/>
  <c r="E151" i="4"/>
  <c r="F151" i="4"/>
  <c r="G151" i="4"/>
  <c r="H151" i="4"/>
  <c r="I151" i="4"/>
  <c r="D152" i="4"/>
  <c r="E152" i="4"/>
  <c r="F152" i="4"/>
  <c r="G152" i="4"/>
  <c r="H152" i="4"/>
  <c r="I152" i="4"/>
  <c r="D153" i="4"/>
  <c r="E153" i="4"/>
  <c r="F153" i="4"/>
  <c r="G153" i="4"/>
  <c r="H153" i="4"/>
  <c r="I153" i="4"/>
  <c r="D154" i="4"/>
  <c r="E154" i="4"/>
  <c r="F154" i="4"/>
  <c r="G154" i="4"/>
  <c r="H154" i="4"/>
  <c r="I154" i="4"/>
  <c r="D155" i="4"/>
  <c r="E155" i="4"/>
  <c r="F155" i="4"/>
  <c r="G155" i="4"/>
  <c r="H155" i="4"/>
  <c r="I155" i="4"/>
  <c r="D156" i="4"/>
  <c r="E156" i="4"/>
  <c r="F156" i="4"/>
  <c r="G156" i="4"/>
  <c r="H156" i="4"/>
  <c r="I156" i="4"/>
  <c r="D157" i="4"/>
  <c r="E157" i="4"/>
  <c r="F157" i="4"/>
  <c r="G157" i="4"/>
  <c r="H157" i="4"/>
  <c r="I157" i="4"/>
  <c r="D158" i="4"/>
  <c r="E158" i="4"/>
  <c r="F158" i="4"/>
  <c r="G158" i="4"/>
  <c r="H158" i="4"/>
  <c r="I158" i="4"/>
  <c r="D159" i="4"/>
  <c r="E159" i="4"/>
  <c r="F159" i="4"/>
  <c r="G159" i="4"/>
  <c r="H159" i="4"/>
  <c r="I159" i="4"/>
  <c r="D160" i="4"/>
  <c r="E160" i="4"/>
  <c r="F160" i="4"/>
  <c r="G160" i="4"/>
  <c r="H160" i="4"/>
  <c r="I160" i="4"/>
  <c r="D161" i="4"/>
  <c r="E161" i="4"/>
  <c r="F161" i="4"/>
  <c r="G161" i="4"/>
  <c r="H161" i="4"/>
  <c r="I161" i="4"/>
  <c r="D162" i="4"/>
  <c r="E162" i="4"/>
  <c r="F162" i="4"/>
  <c r="G162" i="4"/>
  <c r="H162" i="4"/>
  <c r="I162" i="4"/>
  <c r="D163" i="4"/>
  <c r="E163" i="4"/>
  <c r="F163" i="4"/>
  <c r="G163" i="4"/>
  <c r="H163" i="4"/>
  <c r="I163" i="4"/>
  <c r="D164" i="4"/>
  <c r="E164" i="4"/>
  <c r="F164" i="4"/>
  <c r="G164" i="4"/>
  <c r="H164" i="4"/>
  <c r="I164" i="4"/>
  <c r="D165" i="4"/>
  <c r="E165" i="4"/>
  <c r="F165" i="4"/>
  <c r="G165" i="4"/>
  <c r="H165" i="4"/>
  <c r="I165" i="4"/>
  <c r="D166" i="4"/>
  <c r="E166" i="4"/>
  <c r="F166" i="4"/>
  <c r="G166" i="4"/>
  <c r="H166" i="4"/>
  <c r="I166" i="4"/>
  <c r="D167" i="4"/>
  <c r="E167" i="4"/>
  <c r="F167" i="4"/>
  <c r="G167" i="4"/>
  <c r="H167" i="4"/>
  <c r="I167" i="4"/>
  <c r="D168" i="4"/>
  <c r="E168" i="4"/>
  <c r="F168" i="4"/>
  <c r="G168" i="4"/>
  <c r="H168" i="4"/>
  <c r="I168" i="4"/>
  <c r="D169" i="4"/>
  <c r="E169" i="4"/>
  <c r="F169" i="4"/>
  <c r="G169" i="4"/>
  <c r="H169" i="4"/>
  <c r="I169" i="4"/>
  <c r="D170" i="4"/>
  <c r="E170" i="4"/>
  <c r="F170" i="4"/>
  <c r="G170" i="4"/>
  <c r="H170" i="4"/>
  <c r="I170" i="4"/>
  <c r="D171" i="4"/>
  <c r="E171" i="4"/>
  <c r="F171" i="4"/>
  <c r="G171" i="4"/>
  <c r="H171" i="4"/>
  <c r="I171" i="4"/>
  <c r="D172" i="4"/>
  <c r="E172" i="4"/>
  <c r="F172" i="4"/>
  <c r="G172" i="4"/>
  <c r="H172" i="4"/>
  <c r="I172" i="4"/>
  <c r="D173" i="4"/>
  <c r="E173" i="4"/>
  <c r="F173" i="4"/>
  <c r="G173" i="4"/>
  <c r="H173" i="4"/>
  <c r="I173" i="4"/>
  <c r="D174" i="4"/>
  <c r="E174" i="4"/>
  <c r="F174" i="4"/>
  <c r="G174" i="4"/>
  <c r="H174" i="4"/>
  <c r="I174" i="4"/>
  <c r="D175" i="4"/>
  <c r="E175" i="4"/>
  <c r="F175" i="4"/>
  <c r="G175" i="4"/>
  <c r="H175" i="4"/>
  <c r="I175" i="4"/>
  <c r="D176" i="4"/>
  <c r="E176" i="4"/>
  <c r="F176" i="4"/>
  <c r="G176" i="4"/>
  <c r="H176" i="4"/>
  <c r="I176" i="4"/>
  <c r="D177" i="4"/>
  <c r="E177" i="4"/>
  <c r="F177" i="4"/>
  <c r="G177" i="4"/>
  <c r="H177" i="4"/>
  <c r="I177" i="4"/>
  <c r="D178" i="4"/>
  <c r="E178" i="4"/>
  <c r="F178" i="4"/>
  <c r="G178" i="4"/>
  <c r="H178" i="4"/>
  <c r="I178" i="4"/>
  <c r="D179" i="4"/>
  <c r="E179" i="4"/>
  <c r="F179" i="4"/>
  <c r="G179" i="4"/>
  <c r="H179" i="4"/>
  <c r="I179" i="4"/>
  <c r="D180" i="4"/>
  <c r="E180" i="4"/>
  <c r="F180" i="4"/>
  <c r="G180" i="4"/>
  <c r="H180" i="4"/>
  <c r="I180" i="4"/>
  <c r="D181" i="4"/>
  <c r="E181" i="4"/>
  <c r="F181" i="4"/>
  <c r="G181" i="4"/>
  <c r="H181" i="4"/>
  <c r="I181" i="4"/>
  <c r="D182" i="4"/>
  <c r="E182" i="4"/>
  <c r="F182" i="4"/>
  <c r="G182" i="4"/>
  <c r="H182" i="4"/>
  <c r="I182" i="4"/>
  <c r="D183" i="4"/>
  <c r="E183" i="4"/>
  <c r="F183" i="4"/>
  <c r="G183" i="4"/>
  <c r="H183" i="4"/>
  <c r="I183" i="4"/>
  <c r="D184" i="4"/>
  <c r="E184" i="4"/>
  <c r="F184" i="4"/>
  <c r="G184" i="4"/>
  <c r="H184" i="4"/>
  <c r="I184" i="4"/>
  <c r="D185" i="4"/>
  <c r="E185" i="4"/>
  <c r="F185" i="4"/>
  <c r="G185" i="4"/>
  <c r="H185" i="4"/>
  <c r="I185" i="4"/>
  <c r="D186" i="4"/>
  <c r="E186" i="4"/>
  <c r="F186" i="4"/>
  <c r="G186" i="4"/>
  <c r="H186" i="4"/>
  <c r="I186" i="4"/>
  <c r="D187" i="4"/>
  <c r="E187" i="4"/>
  <c r="F187" i="4"/>
  <c r="G187" i="4"/>
  <c r="H187" i="4"/>
  <c r="I187" i="4"/>
  <c r="D188" i="4"/>
  <c r="E188" i="4"/>
  <c r="F188" i="4"/>
  <c r="G188" i="4"/>
  <c r="H188" i="4"/>
  <c r="I188" i="4"/>
  <c r="D189" i="4"/>
  <c r="E189" i="4"/>
  <c r="F189" i="4"/>
  <c r="G189" i="4"/>
  <c r="H189" i="4"/>
  <c r="I189" i="4"/>
  <c r="D190" i="4"/>
  <c r="E190" i="4"/>
  <c r="F190" i="4"/>
  <c r="G190" i="4"/>
  <c r="H190" i="4"/>
  <c r="I190" i="4"/>
  <c r="D191" i="4"/>
  <c r="E191" i="4"/>
  <c r="F191" i="4"/>
  <c r="G191" i="4"/>
  <c r="H191" i="4"/>
  <c r="I191" i="4"/>
  <c r="D192" i="4"/>
  <c r="E192" i="4"/>
  <c r="F192" i="4"/>
  <c r="G192" i="4"/>
  <c r="H192" i="4"/>
  <c r="I192" i="4"/>
  <c r="D193" i="4"/>
  <c r="E193" i="4"/>
  <c r="F193" i="4"/>
  <c r="G193" i="4"/>
  <c r="H193" i="4"/>
  <c r="I193" i="4"/>
  <c r="D194" i="4"/>
  <c r="E194" i="4"/>
  <c r="F194" i="4"/>
  <c r="G194" i="4"/>
  <c r="H194" i="4"/>
  <c r="I194" i="4"/>
  <c r="D195" i="4"/>
  <c r="E195" i="4"/>
  <c r="F195" i="4"/>
  <c r="G195" i="4"/>
  <c r="H195" i="4"/>
  <c r="I195" i="4"/>
  <c r="D196" i="4"/>
  <c r="E196" i="4"/>
  <c r="F196" i="4"/>
  <c r="G196" i="4"/>
  <c r="H196" i="4"/>
  <c r="I196" i="4"/>
  <c r="D197" i="4"/>
  <c r="E197" i="4"/>
  <c r="F197" i="4"/>
  <c r="G197" i="4"/>
  <c r="H197" i="4"/>
  <c r="I197" i="4"/>
  <c r="D198" i="4"/>
  <c r="E198" i="4"/>
  <c r="F198" i="4"/>
  <c r="G198" i="4"/>
  <c r="H198" i="4"/>
  <c r="I198" i="4"/>
  <c r="D199" i="4"/>
  <c r="E199" i="4"/>
  <c r="F199" i="4"/>
  <c r="G199" i="4"/>
  <c r="H199" i="4"/>
  <c r="I199" i="4"/>
  <c r="D200" i="4"/>
  <c r="E200" i="4"/>
  <c r="F200" i="4"/>
  <c r="G200" i="4"/>
  <c r="H200" i="4"/>
  <c r="I200" i="4"/>
  <c r="D201" i="4"/>
  <c r="E201" i="4"/>
  <c r="F201" i="4"/>
  <c r="G201" i="4"/>
  <c r="H201" i="4"/>
  <c r="I201" i="4"/>
  <c r="D202" i="4"/>
  <c r="E202" i="4"/>
  <c r="F202" i="4"/>
  <c r="G202" i="4"/>
  <c r="H202" i="4"/>
  <c r="I202" i="4"/>
  <c r="D203" i="4"/>
  <c r="E203" i="4"/>
  <c r="F203" i="4"/>
  <c r="G203" i="4"/>
  <c r="H203" i="4"/>
  <c r="I203" i="4"/>
  <c r="D204" i="4"/>
  <c r="E204" i="4"/>
  <c r="F204" i="4"/>
  <c r="G204" i="4"/>
  <c r="H204" i="4"/>
  <c r="I204" i="4"/>
  <c r="D205" i="4"/>
  <c r="E205" i="4"/>
  <c r="F205" i="4"/>
  <c r="G205" i="4"/>
  <c r="H205" i="4"/>
  <c r="I205" i="4"/>
  <c r="D206" i="4"/>
  <c r="E206" i="4"/>
  <c r="F206" i="4"/>
  <c r="G206" i="4"/>
  <c r="H206" i="4"/>
  <c r="I206" i="4"/>
  <c r="D207" i="4"/>
  <c r="E207" i="4"/>
  <c r="F207" i="4"/>
  <c r="G207" i="4"/>
  <c r="H207" i="4"/>
  <c r="I207" i="4"/>
  <c r="D208" i="4"/>
  <c r="E208" i="4"/>
  <c r="F208" i="4"/>
  <c r="G208" i="4"/>
  <c r="H208" i="4"/>
  <c r="I208" i="4"/>
  <c r="D209" i="4"/>
  <c r="E209" i="4"/>
  <c r="F209" i="4"/>
  <c r="G209" i="4"/>
  <c r="H209" i="4"/>
  <c r="I209" i="4"/>
  <c r="D210" i="4"/>
  <c r="E210" i="4"/>
  <c r="F210" i="4"/>
  <c r="G210" i="4"/>
  <c r="H210" i="4"/>
  <c r="I210" i="4"/>
  <c r="D211" i="4"/>
  <c r="E211" i="4"/>
  <c r="F211" i="4"/>
  <c r="G211" i="4"/>
  <c r="H211" i="4"/>
  <c r="I211" i="4"/>
  <c r="D212" i="4"/>
  <c r="E212" i="4"/>
  <c r="F212" i="4"/>
  <c r="G212" i="4"/>
  <c r="H212" i="4"/>
  <c r="I212" i="4"/>
  <c r="D213" i="4"/>
  <c r="E213" i="4"/>
  <c r="F213" i="4"/>
  <c r="G213" i="4"/>
  <c r="H213" i="4"/>
  <c r="I213" i="4"/>
  <c r="D214" i="4"/>
  <c r="E214" i="4"/>
  <c r="F214" i="4"/>
  <c r="G214" i="4"/>
  <c r="H214" i="4"/>
  <c r="I214" i="4"/>
  <c r="D215" i="4"/>
  <c r="E215" i="4"/>
  <c r="F215" i="4"/>
  <c r="G215" i="4"/>
  <c r="H215" i="4"/>
  <c r="I215" i="4"/>
  <c r="D216" i="4"/>
  <c r="E216" i="4"/>
  <c r="F216" i="4"/>
  <c r="G216" i="4"/>
  <c r="H216" i="4"/>
  <c r="I216" i="4"/>
  <c r="D217" i="4"/>
  <c r="E217" i="4"/>
  <c r="F217" i="4"/>
  <c r="G217" i="4"/>
  <c r="H217" i="4"/>
  <c r="I217" i="4"/>
  <c r="D218" i="4"/>
  <c r="E218" i="4"/>
  <c r="F218" i="4"/>
  <c r="G218" i="4"/>
  <c r="H218" i="4"/>
  <c r="I218" i="4"/>
  <c r="D219" i="4"/>
  <c r="E219" i="4"/>
  <c r="F219" i="4"/>
  <c r="G219" i="4"/>
  <c r="H219" i="4"/>
  <c r="I219" i="4"/>
  <c r="D220" i="4"/>
  <c r="E220" i="4"/>
  <c r="F220" i="4"/>
  <c r="G220" i="4"/>
  <c r="H220" i="4"/>
  <c r="I220" i="4"/>
  <c r="D221" i="4"/>
  <c r="E221" i="4"/>
  <c r="F221" i="4"/>
  <c r="G221" i="4"/>
  <c r="H221" i="4"/>
  <c r="I221" i="4"/>
  <c r="D222" i="4"/>
  <c r="E222" i="4"/>
  <c r="F222" i="4"/>
  <c r="G222" i="4"/>
  <c r="H222" i="4"/>
  <c r="I222" i="4"/>
  <c r="D223" i="4"/>
  <c r="E223" i="4"/>
  <c r="F223" i="4"/>
  <c r="G223" i="4"/>
  <c r="H223" i="4"/>
  <c r="I223" i="4"/>
  <c r="D224" i="4"/>
  <c r="E224" i="4"/>
  <c r="F224" i="4"/>
  <c r="G224" i="4"/>
  <c r="H224" i="4"/>
  <c r="I224" i="4"/>
  <c r="D225" i="4"/>
  <c r="E225" i="4"/>
  <c r="F225" i="4"/>
  <c r="G225" i="4"/>
  <c r="H225" i="4"/>
  <c r="I225" i="4"/>
  <c r="D226" i="4"/>
  <c r="E226" i="4"/>
  <c r="F226" i="4"/>
  <c r="G226" i="4"/>
  <c r="H226" i="4"/>
  <c r="I226" i="4"/>
  <c r="D227" i="4"/>
  <c r="E227" i="4"/>
  <c r="F227" i="4"/>
  <c r="G227" i="4"/>
  <c r="H227" i="4"/>
  <c r="I227" i="4"/>
  <c r="D228" i="4"/>
  <c r="E228" i="4"/>
  <c r="F228" i="4"/>
  <c r="G228" i="4"/>
  <c r="H228" i="4"/>
  <c r="I228" i="4"/>
  <c r="D229" i="4"/>
  <c r="E229" i="4"/>
  <c r="F229" i="4"/>
  <c r="G229" i="4"/>
  <c r="H229" i="4"/>
  <c r="I229" i="4"/>
  <c r="D230" i="4"/>
  <c r="E230" i="4"/>
  <c r="F230" i="4"/>
  <c r="G230" i="4"/>
  <c r="H230" i="4"/>
  <c r="I230" i="4"/>
  <c r="D231" i="4"/>
  <c r="E231" i="4"/>
  <c r="F231" i="4"/>
  <c r="G231" i="4"/>
  <c r="H231" i="4"/>
  <c r="I231" i="4"/>
  <c r="D232" i="4"/>
  <c r="E232" i="4"/>
  <c r="F232" i="4"/>
  <c r="G232" i="4"/>
  <c r="H232" i="4"/>
  <c r="I232" i="4"/>
  <c r="D233" i="4"/>
  <c r="E233" i="4"/>
  <c r="F233" i="4"/>
  <c r="G233" i="4"/>
  <c r="H233" i="4"/>
  <c r="I233" i="4"/>
  <c r="D234" i="4"/>
  <c r="E234" i="4"/>
  <c r="F234" i="4"/>
  <c r="G234" i="4"/>
  <c r="H234" i="4"/>
  <c r="I234" i="4"/>
  <c r="D235" i="4"/>
  <c r="E235" i="4"/>
  <c r="F235" i="4"/>
  <c r="G235" i="4"/>
  <c r="H235" i="4"/>
  <c r="I235" i="4"/>
  <c r="D236" i="4"/>
  <c r="E236" i="4"/>
  <c r="F236" i="4"/>
  <c r="G236" i="4"/>
  <c r="H236" i="4"/>
  <c r="I236" i="4"/>
  <c r="D237" i="4"/>
  <c r="E237" i="4"/>
  <c r="F237" i="4"/>
  <c r="G237" i="4"/>
  <c r="H237" i="4"/>
  <c r="I237" i="4"/>
  <c r="D238" i="4"/>
  <c r="E238" i="4"/>
  <c r="F238" i="4"/>
  <c r="G238" i="4"/>
  <c r="H238" i="4"/>
  <c r="I238" i="4"/>
  <c r="D239" i="4"/>
  <c r="E239" i="4"/>
  <c r="F239" i="4"/>
  <c r="G239" i="4"/>
  <c r="H239" i="4"/>
  <c r="I239" i="4"/>
  <c r="D240" i="4"/>
  <c r="E240" i="4"/>
  <c r="F240" i="4"/>
  <c r="G240" i="4"/>
  <c r="H240" i="4"/>
  <c r="I240" i="4"/>
  <c r="D241" i="4"/>
  <c r="E241" i="4"/>
  <c r="F241" i="4"/>
  <c r="G241" i="4"/>
  <c r="H241" i="4"/>
  <c r="I241" i="4"/>
  <c r="D242" i="4"/>
  <c r="E242" i="4"/>
  <c r="F242" i="4"/>
  <c r="G242" i="4"/>
  <c r="H242" i="4"/>
  <c r="I242" i="4"/>
  <c r="D243" i="4"/>
  <c r="E243" i="4"/>
  <c r="F243" i="4"/>
  <c r="G243" i="4"/>
  <c r="H243" i="4"/>
  <c r="I243" i="4"/>
  <c r="D244" i="4"/>
  <c r="E244" i="4"/>
  <c r="F244" i="4"/>
  <c r="G244" i="4"/>
  <c r="H244" i="4"/>
  <c r="I244" i="4"/>
  <c r="D245" i="4"/>
  <c r="E245" i="4"/>
  <c r="F245" i="4"/>
  <c r="G245" i="4"/>
  <c r="H245" i="4"/>
  <c r="I245" i="4"/>
  <c r="D246" i="4"/>
  <c r="E246" i="4"/>
  <c r="F246" i="4"/>
  <c r="G246" i="4"/>
  <c r="H246" i="4"/>
  <c r="I246" i="4"/>
  <c r="D247" i="4"/>
  <c r="E247" i="4"/>
  <c r="F247" i="4"/>
  <c r="G247" i="4"/>
  <c r="H247" i="4"/>
  <c r="I247" i="4"/>
  <c r="D248" i="4"/>
  <c r="E248" i="4"/>
  <c r="F248" i="4"/>
  <c r="G248" i="4"/>
  <c r="H248" i="4"/>
  <c r="I248" i="4"/>
  <c r="D249" i="4"/>
  <c r="E249" i="4"/>
  <c r="F249" i="4"/>
  <c r="G249" i="4"/>
  <c r="H249" i="4"/>
  <c r="I249" i="4"/>
  <c r="D250" i="4"/>
  <c r="E250" i="4"/>
  <c r="F250" i="4"/>
  <c r="G250" i="4"/>
  <c r="H250" i="4"/>
  <c r="I250" i="4"/>
  <c r="D251" i="4"/>
  <c r="E251" i="4"/>
  <c r="F251" i="4"/>
  <c r="G251" i="4"/>
  <c r="H251" i="4"/>
  <c r="I251" i="4"/>
  <c r="D252" i="4"/>
  <c r="E252" i="4"/>
  <c r="F252" i="4"/>
  <c r="G252" i="4"/>
  <c r="H252" i="4"/>
  <c r="I252" i="4"/>
  <c r="D253" i="4"/>
  <c r="E253" i="4"/>
  <c r="F253" i="4"/>
  <c r="G253" i="4"/>
  <c r="H253" i="4"/>
  <c r="I253" i="4"/>
  <c r="D254" i="4"/>
  <c r="E254" i="4"/>
  <c r="F254" i="4"/>
  <c r="G254" i="4"/>
  <c r="H254" i="4"/>
  <c r="I254" i="4"/>
  <c r="D255" i="4"/>
  <c r="E255" i="4"/>
  <c r="F255" i="4"/>
  <c r="G255" i="4"/>
  <c r="H255" i="4"/>
  <c r="I255" i="4"/>
  <c r="D256" i="4"/>
  <c r="E256" i="4"/>
  <c r="F256" i="4"/>
  <c r="G256" i="4"/>
  <c r="H256" i="4"/>
  <c r="I256" i="4"/>
  <c r="D257" i="4"/>
  <c r="E257" i="4"/>
  <c r="F257" i="4"/>
  <c r="G257" i="4"/>
  <c r="H257" i="4"/>
  <c r="I257" i="4"/>
  <c r="D258" i="4"/>
  <c r="E258" i="4"/>
  <c r="F258" i="4"/>
  <c r="G258" i="4"/>
  <c r="H258" i="4"/>
  <c r="I258" i="4"/>
  <c r="D259" i="4"/>
  <c r="E259" i="4"/>
  <c r="F259" i="4"/>
  <c r="G259" i="4"/>
  <c r="H259" i="4"/>
  <c r="I259" i="4"/>
  <c r="D260" i="4"/>
  <c r="E260" i="4"/>
  <c r="F260" i="4"/>
  <c r="G260" i="4"/>
  <c r="H260" i="4"/>
  <c r="I260" i="4"/>
  <c r="D261" i="4"/>
  <c r="E261" i="4"/>
  <c r="F261" i="4"/>
  <c r="G261" i="4"/>
  <c r="H261" i="4"/>
  <c r="I261" i="4"/>
  <c r="D262" i="4"/>
  <c r="E262" i="4"/>
  <c r="F262" i="4"/>
  <c r="G262" i="4"/>
  <c r="H262" i="4"/>
  <c r="I262" i="4"/>
  <c r="D263" i="4"/>
  <c r="E263" i="4"/>
  <c r="F263" i="4"/>
  <c r="G263" i="4"/>
  <c r="H263" i="4"/>
  <c r="I263" i="4"/>
  <c r="D264" i="4"/>
  <c r="E264" i="4"/>
  <c r="F264" i="4"/>
  <c r="G264" i="4"/>
  <c r="H264" i="4"/>
  <c r="I264" i="4"/>
  <c r="D265" i="4"/>
  <c r="E265" i="4"/>
  <c r="F265" i="4"/>
  <c r="G265" i="4"/>
  <c r="H265" i="4"/>
  <c r="I265" i="4"/>
  <c r="D266" i="4"/>
  <c r="E266" i="4"/>
  <c r="F266" i="4"/>
  <c r="G266" i="4"/>
  <c r="H266" i="4"/>
  <c r="I266" i="4"/>
  <c r="D267" i="4"/>
  <c r="E267" i="4"/>
  <c r="F267" i="4"/>
  <c r="G267" i="4"/>
  <c r="H267" i="4"/>
  <c r="I267" i="4"/>
  <c r="D268" i="4"/>
  <c r="E268" i="4"/>
  <c r="F268" i="4"/>
  <c r="G268" i="4"/>
  <c r="H268" i="4"/>
  <c r="I268" i="4"/>
  <c r="D269" i="4"/>
  <c r="E269" i="4"/>
  <c r="F269" i="4"/>
  <c r="G269" i="4"/>
  <c r="H269" i="4"/>
  <c r="I269" i="4"/>
  <c r="D270" i="4"/>
  <c r="E270" i="4"/>
  <c r="F270" i="4"/>
  <c r="G270" i="4"/>
  <c r="H270" i="4"/>
  <c r="I270" i="4"/>
  <c r="D271" i="4"/>
  <c r="E271" i="4"/>
  <c r="F271" i="4"/>
  <c r="G271" i="4"/>
  <c r="H271" i="4"/>
  <c r="I271" i="4"/>
  <c r="D272" i="4"/>
  <c r="E272" i="4"/>
  <c r="F272" i="4"/>
  <c r="G272" i="4"/>
  <c r="H272" i="4"/>
  <c r="I272" i="4"/>
  <c r="D273" i="4"/>
  <c r="E273" i="4"/>
  <c r="F273" i="4"/>
  <c r="G273" i="4"/>
  <c r="H273" i="4"/>
  <c r="I273" i="4"/>
  <c r="D274" i="4"/>
  <c r="E274" i="4"/>
  <c r="F274" i="4"/>
  <c r="G274" i="4"/>
  <c r="H274" i="4"/>
  <c r="I274" i="4"/>
  <c r="D275" i="4"/>
  <c r="E275" i="4"/>
  <c r="F275" i="4"/>
  <c r="G275" i="4"/>
  <c r="H275" i="4"/>
  <c r="I275" i="4"/>
  <c r="D276" i="4"/>
  <c r="E276" i="4"/>
  <c r="F276" i="4"/>
  <c r="G276" i="4"/>
  <c r="H276" i="4"/>
  <c r="I276" i="4"/>
  <c r="D277" i="4"/>
  <c r="E277" i="4"/>
  <c r="F277" i="4"/>
  <c r="G277" i="4"/>
  <c r="H277" i="4"/>
  <c r="I277" i="4"/>
  <c r="D278" i="4"/>
  <c r="E278" i="4"/>
  <c r="F278" i="4"/>
  <c r="G278" i="4"/>
  <c r="H278" i="4"/>
  <c r="I278" i="4"/>
  <c r="D279" i="4"/>
  <c r="E279" i="4"/>
  <c r="F279" i="4"/>
  <c r="G279" i="4"/>
  <c r="H279" i="4"/>
  <c r="I279" i="4"/>
  <c r="D280" i="4"/>
  <c r="E280" i="4"/>
  <c r="F280" i="4"/>
  <c r="G280" i="4"/>
  <c r="H280" i="4"/>
  <c r="I280" i="4"/>
  <c r="D281" i="4"/>
  <c r="E281" i="4"/>
  <c r="F281" i="4"/>
  <c r="G281" i="4"/>
  <c r="H281" i="4"/>
  <c r="I281" i="4"/>
  <c r="D282" i="4"/>
  <c r="E282" i="4"/>
  <c r="F282" i="4"/>
  <c r="G282" i="4"/>
  <c r="H282" i="4"/>
  <c r="I282" i="4"/>
  <c r="D283" i="4"/>
  <c r="E283" i="4"/>
  <c r="F283" i="4"/>
  <c r="G283" i="4"/>
  <c r="H283" i="4"/>
  <c r="I283" i="4"/>
  <c r="D284" i="4"/>
  <c r="E284" i="4"/>
  <c r="F284" i="4"/>
  <c r="G284" i="4"/>
  <c r="H284" i="4"/>
  <c r="I284" i="4"/>
  <c r="D285" i="4"/>
  <c r="E285" i="4"/>
  <c r="F285" i="4"/>
  <c r="G285" i="4"/>
  <c r="H285" i="4"/>
  <c r="I285" i="4"/>
  <c r="D286" i="4"/>
  <c r="E286" i="4"/>
  <c r="F286" i="4"/>
  <c r="G286" i="4"/>
  <c r="H286" i="4"/>
  <c r="I286" i="4"/>
  <c r="D287" i="4"/>
  <c r="E287" i="4"/>
  <c r="F287" i="4"/>
  <c r="G287" i="4"/>
  <c r="H287" i="4"/>
  <c r="I287" i="4"/>
  <c r="D288" i="4"/>
  <c r="E288" i="4"/>
  <c r="F288" i="4"/>
  <c r="G288" i="4"/>
  <c r="H288" i="4"/>
  <c r="I288" i="4"/>
  <c r="D289" i="4"/>
  <c r="E289" i="4"/>
  <c r="F289" i="4"/>
  <c r="G289" i="4"/>
  <c r="H289" i="4"/>
  <c r="I289" i="4"/>
  <c r="D290" i="4"/>
  <c r="E290" i="4"/>
  <c r="F290" i="4"/>
  <c r="G290" i="4"/>
  <c r="H290" i="4"/>
  <c r="I290" i="4"/>
  <c r="D291" i="4"/>
  <c r="E291" i="4"/>
  <c r="F291" i="4"/>
  <c r="G291" i="4"/>
  <c r="H291" i="4"/>
  <c r="I291" i="4"/>
  <c r="D292" i="4"/>
  <c r="E292" i="4"/>
  <c r="F292" i="4"/>
  <c r="G292" i="4"/>
  <c r="H292" i="4"/>
  <c r="I292" i="4"/>
  <c r="D293" i="4"/>
  <c r="E293" i="4"/>
  <c r="F293" i="4"/>
  <c r="G293" i="4"/>
  <c r="H293" i="4"/>
  <c r="I293" i="4"/>
  <c r="D294" i="4"/>
  <c r="E294" i="4"/>
  <c r="F294" i="4"/>
  <c r="G294" i="4"/>
  <c r="H294" i="4"/>
  <c r="I294" i="4"/>
  <c r="D295" i="4"/>
  <c r="E295" i="4"/>
  <c r="F295" i="4"/>
  <c r="G295" i="4"/>
  <c r="H295" i="4"/>
  <c r="I295" i="4"/>
  <c r="D296" i="4"/>
  <c r="E296" i="4"/>
  <c r="F296" i="4"/>
  <c r="G296" i="4"/>
  <c r="H296" i="4"/>
  <c r="I296" i="4"/>
  <c r="D297" i="4"/>
  <c r="E297" i="4"/>
  <c r="F297" i="4"/>
  <c r="G297" i="4"/>
  <c r="H297" i="4"/>
  <c r="I297" i="4"/>
  <c r="D298" i="4"/>
  <c r="E298" i="4"/>
  <c r="F298" i="4"/>
  <c r="G298" i="4"/>
  <c r="H298" i="4"/>
  <c r="I298" i="4"/>
  <c r="D299" i="4"/>
  <c r="E299" i="4"/>
  <c r="F299" i="4"/>
  <c r="G299" i="4"/>
  <c r="H299" i="4"/>
  <c r="I299" i="4"/>
  <c r="D300" i="4"/>
  <c r="E300" i="4"/>
  <c r="F300" i="4"/>
  <c r="G300" i="4"/>
  <c r="H300" i="4"/>
  <c r="I300" i="4"/>
  <c r="D301" i="4"/>
  <c r="E301" i="4"/>
  <c r="F301" i="4"/>
  <c r="G301" i="4"/>
  <c r="H301" i="4"/>
  <c r="I301" i="4"/>
  <c r="G2" i="4"/>
  <c r="F2" i="4"/>
  <c r="E2" i="4"/>
  <c r="D2" i="4"/>
  <c r="B3" i="4"/>
  <c r="C3" i="4"/>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B51" i="4"/>
  <c r="C51" i="4"/>
  <c r="B52" i="4"/>
  <c r="C52" i="4"/>
  <c r="B53" i="4"/>
  <c r="C53" i="4"/>
  <c r="B54" i="4"/>
  <c r="C54" i="4"/>
  <c r="B55" i="4"/>
  <c r="C55" i="4"/>
  <c r="B56" i="4"/>
  <c r="C56" i="4"/>
  <c r="B57" i="4"/>
  <c r="C57" i="4"/>
  <c r="B58" i="4"/>
  <c r="C58" i="4"/>
  <c r="B59" i="4"/>
  <c r="C59" i="4"/>
  <c r="B60" i="4"/>
  <c r="C60" i="4"/>
  <c r="B61" i="4"/>
  <c r="C61" i="4"/>
  <c r="B62" i="4"/>
  <c r="C62" i="4"/>
  <c r="B63" i="4"/>
  <c r="C63" i="4"/>
  <c r="B64" i="4"/>
  <c r="C64" i="4"/>
  <c r="B65" i="4"/>
  <c r="C65" i="4"/>
  <c r="B66" i="4"/>
  <c r="C66" i="4"/>
  <c r="B67" i="4"/>
  <c r="C67" i="4"/>
  <c r="B68" i="4"/>
  <c r="C68" i="4"/>
  <c r="B69" i="4"/>
  <c r="C69" i="4"/>
  <c r="B70" i="4"/>
  <c r="C70" i="4"/>
  <c r="B71" i="4"/>
  <c r="C71" i="4"/>
  <c r="B72" i="4"/>
  <c r="C72" i="4"/>
  <c r="B73" i="4"/>
  <c r="C73" i="4"/>
  <c r="B74" i="4"/>
  <c r="C74" i="4"/>
  <c r="B75" i="4"/>
  <c r="C75" i="4"/>
  <c r="B76" i="4"/>
  <c r="C76" i="4"/>
  <c r="B77" i="4"/>
  <c r="C77" i="4"/>
  <c r="B78" i="4"/>
  <c r="C78" i="4"/>
  <c r="B79" i="4"/>
  <c r="C79" i="4"/>
  <c r="B80" i="4"/>
  <c r="C80" i="4"/>
  <c r="B81" i="4"/>
  <c r="C81" i="4"/>
  <c r="B82" i="4"/>
  <c r="C82" i="4"/>
  <c r="B83" i="4"/>
  <c r="C83" i="4"/>
  <c r="B84" i="4"/>
  <c r="C84" i="4"/>
  <c r="B85" i="4"/>
  <c r="C85" i="4"/>
  <c r="B86" i="4"/>
  <c r="C86" i="4"/>
  <c r="B87" i="4"/>
  <c r="C87" i="4"/>
  <c r="B88" i="4"/>
  <c r="C88" i="4"/>
  <c r="B89" i="4"/>
  <c r="C89" i="4"/>
  <c r="B90" i="4"/>
  <c r="C90" i="4"/>
  <c r="B91" i="4"/>
  <c r="C91" i="4"/>
  <c r="B92" i="4"/>
  <c r="C92" i="4"/>
  <c r="B93" i="4"/>
  <c r="C93" i="4"/>
  <c r="B94" i="4"/>
  <c r="C94" i="4"/>
  <c r="B95" i="4"/>
  <c r="C95" i="4"/>
  <c r="B96" i="4"/>
  <c r="C96" i="4"/>
  <c r="B97" i="4"/>
  <c r="C97" i="4"/>
  <c r="B98" i="4"/>
  <c r="C98" i="4"/>
  <c r="B99" i="4"/>
  <c r="C99" i="4"/>
  <c r="B100" i="4"/>
  <c r="C100" i="4"/>
  <c r="B101" i="4"/>
  <c r="C101" i="4"/>
  <c r="B102" i="4"/>
  <c r="C102" i="4"/>
  <c r="B103" i="4"/>
  <c r="C103" i="4"/>
  <c r="B104" i="4"/>
  <c r="C104" i="4"/>
  <c r="B105" i="4"/>
  <c r="C105" i="4"/>
  <c r="B106" i="4"/>
  <c r="C106" i="4"/>
  <c r="B107" i="4"/>
  <c r="C107" i="4"/>
  <c r="B108" i="4"/>
  <c r="C108" i="4"/>
  <c r="B109" i="4"/>
  <c r="C109" i="4"/>
  <c r="B110" i="4"/>
  <c r="C110" i="4"/>
  <c r="B111" i="4"/>
  <c r="C111" i="4"/>
  <c r="B112" i="4"/>
  <c r="C112" i="4"/>
  <c r="B113" i="4"/>
  <c r="C113" i="4"/>
  <c r="B114" i="4"/>
  <c r="C114" i="4"/>
  <c r="B115" i="4"/>
  <c r="C115" i="4"/>
  <c r="B116" i="4"/>
  <c r="C116" i="4"/>
  <c r="B117" i="4"/>
  <c r="C117" i="4"/>
  <c r="B118" i="4"/>
  <c r="C118" i="4"/>
  <c r="B119" i="4"/>
  <c r="C119" i="4"/>
  <c r="B120" i="4"/>
  <c r="C120" i="4"/>
  <c r="B121" i="4"/>
  <c r="C121" i="4"/>
  <c r="B122" i="4"/>
  <c r="C122" i="4"/>
  <c r="B123" i="4"/>
  <c r="C123" i="4"/>
  <c r="B124" i="4"/>
  <c r="C124" i="4"/>
  <c r="B125" i="4"/>
  <c r="C125" i="4"/>
  <c r="B126" i="4"/>
  <c r="C126" i="4"/>
  <c r="B127" i="4"/>
  <c r="C127" i="4"/>
  <c r="B128" i="4"/>
  <c r="C128" i="4"/>
  <c r="B129" i="4"/>
  <c r="C129" i="4"/>
  <c r="B130" i="4"/>
  <c r="C130" i="4"/>
  <c r="B131" i="4"/>
  <c r="C131" i="4"/>
  <c r="B132" i="4"/>
  <c r="C132" i="4"/>
  <c r="B133" i="4"/>
  <c r="C133" i="4"/>
  <c r="B134" i="4"/>
  <c r="C134" i="4"/>
  <c r="B135" i="4"/>
  <c r="C135" i="4"/>
  <c r="B136" i="4"/>
  <c r="C136" i="4"/>
  <c r="B137" i="4"/>
  <c r="C137" i="4"/>
  <c r="B138" i="4"/>
  <c r="C138" i="4"/>
  <c r="B139" i="4"/>
  <c r="C139" i="4"/>
  <c r="B140" i="4"/>
  <c r="C140" i="4"/>
  <c r="B141" i="4"/>
  <c r="C141" i="4"/>
  <c r="B142" i="4"/>
  <c r="C142" i="4"/>
  <c r="B143" i="4"/>
  <c r="C143" i="4"/>
  <c r="B144" i="4"/>
  <c r="C144" i="4"/>
  <c r="B145" i="4"/>
  <c r="C145" i="4"/>
  <c r="B146" i="4"/>
  <c r="C146" i="4"/>
  <c r="B147" i="4"/>
  <c r="C147" i="4"/>
  <c r="B148" i="4"/>
  <c r="C148" i="4"/>
  <c r="B149" i="4"/>
  <c r="C149" i="4"/>
  <c r="B150" i="4"/>
  <c r="C150" i="4"/>
  <c r="B151" i="4"/>
  <c r="C151" i="4"/>
  <c r="B152" i="4"/>
  <c r="C152" i="4"/>
  <c r="B153" i="4"/>
  <c r="C153" i="4"/>
  <c r="B154" i="4"/>
  <c r="C154" i="4"/>
  <c r="B155" i="4"/>
  <c r="C155" i="4"/>
  <c r="B156" i="4"/>
  <c r="C156" i="4"/>
  <c r="B157" i="4"/>
  <c r="C157" i="4"/>
  <c r="B158" i="4"/>
  <c r="C158" i="4"/>
  <c r="B159" i="4"/>
  <c r="C159" i="4"/>
  <c r="B160" i="4"/>
  <c r="C160" i="4"/>
  <c r="B161" i="4"/>
  <c r="C161" i="4"/>
  <c r="B162" i="4"/>
  <c r="C162" i="4"/>
  <c r="B163" i="4"/>
  <c r="C163" i="4"/>
  <c r="B164" i="4"/>
  <c r="C164" i="4"/>
  <c r="B165" i="4"/>
  <c r="C165" i="4"/>
  <c r="B166" i="4"/>
  <c r="C166" i="4"/>
  <c r="B167" i="4"/>
  <c r="C167" i="4"/>
  <c r="B168" i="4"/>
  <c r="C168" i="4"/>
  <c r="B169" i="4"/>
  <c r="C169" i="4"/>
  <c r="B170" i="4"/>
  <c r="C170" i="4"/>
  <c r="B171" i="4"/>
  <c r="C171" i="4"/>
  <c r="B172" i="4"/>
  <c r="C172" i="4"/>
  <c r="B173" i="4"/>
  <c r="C173" i="4"/>
  <c r="B174" i="4"/>
  <c r="C174" i="4"/>
  <c r="B175" i="4"/>
  <c r="C175" i="4"/>
  <c r="B176" i="4"/>
  <c r="C176" i="4"/>
  <c r="B177" i="4"/>
  <c r="C177" i="4"/>
  <c r="B178" i="4"/>
  <c r="C178" i="4"/>
  <c r="B179" i="4"/>
  <c r="C179" i="4"/>
  <c r="B180" i="4"/>
  <c r="C180" i="4"/>
  <c r="B181" i="4"/>
  <c r="C181" i="4"/>
  <c r="B182" i="4"/>
  <c r="C182" i="4"/>
  <c r="B183" i="4"/>
  <c r="C183" i="4"/>
  <c r="B184" i="4"/>
  <c r="C184" i="4"/>
  <c r="B185" i="4"/>
  <c r="C185" i="4"/>
  <c r="B186" i="4"/>
  <c r="C186" i="4"/>
  <c r="B187" i="4"/>
  <c r="C187" i="4"/>
  <c r="B188" i="4"/>
  <c r="C188" i="4"/>
  <c r="B189" i="4"/>
  <c r="C189" i="4"/>
  <c r="B190" i="4"/>
  <c r="C190" i="4"/>
  <c r="B191" i="4"/>
  <c r="C191" i="4"/>
  <c r="B192" i="4"/>
  <c r="C192" i="4"/>
  <c r="B193" i="4"/>
  <c r="C193" i="4"/>
  <c r="B194" i="4"/>
  <c r="C194" i="4"/>
  <c r="B195" i="4"/>
  <c r="C195" i="4"/>
  <c r="B196" i="4"/>
  <c r="C196" i="4"/>
  <c r="B197" i="4"/>
  <c r="C197" i="4"/>
  <c r="B198" i="4"/>
  <c r="C198" i="4"/>
  <c r="B199" i="4"/>
  <c r="C199" i="4"/>
  <c r="B200" i="4"/>
  <c r="C200" i="4"/>
  <c r="B201" i="4"/>
  <c r="C201" i="4"/>
  <c r="B202" i="4"/>
  <c r="C202" i="4"/>
  <c r="B203" i="4"/>
  <c r="C203" i="4"/>
  <c r="B204" i="4"/>
  <c r="C204" i="4"/>
  <c r="B205" i="4"/>
  <c r="C205" i="4"/>
  <c r="B206" i="4"/>
  <c r="C206" i="4"/>
  <c r="B207" i="4"/>
  <c r="C207" i="4"/>
  <c r="B208" i="4"/>
  <c r="C208" i="4"/>
  <c r="B209" i="4"/>
  <c r="C209" i="4"/>
  <c r="B210" i="4"/>
  <c r="C210" i="4"/>
  <c r="B211" i="4"/>
  <c r="C211" i="4"/>
  <c r="B212" i="4"/>
  <c r="C212" i="4"/>
  <c r="B213" i="4"/>
  <c r="C213" i="4"/>
  <c r="B214" i="4"/>
  <c r="C214" i="4"/>
  <c r="B215" i="4"/>
  <c r="C215" i="4"/>
  <c r="B216" i="4"/>
  <c r="C216" i="4"/>
  <c r="B217" i="4"/>
  <c r="C217" i="4"/>
  <c r="B218" i="4"/>
  <c r="C218" i="4"/>
  <c r="B219" i="4"/>
  <c r="C219" i="4"/>
  <c r="B220" i="4"/>
  <c r="C220" i="4"/>
  <c r="B221" i="4"/>
  <c r="C221" i="4"/>
  <c r="B222" i="4"/>
  <c r="C222" i="4"/>
  <c r="B223" i="4"/>
  <c r="C223" i="4"/>
  <c r="B224" i="4"/>
  <c r="C224" i="4"/>
  <c r="B225" i="4"/>
  <c r="C225" i="4"/>
  <c r="B226" i="4"/>
  <c r="C226" i="4"/>
  <c r="B227" i="4"/>
  <c r="C227" i="4"/>
  <c r="B228" i="4"/>
  <c r="C228" i="4"/>
  <c r="B229" i="4"/>
  <c r="C229" i="4"/>
  <c r="B230" i="4"/>
  <c r="C230" i="4"/>
  <c r="B231" i="4"/>
  <c r="C231" i="4"/>
  <c r="B232" i="4"/>
  <c r="C232" i="4"/>
  <c r="B233" i="4"/>
  <c r="C233" i="4"/>
  <c r="B234" i="4"/>
  <c r="C234" i="4"/>
  <c r="B235" i="4"/>
  <c r="C235" i="4"/>
  <c r="B236" i="4"/>
  <c r="C236" i="4"/>
  <c r="B237" i="4"/>
  <c r="C237" i="4"/>
  <c r="B238" i="4"/>
  <c r="C238" i="4"/>
  <c r="B239" i="4"/>
  <c r="C239" i="4"/>
  <c r="B240" i="4"/>
  <c r="C240" i="4"/>
  <c r="B241" i="4"/>
  <c r="C241" i="4"/>
  <c r="B242" i="4"/>
  <c r="C242" i="4"/>
  <c r="B243" i="4"/>
  <c r="C243" i="4"/>
  <c r="B244" i="4"/>
  <c r="C244" i="4"/>
  <c r="B245" i="4"/>
  <c r="C245" i="4"/>
  <c r="B246" i="4"/>
  <c r="C246" i="4"/>
  <c r="B247" i="4"/>
  <c r="C247" i="4"/>
  <c r="B248" i="4"/>
  <c r="C248" i="4"/>
  <c r="B249" i="4"/>
  <c r="C249" i="4"/>
  <c r="B250" i="4"/>
  <c r="C250" i="4"/>
  <c r="B251" i="4"/>
  <c r="C251" i="4"/>
  <c r="B252" i="4"/>
  <c r="C252" i="4"/>
  <c r="B253" i="4"/>
  <c r="C253" i="4"/>
  <c r="B254" i="4"/>
  <c r="C254" i="4"/>
  <c r="B255" i="4"/>
  <c r="C255" i="4"/>
  <c r="B256" i="4"/>
  <c r="C256" i="4"/>
  <c r="B257" i="4"/>
  <c r="C257" i="4"/>
  <c r="B258" i="4"/>
  <c r="C258" i="4"/>
  <c r="B259" i="4"/>
  <c r="C259" i="4"/>
  <c r="B260" i="4"/>
  <c r="C260" i="4"/>
  <c r="B261" i="4"/>
  <c r="C261" i="4"/>
  <c r="B262" i="4"/>
  <c r="C262" i="4"/>
  <c r="B263" i="4"/>
  <c r="C263" i="4"/>
  <c r="B264" i="4"/>
  <c r="C264" i="4"/>
  <c r="B265" i="4"/>
  <c r="C265" i="4"/>
  <c r="B266" i="4"/>
  <c r="C266" i="4"/>
  <c r="B267" i="4"/>
  <c r="C267" i="4"/>
  <c r="B268" i="4"/>
  <c r="C268" i="4"/>
  <c r="B269" i="4"/>
  <c r="C269" i="4"/>
  <c r="B270" i="4"/>
  <c r="C270" i="4"/>
  <c r="B271" i="4"/>
  <c r="C271" i="4"/>
  <c r="B272" i="4"/>
  <c r="C272" i="4"/>
  <c r="B273" i="4"/>
  <c r="C273" i="4"/>
  <c r="B274" i="4"/>
  <c r="C274" i="4"/>
  <c r="B275" i="4"/>
  <c r="C275" i="4"/>
  <c r="B276" i="4"/>
  <c r="C276" i="4"/>
  <c r="B277" i="4"/>
  <c r="C277" i="4"/>
  <c r="B278" i="4"/>
  <c r="C278" i="4"/>
  <c r="B279" i="4"/>
  <c r="C279" i="4"/>
  <c r="B280" i="4"/>
  <c r="C280" i="4"/>
  <c r="B281" i="4"/>
  <c r="C281" i="4"/>
  <c r="B282" i="4"/>
  <c r="C282" i="4"/>
  <c r="B283" i="4"/>
  <c r="C283" i="4"/>
  <c r="B284" i="4"/>
  <c r="C284" i="4"/>
  <c r="B285" i="4"/>
  <c r="C285" i="4"/>
  <c r="B286" i="4"/>
  <c r="C286" i="4"/>
  <c r="B287" i="4"/>
  <c r="C287" i="4"/>
  <c r="B288" i="4"/>
  <c r="C288" i="4"/>
  <c r="B289" i="4"/>
  <c r="C289" i="4"/>
  <c r="B290" i="4"/>
  <c r="C290" i="4"/>
  <c r="B291" i="4"/>
  <c r="C291" i="4"/>
  <c r="B292" i="4"/>
  <c r="C292" i="4"/>
  <c r="B293" i="4"/>
  <c r="C293" i="4"/>
  <c r="B294" i="4"/>
  <c r="C294" i="4"/>
  <c r="B295" i="4"/>
  <c r="C295" i="4"/>
  <c r="B296" i="4"/>
  <c r="C296" i="4"/>
  <c r="B297" i="4"/>
  <c r="C297" i="4"/>
  <c r="B298" i="4"/>
  <c r="C298" i="4"/>
  <c r="B299" i="4"/>
  <c r="C299" i="4"/>
  <c r="B300" i="4"/>
  <c r="C300" i="4"/>
  <c r="B301" i="4"/>
  <c r="C301" i="4"/>
  <c r="I2" i="4"/>
  <c r="H2" i="4"/>
  <c r="C2" i="4"/>
  <c r="B2"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 i="4"/>
  <c r="A4" i="4"/>
  <c r="A5" i="4"/>
  <c r="A6" i="4"/>
  <c r="A7" i="4"/>
  <c r="A8" i="4"/>
  <c r="A9" i="4"/>
  <c r="A10" i="4"/>
  <c r="A11" i="4"/>
  <c r="A12" i="4"/>
  <c r="A13" i="4"/>
  <c r="A14" i="4"/>
  <c r="A15" i="4"/>
  <c r="A16" i="4"/>
  <c r="A17" i="4"/>
  <c r="A18" i="4"/>
  <c r="A19" i="4"/>
  <c r="A20" i="4"/>
  <c r="A2" i="4"/>
  <c r="G3" i="2" a="1"/>
  <c r="G3" i="2" s="1"/>
  <c r="G4" i="2" a="1"/>
  <c r="G4" i="2" s="1"/>
  <c r="G5" i="2" a="1"/>
  <c r="G5" i="2" s="1"/>
  <c r="G6" i="2" a="1"/>
  <c r="G6" i="2" s="1"/>
  <c r="G7" i="2" a="1"/>
  <c r="G7" i="2" s="1"/>
  <c r="G8" i="2" a="1"/>
  <c r="G8" i="2"/>
  <c r="G9" i="2" a="1"/>
  <c r="G9" i="2"/>
  <c r="G10" i="2" a="1"/>
  <c r="G10" i="2" s="1"/>
  <c r="G11" i="2" a="1"/>
  <c r="G11" i="2" s="1"/>
  <c r="G12" i="2" a="1"/>
  <c r="G12" i="2" s="1"/>
  <c r="G13" i="2" a="1"/>
  <c r="G13" i="2" s="1"/>
  <c r="G14" i="2" a="1"/>
  <c r="G14" i="2" s="1"/>
  <c r="G15" i="2" a="1"/>
  <c r="G15" i="2" s="1"/>
  <c r="G16" i="2" a="1"/>
  <c r="G16" i="2" s="1"/>
  <c r="G17" i="2" a="1"/>
  <c r="G17" i="2"/>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c r="G29" i="2" a="1"/>
  <c r="G29" i="2" s="1"/>
  <c r="G30" i="2" a="1"/>
  <c r="G30" i="2"/>
  <c r="G31" i="2" a="1"/>
  <c r="G31" i="2" s="1"/>
  <c r="G32" i="2" a="1"/>
  <c r="G32" i="2" s="1"/>
  <c r="G33" i="2" a="1"/>
  <c r="G33" i="2" s="1"/>
  <c r="G34" i="2" a="1"/>
  <c r="G34" i="2" s="1"/>
  <c r="G35" i="2" a="1"/>
  <c r="G35" i="2" s="1"/>
  <c r="G36" i="2" a="1"/>
  <c r="G36" i="2" s="1"/>
  <c r="G37" i="2" a="1"/>
  <c r="G37" i="2" s="1"/>
  <c r="G38" i="2" a="1"/>
  <c r="G38" i="2" s="1"/>
  <c r="G39" i="2" a="1"/>
  <c r="G39" i="2" s="1"/>
  <c r="G40" i="2" a="1"/>
  <c r="G40" i="2"/>
  <c r="G41" i="2" a="1"/>
  <c r="G41" i="2" s="1"/>
  <c r="G42" i="2" a="1"/>
  <c r="G42" i="2" s="1"/>
  <c r="G43" i="2" a="1"/>
  <c r="G43" i="2"/>
  <c r="G44" i="2" a="1"/>
  <c r="G44" i="2"/>
  <c r="G45" i="2" a="1"/>
  <c r="G45" i="2"/>
  <c r="G46" i="2" a="1"/>
  <c r="G46" i="2" s="1"/>
  <c r="G47" i="2" a="1"/>
  <c r="G47" i="2" s="1"/>
  <c r="G48" i="2" a="1"/>
  <c r="G48" i="2" s="1"/>
  <c r="G49" i="2" a="1"/>
  <c r="G49" i="2" s="1"/>
  <c r="G50" i="2" a="1"/>
  <c r="G50" i="2" s="1"/>
  <c r="G51" i="2" a="1"/>
  <c r="G51" i="2" s="1"/>
  <c r="G52" i="2" a="1"/>
  <c r="G52" i="2"/>
  <c r="G53" i="2" a="1"/>
  <c r="G53" i="2" s="1"/>
  <c r="G54" i="2" a="1"/>
  <c r="G54" i="2" s="1"/>
  <c r="G55" i="2" a="1"/>
  <c r="G55" i="2" s="1"/>
  <c r="G56" i="2" a="1"/>
  <c r="G56" i="2" s="1"/>
  <c r="G57" i="2" a="1"/>
  <c r="G57" i="2" s="1"/>
  <c r="G58" i="2" a="1"/>
  <c r="G58" i="2" s="1"/>
  <c r="G59" i="2" a="1"/>
  <c r="G59" i="2"/>
  <c r="G60" i="2" a="1"/>
  <c r="G60" i="2" s="1"/>
  <c r="G61" i="2" a="1"/>
  <c r="G61" i="2" s="1"/>
  <c r="G62" i="2" a="1"/>
  <c r="G62" i="2" s="1"/>
  <c r="G63" i="2" a="1"/>
  <c r="G63" i="2" s="1"/>
  <c r="G64" i="2" a="1"/>
  <c r="G64" i="2" s="1"/>
  <c r="G65" i="2" a="1"/>
  <c r="G65" i="2" s="1"/>
  <c r="G66" i="2" a="1"/>
  <c r="G66" i="2" s="1"/>
  <c r="G67" i="2" a="1"/>
  <c r="G67" i="2" s="1"/>
  <c r="G68" i="2" a="1"/>
  <c r="G68" i="2"/>
  <c r="G69" i="2" a="1"/>
  <c r="G69" i="2" s="1"/>
  <c r="G70" i="2" a="1"/>
  <c r="G70" i="2" s="1"/>
  <c r="G71" i="2" a="1"/>
  <c r="G71" i="2" s="1"/>
  <c r="G72" i="2" a="1"/>
  <c r="G72" i="2" s="1"/>
  <c r="G73" i="2" a="1"/>
  <c r="G73" i="2"/>
  <c r="G74" i="2" a="1"/>
  <c r="G74" i="2" s="1"/>
  <c r="G75" i="2" a="1"/>
  <c r="G75" i="2" s="1"/>
  <c r="G76" i="2" a="1"/>
  <c r="G76" i="2" s="1"/>
  <c r="G77" i="2" a="1"/>
  <c r="G77" i="2"/>
  <c r="G78" i="2" a="1"/>
  <c r="G78" i="2" s="1"/>
  <c r="G79" i="2" a="1"/>
  <c r="G79" i="2" s="1"/>
  <c r="G80" i="2" a="1"/>
  <c r="G80" i="2"/>
  <c r="G81" i="2" a="1"/>
  <c r="G81" i="2" s="1"/>
  <c r="G82" i="2" a="1"/>
  <c r="G82" i="2"/>
  <c r="G83" i="2" a="1"/>
  <c r="G83" i="2" s="1"/>
  <c r="G84" i="2" a="1"/>
  <c r="G84" i="2" s="1"/>
  <c r="G85" i="2" a="1"/>
  <c r="G85" i="2" s="1"/>
  <c r="G86" i="2" a="1"/>
  <c r="G86" i="2" s="1"/>
  <c r="G87" i="2" a="1"/>
  <c r="G87" i="2" s="1"/>
  <c r="G88" i="2" a="1"/>
  <c r="G88" i="2" s="1"/>
  <c r="G89" i="2" a="1"/>
  <c r="G89" i="2" s="1"/>
  <c r="G90" i="2" a="1"/>
  <c r="G90" i="2" s="1"/>
  <c r="G91" i="2" a="1"/>
  <c r="G91" i="2"/>
  <c r="G92" i="2" a="1"/>
  <c r="G92" i="2" s="1"/>
  <c r="G93" i="2" a="1"/>
  <c r="G93" i="2" s="1"/>
  <c r="G94" i="2" a="1"/>
  <c r="G94" i="2" s="1"/>
  <c r="G95" i="2" a="1"/>
  <c r="G95" i="2" s="1"/>
  <c r="G96" i="2" a="1"/>
  <c r="G96" i="2" s="1"/>
  <c r="G97" i="2" a="1"/>
  <c r="G97" i="2" s="1"/>
  <c r="G98" i="2" a="1"/>
  <c r="G98" i="2"/>
  <c r="G99" i="2" a="1"/>
  <c r="G99" i="2" s="1"/>
  <c r="G100" i="2" a="1"/>
  <c r="G100" i="2"/>
  <c r="G101" i="2" a="1"/>
  <c r="G101" i="2" s="1"/>
  <c r="G102" i="2" a="1"/>
  <c r="G102" i="2" s="1"/>
  <c r="G103" i="2" a="1"/>
  <c r="G103" i="2" s="1"/>
  <c r="G104" i="2" a="1"/>
  <c r="G104" i="2" s="1"/>
  <c r="G105" i="2" a="1"/>
  <c r="G105" i="2"/>
  <c r="G106" i="2" a="1"/>
  <c r="G106" i="2" s="1"/>
  <c r="G107" i="2" a="1"/>
  <c r="G107" i="2"/>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c r="G136" i="2" a="1"/>
  <c r="G136" i="2" s="1"/>
  <c r="G137" i="2" a="1"/>
  <c r="G137" i="2" s="1"/>
  <c r="G138" i="2" a="1"/>
  <c r="G138" i="2" s="1"/>
  <c r="G139" i="2" a="1"/>
  <c r="G139" i="2" s="1"/>
  <c r="G140" i="2" a="1"/>
  <c r="G140" i="2" s="1"/>
  <c r="G141" i="2" a="1"/>
  <c r="G141" i="2" s="1"/>
  <c r="G142" i="2" a="1"/>
  <c r="G142" i="2" s="1"/>
  <c r="G143" i="2" a="1"/>
  <c r="G143" i="2"/>
  <c r="G144" i="2" a="1"/>
  <c r="G144" i="2" s="1"/>
  <c r="G145" i="2" a="1"/>
  <c r="G145" i="2"/>
  <c r="G146" i="2" a="1"/>
  <c r="G146" i="2" s="1"/>
  <c r="G147" i="2" a="1"/>
  <c r="G147" i="2" s="1"/>
  <c r="G148" i="2" a="1"/>
  <c r="G148" i="2" s="1"/>
  <c r="G149" i="2" a="1"/>
  <c r="G149" i="2" s="1"/>
  <c r="G150" i="2" a="1"/>
  <c r="G150" i="2"/>
  <c r="G151" i="2" a="1"/>
  <c r="G151" i="2" s="1"/>
  <c r="G152" i="2" a="1"/>
  <c r="G152" i="2" s="1"/>
  <c r="G153" i="2" a="1"/>
  <c r="G153" i="2"/>
  <c r="G154" i="2" a="1"/>
  <c r="G154" i="2" s="1"/>
  <c r="G155" i="2" a="1"/>
  <c r="G155" i="2" s="1"/>
  <c r="G156" i="2" a="1"/>
  <c r="G156" i="2"/>
  <c r="G157" i="2" a="1"/>
  <c r="G157" i="2" s="1"/>
  <c r="G158" i="2" a="1"/>
  <c r="G158" i="2" s="1"/>
  <c r="G159" i="2" a="1"/>
  <c r="G159" i="2" s="1"/>
  <c r="G160" i="2" a="1"/>
  <c r="G160" i="2" s="1"/>
  <c r="G161" i="2" a="1"/>
  <c r="G161" i="2" s="1"/>
  <c r="G162" i="2" a="1"/>
  <c r="G162" i="2" s="1"/>
  <c r="G163" i="2" a="1"/>
  <c r="G163" i="2"/>
  <c r="G164" i="2" a="1"/>
  <c r="G164" i="2" s="1"/>
  <c r="G165" i="2" a="1"/>
  <c r="G165" i="2" s="1"/>
  <c r="G166" i="2" a="1"/>
  <c r="G166" i="2" s="1"/>
  <c r="G167" i="2" a="1"/>
  <c r="G167" i="2" s="1"/>
  <c r="G168" i="2" a="1"/>
  <c r="G168" i="2" s="1"/>
  <c r="G169" i="2" a="1"/>
  <c r="G169" i="2" s="1"/>
  <c r="G170" i="2" a="1"/>
  <c r="G170" i="2" s="1"/>
  <c r="G171" i="2" a="1"/>
  <c r="G171" i="2" s="1"/>
  <c r="G172" i="2" a="1"/>
  <c r="G172" i="2" s="1"/>
  <c r="G173" i="2" a="1"/>
  <c r="G173" i="2"/>
  <c r="G174" i="2" a="1"/>
  <c r="G174" i="2"/>
  <c r="G175" i="2" a="1"/>
  <c r="G175" i="2"/>
  <c r="G176" i="2" a="1"/>
  <c r="G176" i="2" s="1"/>
  <c r="G177" i="2" a="1"/>
  <c r="G177" i="2" s="1"/>
  <c r="G178" i="2" a="1"/>
  <c r="G178" i="2" s="1"/>
  <c r="G179" i="2" a="1"/>
  <c r="G179" i="2" s="1"/>
  <c r="G180" i="2" a="1"/>
  <c r="G180" i="2" s="1"/>
  <c r="G181" i="2" a="1"/>
  <c r="G181" i="2" s="1"/>
  <c r="G182" i="2" a="1"/>
  <c r="G182" i="2" s="1"/>
  <c r="G183" i="2" a="1"/>
  <c r="G183" i="2"/>
  <c r="G184" i="2" a="1"/>
  <c r="G184" i="2" s="1"/>
  <c r="G185" i="2" a="1"/>
  <c r="G185" i="2" s="1"/>
  <c r="G186" i="2" a="1"/>
  <c r="G186" i="2" s="1"/>
  <c r="G187" i="2" a="1"/>
  <c r="G187" i="2" s="1"/>
  <c r="G188" i="2" a="1"/>
  <c r="G188" i="2" s="1"/>
  <c r="G189" i="2" a="1"/>
  <c r="G189" i="2" s="1"/>
  <c r="G190" i="2" a="1"/>
  <c r="G190" i="2"/>
  <c r="G191" i="2" a="1"/>
  <c r="G191" i="2" s="1"/>
  <c r="G192" i="2" a="1"/>
  <c r="G192" i="2" s="1"/>
  <c r="G193" i="2" a="1"/>
  <c r="G193" i="2" s="1"/>
  <c r="G194" i="2" a="1"/>
  <c r="G194" i="2"/>
  <c r="G195" i="2" a="1"/>
  <c r="G195" i="2" s="1"/>
  <c r="G196" i="2" a="1"/>
  <c r="G196" i="2" s="1"/>
  <c r="G197" i="2" a="1"/>
  <c r="G197" i="2" s="1"/>
  <c r="G198" i="2" a="1"/>
  <c r="G198" i="2"/>
  <c r="G199" i="2" a="1"/>
  <c r="G199" i="2" s="1"/>
  <c r="G200" i="2" a="1"/>
  <c r="G200" i="2" s="1"/>
  <c r="G201" i="2" a="1"/>
  <c r="G201" i="2"/>
  <c r="G202" i="2" a="1"/>
  <c r="G202" i="2" s="1"/>
  <c r="G203" i="2" a="1"/>
  <c r="G203" i="2"/>
  <c r="G204" i="2" a="1"/>
  <c r="G204" i="2" s="1"/>
  <c r="G205" i="2" a="1"/>
  <c r="G205" i="2" s="1"/>
  <c r="G206" i="2" a="1"/>
  <c r="G206" i="2" s="1"/>
  <c r="G207" i="2" a="1"/>
  <c r="G207" i="2" s="1"/>
  <c r="G208" i="2" a="1"/>
  <c r="G208" i="2" s="1"/>
  <c r="G209" i="2" a="1"/>
  <c r="G209" i="2" s="1"/>
  <c r="G210" i="2" a="1"/>
  <c r="G210" i="2"/>
  <c r="G211" i="2" a="1"/>
  <c r="G211" i="2"/>
  <c r="G212" i="2" a="1"/>
  <c r="G212" i="2" s="1"/>
  <c r="G213" i="2" a="1"/>
  <c r="G213" i="2" s="1"/>
  <c r="G214" i="2" a="1"/>
  <c r="G214" i="2" s="1"/>
  <c r="G215" i="2" a="1"/>
  <c r="G215" i="2" s="1"/>
  <c r="G216" i="2" a="1"/>
  <c r="G216" i="2"/>
  <c r="G217" i="2" a="1"/>
  <c r="G217" i="2" s="1"/>
  <c r="G218" i="2" a="1"/>
  <c r="G218" i="2" s="1"/>
  <c r="G219" i="2" a="1"/>
  <c r="G219" i="2"/>
  <c r="G220" i="2" a="1"/>
  <c r="G220" i="2"/>
  <c r="G221" i="2" a="1"/>
  <c r="G221" i="2" s="1"/>
  <c r="G222" i="2" a="1"/>
  <c r="G222" i="2" s="1"/>
  <c r="G223" i="2" a="1"/>
  <c r="G223" i="2" s="1"/>
  <c r="G224" i="2" a="1"/>
  <c r="G224" i="2" s="1"/>
  <c r="G225" i="2" a="1"/>
  <c r="G225" i="2"/>
  <c r="G226" i="2" a="1"/>
  <c r="G226" i="2" s="1"/>
  <c r="G227" i="2" a="1"/>
  <c r="G227" i="2" s="1"/>
  <c r="G228" i="2" a="1"/>
  <c r="G228" i="2" s="1"/>
  <c r="G229" i="2" a="1"/>
  <c r="G229" i="2" s="1"/>
  <c r="G230" i="2" a="1"/>
  <c r="G230" i="2" s="1"/>
  <c r="G231" i="2" a="1"/>
  <c r="G231" i="2"/>
  <c r="G232" i="2" a="1"/>
  <c r="G232" i="2" s="1"/>
  <c r="G233" i="2" a="1"/>
  <c r="G233" i="2" s="1"/>
  <c r="G234" i="2" a="1"/>
  <c r="G234" i="2" s="1"/>
  <c r="G235" i="2" a="1"/>
  <c r="G235" i="2" s="1"/>
  <c r="G236" i="2" a="1"/>
  <c r="G236" i="2" s="1"/>
  <c r="G237" i="2" a="1"/>
  <c r="G237" i="2" s="1"/>
  <c r="G238" i="2" a="1"/>
  <c r="G238" i="2" s="1"/>
  <c r="G239" i="2" a="1"/>
  <c r="G239" i="2"/>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c r="G255" i="2" a="1"/>
  <c r="G255" i="2" s="1"/>
  <c r="G256" i="2" a="1"/>
  <c r="G256" i="2" s="1"/>
  <c r="G257" i="2" a="1"/>
  <c r="G257" i="2"/>
  <c r="G258" i="2" a="1"/>
  <c r="G258" i="2" s="1"/>
  <c r="G259" i="2" a="1"/>
  <c r="G259" i="2" s="1"/>
  <c r="G260" i="2" a="1"/>
  <c r="G260" i="2" s="1"/>
  <c r="G261" i="2" a="1"/>
  <c r="G261" i="2" s="1"/>
  <c r="G262" i="2" a="1"/>
  <c r="G262" i="2" s="1"/>
  <c r="G263" i="2" a="1"/>
  <c r="G263" i="2" s="1"/>
  <c r="G264" i="2" a="1"/>
  <c r="G264" i="2"/>
  <c r="G265" i="2" a="1"/>
  <c r="G265" i="2" s="1"/>
  <c r="G266" i="2" a="1"/>
  <c r="G266" i="2"/>
  <c r="G267" i="2" a="1"/>
  <c r="G267" i="2" s="1"/>
  <c r="G268" i="2" a="1"/>
  <c r="G268" i="2" s="1"/>
  <c r="G269" i="2" a="1"/>
  <c r="G269" i="2" s="1"/>
  <c r="G270" i="2" a="1"/>
  <c r="G270" i="2" s="1"/>
  <c r="G271" i="2" a="1"/>
  <c r="G271" i="2" s="1"/>
  <c r="G272" i="2" a="1"/>
  <c r="G272" i="2" s="1"/>
  <c r="G273" i="2" a="1"/>
  <c r="G273" i="2"/>
  <c r="G274" i="2" a="1"/>
  <c r="G274" i="2" s="1"/>
  <c r="G275" i="2" a="1"/>
  <c r="G275" i="2" s="1"/>
  <c r="G276" i="2" a="1"/>
  <c r="G276" i="2"/>
  <c r="G277" i="2" a="1"/>
  <c r="G277" i="2" s="1"/>
  <c r="G278" i="2" a="1"/>
  <c r="G278" i="2"/>
  <c r="G279" i="2" a="1"/>
  <c r="G279" i="2" s="1"/>
  <c r="G280" i="2" a="1"/>
  <c r="G280" i="2" s="1"/>
  <c r="G281" i="2" a="1"/>
  <c r="G281" i="2" s="1"/>
  <c r="G282" i="2" a="1"/>
  <c r="G282" i="2" s="1"/>
  <c r="G283" i="2" a="1"/>
  <c r="G283" i="2" s="1"/>
  <c r="G284" i="2" a="1"/>
  <c r="G284" i="2" s="1"/>
  <c r="G285" i="2" a="1"/>
  <c r="G285" i="2" s="1"/>
  <c r="G286" i="2" a="1"/>
  <c r="G286" i="2"/>
  <c r="G287" i="2" a="1"/>
  <c r="G287" i="2"/>
  <c r="G288" i="2" a="1"/>
  <c r="G288" i="2" s="1"/>
  <c r="G289" i="2" a="1"/>
  <c r="G289" i="2" s="1"/>
  <c r="G290" i="2" a="1"/>
  <c r="G290" i="2" s="1"/>
  <c r="G291" i="2" a="1"/>
  <c r="G291" i="2" s="1"/>
  <c r="G292" i="2" a="1"/>
  <c r="G292" i="2"/>
  <c r="G293" i="2" a="1"/>
  <c r="G293" i="2" s="1"/>
  <c r="G294" i="2" a="1"/>
  <c r="G294" i="2"/>
  <c r="G295" i="2" a="1"/>
  <c r="G295" i="2" s="1"/>
  <c r="G296" i="2" a="1"/>
  <c r="G296" i="2"/>
  <c r="G297" i="2" a="1"/>
  <c r="G297" i="2"/>
  <c r="G298" i="2" a="1"/>
  <c r="G298" i="2" s="1"/>
  <c r="G299" i="2" a="1"/>
  <c r="G299" i="2" s="1"/>
  <c r="G300" i="2" a="1"/>
  <c r="G300" i="2" s="1"/>
  <c r="G301" i="2" a="1"/>
  <c r="G301" i="2" s="1"/>
  <c r="G2" i="2" a="1"/>
  <c r="G2" i="2" s="1"/>
  <c r="D3" i="7"/>
  <c r="D4" i="7"/>
  <c r="D5" i="7"/>
  <c r="D2" i="7"/>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2" i="2"/>
  <c r="A2" i="5" l="1" a="1"/>
  <c r="A2" i="5" l="1"/>
  <c r="G16" i="5"/>
  <c r="H16" i="5" s="1"/>
  <c r="G30" i="5"/>
  <c r="H30" i="5" s="1"/>
  <c r="G44" i="5"/>
  <c r="H44" i="5" s="1"/>
  <c r="G58" i="5"/>
  <c r="H58" i="5" s="1"/>
  <c r="G72" i="5"/>
  <c r="H72" i="5" s="1"/>
  <c r="G86" i="5"/>
  <c r="H86" i="5" s="1"/>
  <c r="G100" i="5"/>
  <c r="H100" i="5" s="1"/>
  <c r="G114" i="5"/>
  <c r="H114" i="5" s="1"/>
  <c r="G128" i="5"/>
  <c r="H128" i="5" s="1"/>
  <c r="G142" i="5"/>
  <c r="H142" i="5" s="1"/>
  <c r="G156" i="5"/>
  <c r="H156" i="5" s="1"/>
  <c r="G170" i="5"/>
  <c r="H170" i="5" s="1"/>
  <c r="G184" i="5"/>
  <c r="H184" i="5" s="1"/>
  <c r="G143" i="5"/>
  <c r="H143" i="5" s="1"/>
  <c r="G171" i="5"/>
  <c r="H171" i="5" s="1"/>
  <c r="G3" i="5"/>
  <c r="H3" i="5" s="1"/>
  <c r="G17" i="5"/>
  <c r="H17" i="5" s="1"/>
  <c r="G31" i="5"/>
  <c r="H31" i="5" s="1"/>
  <c r="G45" i="5"/>
  <c r="H45" i="5" s="1"/>
  <c r="G59" i="5"/>
  <c r="H59" i="5" s="1"/>
  <c r="G73" i="5"/>
  <c r="H73" i="5" s="1"/>
  <c r="G87" i="5"/>
  <c r="H87" i="5" s="1"/>
  <c r="G101" i="5"/>
  <c r="H101" i="5" s="1"/>
  <c r="G115" i="5"/>
  <c r="H115" i="5" s="1"/>
  <c r="G129" i="5"/>
  <c r="H129" i="5" s="1"/>
  <c r="G157" i="5"/>
  <c r="H157" i="5" s="1"/>
  <c r="G185" i="5"/>
  <c r="H185" i="5" s="1"/>
  <c r="G4" i="5"/>
  <c r="H4" i="5" s="1"/>
  <c r="G18" i="5"/>
  <c r="H18" i="5" s="1"/>
  <c r="G32" i="5"/>
  <c r="H32" i="5" s="1"/>
  <c r="G46" i="5"/>
  <c r="H46" i="5" s="1"/>
  <c r="G60" i="5"/>
  <c r="H60" i="5" s="1"/>
  <c r="G74" i="5"/>
  <c r="H74" i="5" s="1"/>
  <c r="G88" i="5"/>
  <c r="H88" i="5" s="1"/>
  <c r="G102" i="5"/>
  <c r="H102" i="5" s="1"/>
  <c r="G116" i="5"/>
  <c r="H116" i="5" s="1"/>
  <c r="G130" i="5"/>
  <c r="H130" i="5" s="1"/>
  <c r="G144" i="5"/>
  <c r="H144" i="5" s="1"/>
  <c r="G158" i="5"/>
  <c r="H158" i="5" s="1"/>
  <c r="G172" i="5"/>
  <c r="H172" i="5" s="1"/>
  <c r="G186" i="5"/>
  <c r="H186" i="5" s="1"/>
  <c r="G8" i="5"/>
  <c r="H8" i="5" s="1"/>
  <c r="G22" i="5"/>
  <c r="H22" i="5" s="1"/>
  <c r="G36" i="5"/>
  <c r="H36" i="5" s="1"/>
  <c r="G50" i="5"/>
  <c r="H50" i="5" s="1"/>
  <c r="G64" i="5"/>
  <c r="H64" i="5" s="1"/>
  <c r="G78" i="5"/>
  <c r="H78" i="5" s="1"/>
  <c r="G92" i="5"/>
  <c r="H92" i="5" s="1"/>
  <c r="G106" i="5"/>
  <c r="H106" i="5" s="1"/>
  <c r="G120" i="5"/>
  <c r="H120" i="5" s="1"/>
  <c r="G134" i="5"/>
  <c r="H134" i="5" s="1"/>
  <c r="G148" i="5"/>
  <c r="H148" i="5" s="1"/>
  <c r="G162" i="5"/>
  <c r="H162" i="5" s="1"/>
  <c r="G176" i="5"/>
  <c r="H176" i="5" s="1"/>
  <c r="G190" i="5"/>
  <c r="H190" i="5" s="1"/>
  <c r="G10" i="5"/>
  <c r="H10" i="5" s="1"/>
  <c r="G24" i="5"/>
  <c r="H24" i="5" s="1"/>
  <c r="G9" i="5"/>
  <c r="H9" i="5" s="1"/>
  <c r="G23" i="5"/>
  <c r="H23" i="5" s="1"/>
  <c r="G37" i="5"/>
  <c r="H37" i="5" s="1"/>
  <c r="G51" i="5"/>
  <c r="H51" i="5" s="1"/>
  <c r="G65" i="5"/>
  <c r="H65" i="5" s="1"/>
  <c r="G79" i="5"/>
  <c r="H79" i="5" s="1"/>
  <c r="G93" i="5"/>
  <c r="H93" i="5" s="1"/>
  <c r="G107" i="5"/>
  <c r="H107" i="5" s="1"/>
  <c r="G121" i="5"/>
  <c r="H121" i="5" s="1"/>
  <c r="G135" i="5"/>
  <c r="H135" i="5" s="1"/>
  <c r="G149" i="5"/>
  <c r="H149" i="5" s="1"/>
  <c r="G163" i="5"/>
  <c r="H163" i="5" s="1"/>
  <c r="G177" i="5"/>
  <c r="H177" i="5" s="1"/>
  <c r="G191" i="5"/>
  <c r="H191" i="5" s="1"/>
  <c r="G38" i="5"/>
  <c r="H38" i="5" s="1"/>
  <c r="G66" i="5"/>
  <c r="H66" i="5" s="1"/>
  <c r="G12" i="5"/>
  <c r="H12" i="5" s="1"/>
  <c r="G35" i="5"/>
  <c r="H35" i="5" s="1"/>
  <c r="G57" i="5"/>
  <c r="H57" i="5" s="1"/>
  <c r="G82" i="5"/>
  <c r="H82" i="5" s="1"/>
  <c r="G104" i="5"/>
  <c r="H104" i="5" s="1"/>
  <c r="G125" i="5"/>
  <c r="H125" i="5" s="1"/>
  <c r="G147" i="5"/>
  <c r="H147" i="5" s="1"/>
  <c r="G168" i="5"/>
  <c r="H168" i="5" s="1"/>
  <c r="G192" i="5"/>
  <c r="H192" i="5" s="1"/>
  <c r="G15" i="5"/>
  <c r="H15" i="5" s="1"/>
  <c r="G41" i="5"/>
  <c r="H41" i="5" s="1"/>
  <c r="G63" i="5"/>
  <c r="H63" i="5" s="1"/>
  <c r="G85" i="5"/>
  <c r="H85" i="5" s="1"/>
  <c r="G109" i="5"/>
  <c r="H109" i="5" s="1"/>
  <c r="G131" i="5"/>
  <c r="H131" i="5" s="1"/>
  <c r="G152" i="5"/>
  <c r="H152" i="5" s="1"/>
  <c r="G174" i="5"/>
  <c r="H174" i="5" s="1"/>
  <c r="G195" i="5"/>
  <c r="H195" i="5" s="1"/>
  <c r="G19" i="5"/>
  <c r="H19" i="5" s="1"/>
  <c r="G42" i="5"/>
  <c r="H42" i="5" s="1"/>
  <c r="G67" i="5"/>
  <c r="H67" i="5" s="1"/>
  <c r="G89" i="5"/>
  <c r="H89" i="5" s="1"/>
  <c r="G110" i="5"/>
  <c r="H110" i="5" s="1"/>
  <c r="G132" i="5"/>
  <c r="H132" i="5" s="1"/>
  <c r="G153" i="5"/>
  <c r="H153" i="5" s="1"/>
  <c r="G175" i="5"/>
  <c r="H175" i="5" s="1"/>
  <c r="G196" i="5"/>
  <c r="H196" i="5" s="1"/>
  <c r="G21" i="5"/>
  <c r="H21" i="5" s="1"/>
  <c r="G47" i="5"/>
  <c r="H47" i="5" s="1"/>
  <c r="G69" i="5"/>
  <c r="H69" i="5" s="1"/>
  <c r="G91" i="5"/>
  <c r="H91" i="5" s="1"/>
  <c r="G112" i="5"/>
  <c r="H112" i="5" s="1"/>
  <c r="G136" i="5"/>
  <c r="H136" i="5" s="1"/>
  <c r="G155" i="5"/>
  <c r="H155" i="5" s="1"/>
  <c r="G179" i="5"/>
  <c r="H179" i="5" s="1"/>
  <c r="G52" i="5"/>
  <c r="H52" i="5" s="1"/>
  <c r="G96" i="5"/>
  <c r="H96" i="5" s="1"/>
  <c r="G182" i="5"/>
  <c r="H182" i="5" s="1"/>
  <c r="G97" i="5"/>
  <c r="H97" i="5" s="1"/>
  <c r="G164" i="5"/>
  <c r="H164" i="5" s="1"/>
  <c r="G25" i="5"/>
  <c r="H25" i="5" s="1"/>
  <c r="G48" i="5"/>
  <c r="H48" i="5" s="1"/>
  <c r="G70" i="5"/>
  <c r="H70" i="5" s="1"/>
  <c r="G94" i="5"/>
  <c r="H94" i="5" s="1"/>
  <c r="G113" i="5"/>
  <c r="H113" i="5" s="1"/>
  <c r="G137" i="5"/>
  <c r="H137" i="5" s="1"/>
  <c r="G159" i="5"/>
  <c r="H159" i="5" s="1"/>
  <c r="G180" i="5"/>
  <c r="H180" i="5" s="1"/>
  <c r="G27" i="5"/>
  <c r="H27" i="5" s="1"/>
  <c r="G118" i="5"/>
  <c r="H118" i="5" s="1"/>
  <c r="G28" i="5"/>
  <c r="H28" i="5" s="1"/>
  <c r="G119" i="5"/>
  <c r="H119" i="5" s="1"/>
  <c r="G183" i="5"/>
  <c r="H183" i="5" s="1"/>
  <c r="G26" i="5"/>
  <c r="H26" i="5" s="1"/>
  <c r="G49" i="5"/>
  <c r="H49" i="5" s="1"/>
  <c r="G71" i="5"/>
  <c r="H71" i="5" s="1"/>
  <c r="G95" i="5"/>
  <c r="H95" i="5" s="1"/>
  <c r="G117" i="5"/>
  <c r="H117" i="5" s="1"/>
  <c r="G138" i="5"/>
  <c r="H138" i="5" s="1"/>
  <c r="G160" i="5"/>
  <c r="H160" i="5" s="1"/>
  <c r="G181" i="5"/>
  <c r="H181" i="5" s="1"/>
  <c r="G75" i="5"/>
  <c r="H75" i="5" s="1"/>
  <c r="G139" i="5"/>
  <c r="H139" i="5" s="1"/>
  <c r="G5" i="5"/>
  <c r="H5" i="5" s="1"/>
  <c r="G76" i="5"/>
  <c r="H76" i="5" s="1"/>
  <c r="G140" i="5"/>
  <c r="H140" i="5" s="1"/>
  <c r="G161" i="5"/>
  <c r="H161" i="5" s="1"/>
  <c r="G53" i="5"/>
  <c r="H53" i="5" s="1"/>
  <c r="G11" i="5"/>
  <c r="H11" i="5" s="1"/>
  <c r="G62" i="5"/>
  <c r="H62" i="5" s="1"/>
  <c r="G122" i="5"/>
  <c r="H122" i="5" s="1"/>
  <c r="G167" i="5"/>
  <c r="H167" i="5" s="1"/>
  <c r="G13" i="5"/>
  <c r="H13" i="5" s="1"/>
  <c r="G68" i="5"/>
  <c r="H68" i="5" s="1"/>
  <c r="G123" i="5"/>
  <c r="H123" i="5" s="1"/>
  <c r="G169" i="5"/>
  <c r="H169" i="5" s="1"/>
  <c r="G34" i="5"/>
  <c r="H34" i="5" s="1"/>
  <c r="G84" i="5"/>
  <c r="H84" i="5" s="1"/>
  <c r="G141" i="5"/>
  <c r="H141" i="5" s="1"/>
  <c r="G189" i="5"/>
  <c r="H189" i="5" s="1"/>
  <c r="G165" i="5"/>
  <c r="H165" i="5" s="1"/>
  <c r="G111" i="5"/>
  <c r="H111" i="5" s="1"/>
  <c r="G14" i="5"/>
  <c r="H14" i="5" s="1"/>
  <c r="G77" i="5"/>
  <c r="H77" i="5" s="1"/>
  <c r="G124" i="5"/>
  <c r="H124" i="5" s="1"/>
  <c r="G178" i="5"/>
  <c r="H178" i="5" s="1"/>
  <c r="G29" i="5"/>
  <c r="H29" i="5" s="1"/>
  <c r="G33" i="5"/>
  <c r="H33" i="5" s="1"/>
  <c r="G133" i="5"/>
  <c r="H133" i="5" s="1"/>
  <c r="G39" i="5"/>
  <c r="H39" i="5" s="1"/>
  <c r="G90" i="5"/>
  <c r="H90" i="5" s="1"/>
  <c r="G145" i="5"/>
  <c r="H145" i="5" s="1"/>
  <c r="G193" i="5"/>
  <c r="H193" i="5" s="1"/>
  <c r="G98" i="5"/>
  <c r="H98" i="5" s="1"/>
  <c r="G43" i="5"/>
  <c r="H43" i="5" s="1"/>
  <c r="G197" i="5"/>
  <c r="H197" i="5" s="1"/>
  <c r="G54" i="5"/>
  <c r="H54" i="5" s="1"/>
  <c r="G103" i="5"/>
  <c r="H103" i="5" s="1"/>
  <c r="G105" i="5"/>
  <c r="H105" i="5" s="1"/>
  <c r="G6" i="5"/>
  <c r="H6" i="5" s="1"/>
  <c r="G108" i="5"/>
  <c r="H108" i="5" s="1"/>
  <c r="G61" i="5"/>
  <c r="H61" i="5" s="1"/>
  <c r="G173" i="5"/>
  <c r="H173" i="5" s="1"/>
  <c r="G20" i="5"/>
  <c r="H20" i="5" s="1"/>
  <c r="G127" i="5"/>
  <c r="H127" i="5" s="1"/>
  <c r="G83" i="5"/>
  <c r="H83" i="5" s="1"/>
  <c r="G40" i="5"/>
  <c r="H40" i="5" s="1"/>
  <c r="G146" i="5"/>
  <c r="H146" i="5" s="1"/>
  <c r="G194" i="5"/>
  <c r="H194" i="5" s="1"/>
  <c r="G150" i="5"/>
  <c r="H150" i="5" s="1"/>
  <c r="G55" i="5"/>
  <c r="H55" i="5" s="1"/>
  <c r="G166" i="5"/>
  <c r="H166" i="5" s="1"/>
  <c r="G80" i="5"/>
  <c r="H80" i="5" s="1"/>
  <c r="G99" i="5"/>
  <c r="H99" i="5" s="1"/>
  <c r="G151" i="5"/>
  <c r="H151" i="5" s="1"/>
  <c r="G154" i="5"/>
  <c r="H154" i="5" s="1"/>
  <c r="G56" i="5"/>
  <c r="H56" i="5" s="1"/>
  <c r="G7" i="5"/>
  <c r="H7" i="5" s="1"/>
  <c r="G81" i="5"/>
  <c r="H81" i="5" s="1"/>
  <c r="G187" i="5"/>
  <c r="H187" i="5" s="1"/>
  <c r="G188" i="5"/>
  <c r="H188" i="5" s="1"/>
  <c r="G126" i="5"/>
  <c r="H126" i="5" s="1"/>
  <c r="G2" i="5" l="1"/>
  <c r="H2" i="5" s="1"/>
  <c r="B2" i="5" a="1"/>
  <c r="B2" i="5" s="1"/>
  <c r="R56" i="2" s="1"/>
  <c r="E2" i="5" a="1"/>
  <c r="C2" i="5" a="1"/>
  <c r="C2" i="5" s="1"/>
  <c r="R86" i="2"/>
  <c r="R184" i="2"/>
  <c r="R270" i="2"/>
  <c r="R296" i="2"/>
  <c r="R61" i="2"/>
  <c r="R120" i="2" l="1"/>
  <c r="R291" i="2"/>
  <c r="R51" i="2"/>
  <c r="R229" i="2"/>
  <c r="R129" i="2"/>
  <c r="R135" i="2"/>
  <c r="R33" i="2"/>
  <c r="R37" i="2"/>
  <c r="R200" i="2"/>
  <c r="R166" i="2"/>
  <c r="H3" i="2"/>
  <c r="H17" i="2"/>
  <c r="H31" i="2"/>
  <c r="H45" i="2"/>
  <c r="H59" i="2"/>
  <c r="H73" i="2"/>
  <c r="H87" i="2"/>
  <c r="H101" i="2"/>
  <c r="H115" i="2"/>
  <c r="H129" i="2"/>
  <c r="H143" i="2"/>
  <c r="H157" i="2"/>
  <c r="H171" i="2"/>
  <c r="H185" i="2"/>
  <c r="H199" i="2"/>
  <c r="H213" i="2"/>
  <c r="H227" i="2"/>
  <c r="H241" i="2"/>
  <c r="H255" i="2"/>
  <c r="H269" i="2"/>
  <c r="H283" i="2"/>
  <c r="H297" i="2"/>
  <c r="H50" i="2"/>
  <c r="H176" i="2"/>
  <c r="H260" i="2"/>
  <c r="H29" i="2"/>
  <c r="H267" i="2"/>
  <c r="H58" i="2"/>
  <c r="H226" i="2"/>
  <c r="H4" i="2"/>
  <c r="H18" i="2"/>
  <c r="H32" i="2"/>
  <c r="H46" i="2"/>
  <c r="H60" i="2"/>
  <c r="H74" i="2"/>
  <c r="H88" i="2"/>
  <c r="H102" i="2"/>
  <c r="H116" i="2"/>
  <c r="H130" i="2"/>
  <c r="H144" i="2"/>
  <c r="H158" i="2"/>
  <c r="H172" i="2"/>
  <c r="H186" i="2"/>
  <c r="H200" i="2"/>
  <c r="H214" i="2"/>
  <c r="H228" i="2"/>
  <c r="H242" i="2"/>
  <c r="H256" i="2"/>
  <c r="H270" i="2"/>
  <c r="H284" i="2"/>
  <c r="H298" i="2"/>
  <c r="H35" i="2"/>
  <c r="H287" i="2"/>
  <c r="H22" i="2"/>
  <c r="H64" i="2"/>
  <c r="H106" i="2"/>
  <c r="H148" i="2"/>
  <c r="H218" i="2"/>
  <c r="H274" i="2"/>
  <c r="H57" i="2"/>
  <c r="H197" i="2"/>
  <c r="H30" i="2"/>
  <c r="H212" i="2"/>
  <c r="H5" i="2"/>
  <c r="H19" i="2"/>
  <c r="H33" i="2"/>
  <c r="H47" i="2"/>
  <c r="H61" i="2"/>
  <c r="H75" i="2"/>
  <c r="H89" i="2"/>
  <c r="H103" i="2"/>
  <c r="H117" i="2"/>
  <c r="H131" i="2"/>
  <c r="H145" i="2"/>
  <c r="H159" i="2"/>
  <c r="H173" i="2"/>
  <c r="H187" i="2"/>
  <c r="H201" i="2"/>
  <c r="H215" i="2"/>
  <c r="H229" i="2"/>
  <c r="H243" i="2"/>
  <c r="H257" i="2"/>
  <c r="H271" i="2"/>
  <c r="H285" i="2"/>
  <c r="H299" i="2"/>
  <c r="H21" i="2"/>
  <c r="H217" i="2"/>
  <c r="H259" i="2"/>
  <c r="H36" i="2"/>
  <c r="H92" i="2"/>
  <c r="H134" i="2"/>
  <c r="H190" i="2"/>
  <c r="H232" i="2"/>
  <c r="H2" i="2"/>
  <c r="H15" i="2"/>
  <c r="H253" i="2"/>
  <c r="H72" i="2"/>
  <c r="H184" i="2"/>
  <c r="H296" i="2"/>
  <c r="H6" i="2"/>
  <c r="H20" i="2"/>
  <c r="H34" i="2"/>
  <c r="H48" i="2"/>
  <c r="H62" i="2"/>
  <c r="H76" i="2"/>
  <c r="H90" i="2"/>
  <c r="H104" i="2"/>
  <c r="H118" i="2"/>
  <c r="H132" i="2"/>
  <c r="H146" i="2"/>
  <c r="H160" i="2"/>
  <c r="H174" i="2"/>
  <c r="H188" i="2"/>
  <c r="H202" i="2"/>
  <c r="H216" i="2"/>
  <c r="H230" i="2"/>
  <c r="H244" i="2"/>
  <c r="H258" i="2"/>
  <c r="H272" i="2"/>
  <c r="H286" i="2"/>
  <c r="H300" i="2"/>
  <c r="H7" i="2"/>
  <c r="H49" i="2"/>
  <c r="H63" i="2"/>
  <c r="H77" i="2"/>
  <c r="H91" i="2"/>
  <c r="H105" i="2"/>
  <c r="H119" i="2"/>
  <c r="H133" i="2"/>
  <c r="H147" i="2"/>
  <c r="H161" i="2"/>
  <c r="H175" i="2"/>
  <c r="H189" i="2"/>
  <c r="H203" i="2"/>
  <c r="H231" i="2"/>
  <c r="H245" i="2"/>
  <c r="H273" i="2"/>
  <c r="H301" i="2"/>
  <c r="H8" i="2"/>
  <c r="H78" i="2"/>
  <c r="H120" i="2"/>
  <c r="H162" i="2"/>
  <c r="H204" i="2"/>
  <c r="H246" i="2"/>
  <c r="H288" i="2"/>
  <c r="H71" i="2"/>
  <c r="H127" i="2"/>
  <c r="H155" i="2"/>
  <c r="H225" i="2"/>
  <c r="H16" i="2"/>
  <c r="H128" i="2"/>
  <c r="H142" i="2"/>
  <c r="H240" i="2"/>
  <c r="H9" i="2"/>
  <c r="H23" i="2"/>
  <c r="H37" i="2"/>
  <c r="H51" i="2"/>
  <c r="H65" i="2"/>
  <c r="H79" i="2"/>
  <c r="H93" i="2"/>
  <c r="H107" i="2"/>
  <c r="H121" i="2"/>
  <c r="H135" i="2"/>
  <c r="H149" i="2"/>
  <c r="H163" i="2"/>
  <c r="H177" i="2"/>
  <c r="H191" i="2"/>
  <c r="H205" i="2"/>
  <c r="H219" i="2"/>
  <c r="H233" i="2"/>
  <c r="H247" i="2"/>
  <c r="H261" i="2"/>
  <c r="H275" i="2"/>
  <c r="H289" i="2"/>
  <c r="H42" i="2"/>
  <c r="H182" i="2"/>
  <c r="H252" i="2"/>
  <c r="H99" i="2"/>
  <c r="H169" i="2"/>
  <c r="H295" i="2"/>
  <c r="H114" i="2"/>
  <c r="H254" i="2"/>
  <c r="H10" i="2"/>
  <c r="H24" i="2"/>
  <c r="H38" i="2"/>
  <c r="H52" i="2"/>
  <c r="H66" i="2"/>
  <c r="H80" i="2"/>
  <c r="H94" i="2"/>
  <c r="H108" i="2"/>
  <c r="H122" i="2"/>
  <c r="H136" i="2"/>
  <c r="H150" i="2"/>
  <c r="H164" i="2"/>
  <c r="H178" i="2"/>
  <c r="H192" i="2"/>
  <c r="H206" i="2"/>
  <c r="H220" i="2"/>
  <c r="H234" i="2"/>
  <c r="H248" i="2"/>
  <c r="H262" i="2"/>
  <c r="H276" i="2"/>
  <c r="H290" i="2"/>
  <c r="H28" i="2"/>
  <c r="H168" i="2"/>
  <c r="H224" i="2"/>
  <c r="H280" i="2"/>
  <c r="H85" i="2"/>
  <c r="H183" i="2"/>
  <c r="H281" i="2"/>
  <c r="H44" i="2"/>
  <c r="H170" i="2"/>
  <c r="H282" i="2"/>
  <c r="H11" i="2"/>
  <c r="H25" i="2"/>
  <c r="H39" i="2"/>
  <c r="H53" i="2"/>
  <c r="H67" i="2"/>
  <c r="H81" i="2"/>
  <c r="H95" i="2"/>
  <c r="H109" i="2"/>
  <c r="H123" i="2"/>
  <c r="H137" i="2"/>
  <c r="H151" i="2"/>
  <c r="H165" i="2"/>
  <c r="H179" i="2"/>
  <c r="H193" i="2"/>
  <c r="H207" i="2"/>
  <c r="H221" i="2"/>
  <c r="H235" i="2"/>
  <c r="H249" i="2"/>
  <c r="H263" i="2"/>
  <c r="H277" i="2"/>
  <c r="H291" i="2"/>
  <c r="H14" i="2"/>
  <c r="H70" i="2"/>
  <c r="H84" i="2"/>
  <c r="H98" i="2"/>
  <c r="H112" i="2"/>
  <c r="H126" i="2"/>
  <c r="H140" i="2"/>
  <c r="H196" i="2"/>
  <c r="H238" i="2"/>
  <c r="H294" i="2"/>
  <c r="H113" i="2"/>
  <c r="H141" i="2"/>
  <c r="H239" i="2"/>
  <c r="H100" i="2"/>
  <c r="H198" i="2"/>
  <c r="H12" i="2"/>
  <c r="H26" i="2"/>
  <c r="H40" i="2"/>
  <c r="H54" i="2"/>
  <c r="H68" i="2"/>
  <c r="H82" i="2"/>
  <c r="H96" i="2"/>
  <c r="H110" i="2"/>
  <c r="H124" i="2"/>
  <c r="H138" i="2"/>
  <c r="H152" i="2"/>
  <c r="H166" i="2"/>
  <c r="H180" i="2"/>
  <c r="H194" i="2"/>
  <c r="H208" i="2"/>
  <c r="H222" i="2"/>
  <c r="H236" i="2"/>
  <c r="H250" i="2"/>
  <c r="H264" i="2"/>
  <c r="H278" i="2"/>
  <c r="H292" i="2"/>
  <c r="H13" i="2"/>
  <c r="H27" i="2"/>
  <c r="H41" i="2"/>
  <c r="H55" i="2"/>
  <c r="H69" i="2"/>
  <c r="H83" i="2"/>
  <c r="H97" i="2"/>
  <c r="H111" i="2"/>
  <c r="H125" i="2"/>
  <c r="H139" i="2"/>
  <c r="H153" i="2"/>
  <c r="H167" i="2"/>
  <c r="H181" i="2"/>
  <c r="H195" i="2"/>
  <c r="H209" i="2"/>
  <c r="H223" i="2"/>
  <c r="H237" i="2"/>
  <c r="H251" i="2"/>
  <c r="H265" i="2"/>
  <c r="H279" i="2"/>
  <c r="H293" i="2"/>
  <c r="H56" i="2"/>
  <c r="H154" i="2"/>
  <c r="H210" i="2"/>
  <c r="H266" i="2"/>
  <c r="H43" i="2"/>
  <c r="H211" i="2"/>
  <c r="H86" i="2"/>
  <c r="H156" i="2"/>
  <c r="H268" i="2"/>
  <c r="R126" i="2"/>
  <c r="R181" i="2"/>
  <c r="R136" i="2"/>
  <c r="R295" i="2"/>
  <c r="R159" i="2"/>
  <c r="R167" i="2"/>
  <c r="R293" i="2"/>
  <c r="R297" i="2"/>
  <c r="R294" i="2"/>
  <c r="R263" i="2"/>
  <c r="R26" i="2"/>
  <c r="R217" i="2"/>
  <c r="R93" i="2"/>
  <c r="R207" i="2"/>
  <c r="R122" i="2"/>
  <c r="R142" i="2"/>
  <c r="R289" i="2"/>
  <c r="R70" i="2"/>
  <c r="R107" i="2"/>
  <c r="R2" i="2"/>
  <c r="R150" i="2"/>
  <c r="R82" i="2"/>
  <c r="R95" i="2"/>
  <c r="R244" i="2"/>
  <c r="R46" i="2"/>
  <c r="R273" i="2"/>
  <c r="R213" i="2"/>
  <c r="R59" i="2"/>
  <c r="R91" i="2"/>
  <c r="R185" i="2"/>
  <c r="R255" i="2"/>
  <c r="R30" i="2"/>
  <c r="R13" i="2"/>
  <c r="R131" i="2"/>
  <c r="R83" i="2"/>
  <c r="R249" i="2"/>
  <c r="R228" i="2"/>
  <c r="R8" i="2"/>
  <c r="R278" i="2"/>
  <c r="R22" i="2"/>
  <c r="R116" i="2"/>
  <c r="R21" i="2"/>
  <c r="R124" i="2"/>
  <c r="R174" i="2"/>
  <c r="R275" i="2"/>
  <c r="R221" i="2"/>
  <c r="R125" i="2"/>
  <c r="R118" i="2"/>
  <c r="R36" i="2"/>
  <c r="R53" i="2"/>
  <c r="R57" i="2"/>
  <c r="R173" i="2"/>
  <c r="R171" i="2"/>
  <c r="R42" i="2"/>
  <c r="R152" i="2"/>
  <c r="R130" i="2"/>
  <c r="R259" i="2"/>
  <c r="R290" i="2"/>
  <c r="R17" i="2"/>
  <c r="R199" i="2"/>
  <c r="R19" i="2"/>
  <c r="R147" i="2"/>
  <c r="R210" i="2"/>
  <c r="R121" i="2"/>
  <c r="R103" i="2"/>
  <c r="R201" i="2"/>
  <c r="R180" i="2"/>
  <c r="R63" i="2"/>
  <c r="R25" i="2"/>
  <c r="R64" i="2"/>
  <c r="R205" i="2"/>
  <c r="R52" i="2"/>
  <c r="R236" i="2"/>
  <c r="R134" i="2"/>
  <c r="R69" i="2"/>
  <c r="R47" i="2"/>
  <c r="R100" i="2"/>
  <c r="R196" i="2"/>
  <c r="R49" i="2"/>
  <c r="R14" i="2"/>
  <c r="R257" i="2"/>
  <c r="R143" i="2"/>
  <c r="R178" i="2"/>
  <c r="R239" i="2"/>
  <c r="R177" i="2"/>
  <c r="R265" i="2"/>
  <c r="R65" i="2"/>
  <c r="R79" i="2"/>
  <c r="R243" i="2"/>
  <c r="R76" i="2"/>
  <c r="R252" i="2"/>
  <c r="R267" i="2"/>
  <c r="R85" i="2"/>
  <c r="R218" i="2"/>
  <c r="R78" i="2"/>
  <c r="R253" i="2"/>
  <c r="R172" i="2"/>
  <c r="R139" i="2"/>
  <c r="R299" i="2"/>
  <c r="R251" i="2"/>
  <c r="R193" i="2"/>
  <c r="R32" i="2"/>
  <c r="R164" i="2"/>
  <c r="R40" i="2"/>
  <c r="R110" i="2"/>
  <c r="R190" i="2"/>
  <c r="R272" i="2"/>
  <c r="R226" i="2"/>
  <c r="R287" i="2"/>
  <c r="R262" i="2"/>
  <c r="R60" i="2"/>
  <c r="R162" i="2"/>
  <c r="R28" i="2"/>
  <c r="R20" i="2"/>
  <c r="R281" i="2"/>
  <c r="R191" i="2"/>
  <c r="R206" i="2"/>
  <c r="R75" i="2"/>
  <c r="R117" i="2"/>
  <c r="R192" i="2"/>
  <c r="R12" i="2"/>
  <c r="R277" i="2"/>
  <c r="R111" i="2"/>
  <c r="R198" i="2"/>
  <c r="R98" i="2"/>
  <c r="R189" i="2"/>
  <c r="R84" i="2"/>
  <c r="R250" i="2"/>
  <c r="R268" i="2"/>
  <c r="R39" i="2"/>
  <c r="R10" i="2"/>
  <c r="R261" i="2"/>
  <c r="R288" i="2"/>
  <c r="R222" i="2"/>
  <c r="R68" i="2"/>
  <c r="R269" i="2"/>
  <c r="R163" i="2"/>
  <c r="R128" i="2"/>
  <c r="R7" i="2"/>
  <c r="R140" i="2"/>
  <c r="R35" i="2"/>
  <c r="R237" i="2"/>
  <c r="R115" i="2"/>
  <c r="R157" i="2"/>
  <c r="R108" i="2"/>
  <c r="R23" i="2"/>
  <c r="R233" i="2"/>
  <c r="R187" i="2"/>
  <c r="R204" i="2"/>
  <c r="R144" i="2"/>
  <c r="R292" i="2"/>
  <c r="R240" i="2"/>
  <c r="R114" i="2"/>
  <c r="R202" i="2"/>
  <c r="R24" i="2"/>
  <c r="R11" i="2"/>
  <c r="R219" i="2"/>
  <c r="R92" i="2"/>
  <c r="R260" i="2"/>
  <c r="R242" i="2"/>
  <c r="R220" i="2"/>
  <c r="R298" i="2"/>
  <c r="R176" i="2"/>
  <c r="R105" i="2"/>
  <c r="R132" i="2"/>
  <c r="R119" i="2"/>
  <c r="R113" i="2"/>
  <c r="R15" i="2"/>
  <c r="R123" i="2"/>
  <c r="R109" i="2"/>
  <c r="R264" i="2"/>
  <c r="R87" i="2"/>
  <c r="R224" i="2"/>
  <c r="R106" i="2"/>
  <c r="R301" i="2"/>
  <c r="R146" i="2"/>
  <c r="R169" i="2"/>
  <c r="R231" i="2"/>
  <c r="R271" i="2"/>
  <c r="R256" i="2"/>
  <c r="R248" i="2"/>
  <c r="R45" i="2"/>
  <c r="R31" i="2"/>
  <c r="R54" i="2"/>
  <c r="R283" i="2"/>
  <c r="R223" i="2"/>
  <c r="R175" i="2"/>
  <c r="R170" i="2"/>
  <c r="R71" i="2"/>
  <c r="R48" i="2"/>
  <c r="R182" i="2"/>
  <c r="R195" i="2"/>
  <c r="R234" i="2"/>
  <c r="R4" i="2"/>
  <c r="R80" i="2"/>
  <c r="R50" i="2"/>
  <c r="R153" i="2"/>
  <c r="R149" i="2"/>
  <c r="R145" i="2"/>
  <c r="R179" i="2"/>
  <c r="R89" i="2"/>
  <c r="R247" i="2"/>
  <c r="R66" i="2"/>
  <c r="R241" i="2"/>
  <c r="R102" i="2"/>
  <c r="R73" i="2"/>
  <c r="R158" i="2"/>
  <c r="R77" i="2"/>
  <c r="R27" i="2"/>
  <c r="R99" i="2"/>
  <c r="R141" i="2"/>
  <c r="R211" i="2"/>
  <c r="R133" i="2"/>
  <c r="R101" i="2"/>
  <c r="R285" i="2"/>
  <c r="R209" i="2"/>
  <c r="R94" i="2"/>
  <c r="R282" i="2"/>
  <c r="R18" i="2"/>
  <c r="R3" i="2"/>
  <c r="R9" i="2"/>
  <c r="R276" i="2"/>
  <c r="R215" i="2"/>
  <c r="R97" i="2"/>
  <c r="R96" i="2"/>
  <c r="R148" i="2"/>
  <c r="R245" i="2"/>
  <c r="R168" i="2"/>
  <c r="R238" i="2"/>
  <c r="R161" i="2"/>
  <c r="R58" i="2"/>
  <c r="R104" i="2"/>
  <c r="R235" i="2"/>
  <c r="R74" i="2"/>
  <c r="R41" i="2"/>
  <c r="R55" i="2"/>
  <c r="R137" i="2"/>
  <c r="R151" i="2"/>
  <c r="R165" i="2"/>
  <c r="R34" i="2"/>
  <c r="R203" i="2"/>
  <c r="R246" i="2"/>
  <c r="R266" i="2"/>
  <c r="R43" i="2"/>
  <c r="R286" i="2"/>
  <c r="R280" i="2"/>
  <c r="R38" i="2"/>
  <c r="R186" i="2"/>
  <c r="R214" i="2"/>
  <c r="R67" i="2"/>
  <c r="R284" i="2"/>
  <c r="R232" i="2"/>
  <c r="R274" i="2"/>
  <c r="R81" i="2"/>
  <c r="R88" i="2"/>
  <c r="R5" i="2"/>
  <c r="R227" i="2"/>
  <c r="R138" i="2"/>
  <c r="R208" i="2"/>
  <c r="R194" i="2"/>
  <c r="R154" i="2"/>
  <c r="R197" i="2"/>
  <c r="R155" i="2"/>
  <c r="R216" i="2"/>
  <c r="R16" i="2"/>
  <c r="R183" i="2"/>
  <c r="R300" i="2"/>
  <c r="R72" i="2"/>
  <c r="R258" i="2"/>
  <c r="R29" i="2"/>
  <c r="R188" i="2"/>
  <c r="R160" i="2"/>
  <c r="R225" i="2"/>
  <c r="R279" i="2"/>
  <c r="R230" i="2"/>
  <c r="R44" i="2"/>
  <c r="R212" i="2"/>
  <c r="R90" i="2"/>
  <c r="R62" i="2"/>
  <c r="R127" i="2"/>
  <c r="R254" i="2"/>
  <c r="R6" i="2"/>
  <c r="E2" i="5"/>
  <c r="R112" i="2"/>
  <c r="R156" i="2"/>
  <c r="A2" i="6" l="1" a="1"/>
  <c r="A2" i="6" s="1"/>
  <c r="B2" i="6" l="1" a="1"/>
  <c r="B2" i="6" s="1"/>
  <c r="F85" i="5" s="1"/>
  <c r="F86" i="5"/>
  <c r="F88" i="5" l="1"/>
  <c r="F87" i="5"/>
  <c r="F124" i="5"/>
  <c r="F117" i="5"/>
  <c r="F103" i="5"/>
  <c r="F125" i="5"/>
  <c r="F97" i="5"/>
  <c r="F191" i="5"/>
  <c r="F163" i="5"/>
  <c r="F61" i="5"/>
  <c r="F159" i="5"/>
  <c r="F139" i="5"/>
  <c r="F157" i="5"/>
  <c r="F81" i="5"/>
  <c r="F91" i="5"/>
  <c r="F22" i="5"/>
  <c r="F51" i="5"/>
  <c r="F131" i="5"/>
  <c r="F64" i="5"/>
  <c r="F9" i="5"/>
  <c r="F132" i="5"/>
  <c r="F69" i="5"/>
  <c r="F5" i="5"/>
  <c r="F146" i="5"/>
  <c r="F99" i="5"/>
  <c r="F123" i="5"/>
  <c r="F177" i="5"/>
  <c r="F2" i="5"/>
  <c r="F188" i="5"/>
  <c r="F119" i="5"/>
  <c r="F149" i="5"/>
  <c r="F114" i="5"/>
  <c r="F67" i="5"/>
  <c r="F76" i="5"/>
  <c r="F136" i="5"/>
  <c r="F4" i="5"/>
  <c r="F20" i="5"/>
  <c r="F122" i="5"/>
  <c r="F189" i="5"/>
  <c r="F101" i="5"/>
  <c r="F169" i="5"/>
  <c r="F92" i="5"/>
  <c r="F6" i="5"/>
  <c r="F109" i="5"/>
  <c r="F168" i="5"/>
  <c r="F94" i="5"/>
  <c r="F115" i="5"/>
  <c r="F185" i="5"/>
  <c r="F26" i="5"/>
  <c r="F57" i="5"/>
  <c r="F173" i="5"/>
  <c r="F35" i="5"/>
  <c r="F77" i="5"/>
  <c r="F54" i="5"/>
  <c r="F74" i="5"/>
  <c r="F195" i="5"/>
  <c r="F62" i="5"/>
  <c r="F187" i="5"/>
  <c r="F53" i="5"/>
  <c r="F70" i="5"/>
  <c r="F104" i="5"/>
  <c r="F165" i="5"/>
  <c r="F96" i="5"/>
  <c r="F190" i="5"/>
  <c r="F166" i="5"/>
  <c r="F21" i="5"/>
  <c r="F197" i="5"/>
  <c r="F174" i="5"/>
  <c r="F134" i="5"/>
  <c r="F19" i="5"/>
  <c r="F80" i="5"/>
  <c r="F37" i="5"/>
  <c r="F100" i="5"/>
  <c r="F102" i="5"/>
  <c r="F44" i="5"/>
  <c r="F161" i="5"/>
  <c r="F11" i="5"/>
  <c r="F162" i="5"/>
  <c r="F46" i="5"/>
  <c r="F63" i="5"/>
  <c r="F3" i="5"/>
  <c r="F42" i="5"/>
  <c r="F108" i="5"/>
  <c r="F127" i="5"/>
  <c r="F14" i="5"/>
  <c r="F153" i="5"/>
  <c r="F34" i="5"/>
  <c r="F12" i="5"/>
  <c r="F56" i="5"/>
  <c r="F176" i="5"/>
  <c r="F66" i="5"/>
  <c r="F7" i="5"/>
  <c r="F93" i="5"/>
  <c r="F175" i="5"/>
  <c r="F126" i="5"/>
  <c r="F196" i="5"/>
  <c r="F95" i="5"/>
  <c r="F30" i="5"/>
  <c r="F58" i="5"/>
  <c r="F135" i="5"/>
  <c r="F10" i="5"/>
  <c r="F23" i="5"/>
  <c r="F43" i="5"/>
  <c r="F36" i="5"/>
  <c r="F90" i="5"/>
  <c r="F118" i="5"/>
  <c r="F73" i="5"/>
  <c r="F24" i="5"/>
  <c r="F75" i="5"/>
  <c r="F150" i="5"/>
  <c r="F167" i="5"/>
  <c r="F178" i="5"/>
  <c r="F192" i="5"/>
  <c r="F179" i="5"/>
  <c r="F128" i="5"/>
  <c r="F15" i="5"/>
  <c r="F83" i="5"/>
  <c r="F160" i="5"/>
  <c r="F40" i="5"/>
  <c r="F105" i="5"/>
  <c r="F82" i="5"/>
  <c r="F107" i="5"/>
  <c r="F39" i="5"/>
  <c r="F181" i="5"/>
  <c r="F29" i="5"/>
  <c r="F143" i="5"/>
  <c r="F48" i="5"/>
  <c r="F152" i="5"/>
  <c r="F164" i="5"/>
  <c r="F148" i="5"/>
  <c r="F59" i="5"/>
  <c r="F184" i="5"/>
  <c r="F47" i="5"/>
  <c r="F151" i="5"/>
  <c r="F13" i="5"/>
  <c r="F113" i="5"/>
  <c r="F120" i="5"/>
  <c r="F79" i="5"/>
  <c r="F68" i="5"/>
  <c r="F84" i="5"/>
  <c r="F25" i="5"/>
  <c r="F32" i="5"/>
  <c r="F194" i="5"/>
  <c r="F72" i="5"/>
  <c r="F50" i="5"/>
  <c r="F78" i="5"/>
  <c r="F180" i="5"/>
  <c r="F16" i="5"/>
  <c r="F8" i="5"/>
  <c r="F111" i="5"/>
  <c r="F65" i="5"/>
  <c r="F38" i="5"/>
  <c r="F183" i="5"/>
  <c r="F98" i="5"/>
  <c r="F49" i="5"/>
  <c r="F112" i="5"/>
  <c r="F60" i="5"/>
  <c r="F129" i="5"/>
  <c r="F28" i="5"/>
  <c r="F154" i="5"/>
  <c r="F106" i="5"/>
  <c r="F89" i="5"/>
  <c r="F110" i="5"/>
  <c r="F182" i="5"/>
  <c r="F156" i="5"/>
  <c r="F133" i="5"/>
  <c r="F144" i="5"/>
  <c r="F130" i="5"/>
  <c r="F116" i="5"/>
  <c r="F138" i="5"/>
  <c r="F140" i="5"/>
  <c r="F33" i="5"/>
  <c r="F145" i="5"/>
  <c r="F141" i="5"/>
  <c r="F71" i="5"/>
  <c r="F170" i="5"/>
  <c r="F147" i="5"/>
  <c r="F121" i="5"/>
  <c r="F45" i="5"/>
  <c r="F31" i="5"/>
  <c r="F17" i="5"/>
  <c r="F193" i="5"/>
  <c r="F155" i="5"/>
  <c r="F137" i="5"/>
  <c r="F52" i="5"/>
  <c r="F18" i="5"/>
  <c r="F171" i="5"/>
  <c r="F142" i="5"/>
  <c r="F186" i="5"/>
  <c r="F172" i="5"/>
  <c r="F158" i="5"/>
  <c r="F55" i="5"/>
  <c r="F41" i="5"/>
  <c r="F2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<sst xmlns="http://schemas.openxmlformats.org/spreadsheetml/2006/main" count="12272" uniqueCount="1393">
  <si>
    <t>The method to prepare the Ramp up Dashboard for a GCC Set up and track hiring, costs, projects etc</t>
  </si>
  <si>
    <t>Sheets we use here are:</t>
  </si>
  <si>
    <t>1. Hiring info data (Raw Data) - should have any and all data for the hires, can be referred to in case of doubts or mismatches</t>
  </si>
  <si>
    <t xml:space="preserve">We further have a list to explain each variable in details </t>
  </si>
  <si>
    <t>2. Ramp up Data (Raw Data Refined) - only variable that will be of use in the Dashboard</t>
  </si>
  <si>
    <t>3. Refined view of all Roles, teams, Streams and any other level of granularity we might have (Roles) (Dimension Tables)</t>
  </si>
  <si>
    <t>4. Stream, Team, Etc</t>
  </si>
  <si>
    <t>5. Planned Ramp up data (Planned Demand)</t>
  </si>
  <si>
    <t>6. HR metrics - Talent data for all hirees - skills, trainings, attrition, GallupQ, etc</t>
  </si>
  <si>
    <t>7. Health Score - a summary score taken from executives on what the current status of health is for the GCC</t>
  </si>
  <si>
    <t>The summary needs to only be used for the current month, we can keep a separate history for all months prior, the data is used for current month only, and only latest data should be updated</t>
  </si>
  <si>
    <t>8. Program trackers for different control towers to monitor overall progress on different fronts</t>
  </si>
  <si>
    <t>9. Financial information - info on all the spend for the GCC, can have different parts - for ex. Fixed, labour, etc</t>
  </si>
  <si>
    <t>Financial Forecast - Variable spend for the GCC - labor spend</t>
  </si>
  <si>
    <t>Fixed spend - spend across Governance, Workplace Advisory and Real Estate (WARE), and Enterprise Strategy &amp; Operational Blueprint (ESOB)</t>
  </si>
  <si>
    <t>Color codes-</t>
  </si>
  <si>
    <t>Red</t>
  </si>
  <si>
    <t>#FF0A0A</t>
  </si>
  <si>
    <t>Amber</t>
  </si>
  <si>
    <t>#FFAF3E</t>
  </si>
  <si>
    <t>Green</t>
  </si>
  <si>
    <t>#15AD5D</t>
  </si>
  <si>
    <t>Grey</t>
  </si>
  <si>
    <t>#E6E6E6</t>
  </si>
  <si>
    <t>Program Codes</t>
  </si>
  <si>
    <t>#ADEBAD</t>
  </si>
  <si>
    <t>Yellow</t>
  </si>
  <si>
    <t>#FCC578</t>
  </si>
  <si>
    <t>#F9A9A9</t>
  </si>
  <si>
    <t>CIDNo.</t>
  </si>
  <si>
    <t>Stream</t>
  </si>
  <si>
    <t>Stream Internal</t>
  </si>
  <si>
    <t>Team</t>
  </si>
  <si>
    <t>Role</t>
  </si>
  <si>
    <t>Client Side Role</t>
  </si>
  <si>
    <t>Skill</t>
  </si>
  <si>
    <t>Job Level</t>
  </si>
  <si>
    <t>Demand Date</t>
  </si>
  <si>
    <t>Candidate name</t>
  </si>
  <si>
    <t>Date Job Requirement Released</t>
  </si>
  <si>
    <t>Date Offered</t>
  </si>
  <si>
    <t>Date Onboarded</t>
  </si>
  <si>
    <t>Internal/External</t>
  </si>
  <si>
    <t>Pipeline Updated</t>
  </si>
  <si>
    <t>Candidate Stage</t>
  </si>
  <si>
    <t>Role_IDP</t>
  </si>
  <si>
    <t>Role ID</t>
  </si>
  <si>
    <t>C0000001</t>
  </si>
  <si>
    <t>Sales and Marketing</t>
  </si>
  <si>
    <t>SAM</t>
  </si>
  <si>
    <t>SalesTeam4</t>
  </si>
  <si>
    <t>Brand Manager</t>
  </si>
  <si>
    <t>Ben Grimm</t>
  </si>
  <si>
    <t>Internal</t>
  </si>
  <si>
    <t>Interviewing</t>
  </si>
  <si>
    <t>C0000002</t>
  </si>
  <si>
    <t>IT and Support</t>
  </si>
  <si>
    <t>ITES</t>
  </si>
  <si>
    <t>ITTeam5</t>
  </si>
  <si>
    <t>System Administrator</t>
  </si>
  <si>
    <t>Jessica Jones</t>
  </si>
  <si>
    <t>Offered</t>
  </si>
  <si>
    <t>C0000003</t>
  </si>
  <si>
    <t>IT Support Specialist</t>
  </si>
  <si>
    <t>Danny Rand</t>
  </si>
  <si>
    <t>C0000004</t>
  </si>
  <si>
    <t>Sales Director</t>
  </si>
  <si>
    <t>Luke Cage</t>
  </si>
  <si>
    <t>C0000005</t>
  </si>
  <si>
    <t>Engineering</t>
  </si>
  <si>
    <t>ENGG</t>
  </si>
  <si>
    <t>EngineeringTeam1</t>
  </si>
  <si>
    <t>Platform Delivery Lead</t>
  </si>
  <si>
    <t>Bucky Barnes</t>
  </si>
  <si>
    <t>C0000006</t>
  </si>
  <si>
    <t>EngineeringTeam10</t>
  </si>
  <si>
    <t>Staff Engineer</t>
  </si>
  <si>
    <t>Jessica Morales</t>
  </si>
  <si>
    <t>C0000007</t>
  </si>
  <si>
    <t>ITTeam2</t>
  </si>
  <si>
    <t>Network Administrator</t>
  </si>
  <si>
    <t>Gwen Stacy</t>
  </si>
  <si>
    <t>C0000008</t>
  </si>
  <si>
    <t>ITTeam1</t>
  </si>
  <si>
    <t>T'Challa Udaku</t>
  </si>
  <si>
    <t>C0000009</t>
  </si>
  <si>
    <t>Software Developer 1</t>
  </si>
  <si>
    <t>Kate Bishop</t>
  </si>
  <si>
    <t>C0000010</t>
  </si>
  <si>
    <t>SalesTeam3</t>
  </si>
  <si>
    <t>Kate Cage</t>
  </si>
  <si>
    <t>C0000011</t>
  </si>
  <si>
    <t>SalesTeam5</t>
  </si>
  <si>
    <t>Luke Maximoff</t>
  </si>
  <si>
    <t>C0000012</t>
  </si>
  <si>
    <t>ITTeam6</t>
  </si>
  <si>
    <t>Luke Khan</t>
  </si>
  <si>
    <t>C0000013</t>
  </si>
  <si>
    <t>SalesTeam8</t>
  </si>
  <si>
    <t>Digital Marketing Specialist</t>
  </si>
  <si>
    <t>Logan Howlett</t>
  </si>
  <si>
    <t>C0000014</t>
  </si>
  <si>
    <t>Research</t>
  </si>
  <si>
    <t>RND</t>
  </si>
  <si>
    <t>ResearchTeam8</t>
  </si>
  <si>
    <t>Innovation Manager</t>
  </si>
  <si>
    <t>Natasha Romanoff</t>
  </si>
  <si>
    <t>C0000015</t>
  </si>
  <si>
    <t>Jean Grey</t>
  </si>
  <si>
    <t>C0000016</t>
  </si>
  <si>
    <t>ITTeam9</t>
  </si>
  <si>
    <t>Matt Murdock</t>
  </si>
  <si>
    <t>C0000017</t>
  </si>
  <si>
    <t>ITTeam3</t>
  </si>
  <si>
    <t>Technical Support Analyst</t>
  </si>
  <si>
    <t>Hal Jordan</t>
  </si>
  <si>
    <t>C0000018</t>
  </si>
  <si>
    <t>ITTeam10</t>
  </si>
  <si>
    <t>Gwen Bishop</t>
  </si>
  <si>
    <t>C0000019</t>
  </si>
  <si>
    <t>ResearchTeam9</t>
  </si>
  <si>
    <t>Research Analyst</t>
  </si>
  <si>
    <t>T'Challa Prince</t>
  </si>
  <si>
    <t>C0000020</t>
  </si>
  <si>
    <t>ResearchTeam7</t>
  </si>
  <si>
    <t>Scott Lang</t>
  </si>
  <si>
    <t>C0000021</t>
  </si>
  <si>
    <t>SalesTeam6</t>
  </si>
  <si>
    <t>Carol Danvers</t>
  </si>
  <si>
    <t>C0000022</t>
  </si>
  <si>
    <t>ResearchTeam3</t>
  </si>
  <si>
    <t>Bruce Banner</t>
  </si>
  <si>
    <t>C0000023</t>
  </si>
  <si>
    <t>ITTeam4</t>
  </si>
  <si>
    <t>Application Support Analyst</t>
  </si>
  <si>
    <t>Arthur Curry</t>
  </si>
  <si>
    <t>C0000024</t>
  </si>
  <si>
    <t>EngineeringTeam5</t>
  </si>
  <si>
    <t>Engineering Manager</t>
  </si>
  <si>
    <t>Luke Grey</t>
  </si>
  <si>
    <t>C0000025</t>
  </si>
  <si>
    <t>SalesTeam2</t>
  </si>
  <si>
    <t>Sales Manager</t>
  </si>
  <si>
    <t>Natasha Wilson</t>
  </si>
  <si>
    <t>C0000026</t>
  </si>
  <si>
    <t>Ben Storm</t>
  </si>
  <si>
    <t>C0000027</t>
  </si>
  <si>
    <t>Charles Xavier</t>
  </si>
  <si>
    <t>C0000028</t>
  </si>
  <si>
    <t>Diana Prince</t>
  </si>
  <si>
    <t>C0000029</t>
  </si>
  <si>
    <t>EngineeringTeam8</t>
  </si>
  <si>
    <t>Carol Prince</t>
  </si>
  <si>
    <t>C0000030</t>
  </si>
  <si>
    <t>Ben Rogers</t>
  </si>
  <si>
    <t>C0000031</t>
  </si>
  <si>
    <t>Bruce Khan</t>
  </si>
  <si>
    <t>C0000032</t>
  </si>
  <si>
    <t>ITTeam7</t>
  </si>
  <si>
    <t>Selina Kyle</t>
  </si>
  <si>
    <t>C0000033</t>
  </si>
  <si>
    <t>Computer Technician</t>
  </si>
  <si>
    <t>Logan Cage</t>
  </si>
  <si>
    <t>C0000034</t>
  </si>
  <si>
    <t>EngineeringTeam2</t>
  </si>
  <si>
    <t>VP Engineering</t>
  </si>
  <si>
    <t>Matt Howlett</t>
  </si>
  <si>
    <t>C0000035</t>
  </si>
  <si>
    <t>SalesTeam1</t>
  </si>
  <si>
    <t>Arthur Richards</t>
  </si>
  <si>
    <t>C0000036</t>
  </si>
  <si>
    <t>EngineeringTeam7</t>
  </si>
  <si>
    <t>Senior SDE</t>
  </si>
  <si>
    <t>Arthur Jordan</t>
  </si>
  <si>
    <t>C0000037</t>
  </si>
  <si>
    <t>EngineeringTeam3</t>
  </si>
  <si>
    <t>Bucky Bishop</t>
  </si>
  <si>
    <t>C0000038</t>
  </si>
  <si>
    <t>Danny Rogers</t>
  </si>
  <si>
    <t>C0000039</t>
  </si>
  <si>
    <t>Ben Barnes</t>
  </si>
  <si>
    <t>C0000040</t>
  </si>
  <si>
    <t>ITTeam8</t>
  </si>
  <si>
    <t>Kamala Khan</t>
  </si>
  <si>
    <t>C0000041</t>
  </si>
  <si>
    <t>SalesTeam10</t>
  </si>
  <si>
    <t>Kate Stacy</t>
  </si>
  <si>
    <t>C0000042</t>
  </si>
  <si>
    <t>Customer Support Specialist</t>
  </si>
  <si>
    <t>Charles Parker</t>
  </si>
  <si>
    <t>C0000043</t>
  </si>
  <si>
    <t>ResearchTeam10</t>
  </si>
  <si>
    <t>Principal Investigator</t>
  </si>
  <si>
    <t>Kamala Rogers</t>
  </si>
  <si>
    <t>C0000044</t>
  </si>
  <si>
    <t>Bucky Stacy</t>
  </si>
  <si>
    <t>C0000045</t>
  </si>
  <si>
    <t>C0000046</t>
  </si>
  <si>
    <t>Ben Udaku</t>
  </si>
  <si>
    <t>C0000047</t>
  </si>
  <si>
    <t>Field Service Technician</t>
  </si>
  <si>
    <t>Logan Murdock</t>
  </si>
  <si>
    <t>C0000048</t>
  </si>
  <si>
    <t>Charles Stone</t>
  </si>
  <si>
    <t>C0000049</t>
  </si>
  <si>
    <t>ResearchTeam2</t>
  </si>
  <si>
    <t>R&amp;D Manager</t>
  </si>
  <si>
    <t>Scott Grey</t>
  </si>
  <si>
    <t>C0000050</t>
  </si>
  <si>
    <t>SalesTeam7</t>
  </si>
  <si>
    <t>Bucky Xavier</t>
  </si>
  <si>
    <t>C0000051</t>
  </si>
  <si>
    <t>Sam Wilson</t>
  </si>
  <si>
    <t>C0000052</t>
  </si>
  <si>
    <t>Peter Parker</t>
  </si>
  <si>
    <t>C0000053</t>
  </si>
  <si>
    <t>Miles Morales</t>
  </si>
  <si>
    <t>C0000054</t>
  </si>
  <si>
    <t>EngineeringTeam9</t>
  </si>
  <si>
    <t>Senior Staff Engineer</t>
  </si>
  <si>
    <t>Stephen Strange</t>
  </si>
  <si>
    <t>C0000055</t>
  </si>
  <si>
    <t>Barry Allen</t>
  </si>
  <si>
    <t>C0000056</t>
  </si>
  <si>
    <t>C0000057</t>
  </si>
  <si>
    <t>Kamala Richards</t>
  </si>
  <si>
    <t>C0000058</t>
  </si>
  <si>
    <t>ResearchTeam5</t>
  </si>
  <si>
    <t>R&amp;D Engineer</t>
  </si>
  <si>
    <t>Charles Romanoff</t>
  </si>
  <si>
    <t>C0000059</t>
  </si>
  <si>
    <t>T'Challa Allen</t>
  </si>
  <si>
    <t>C0000060</t>
  </si>
  <si>
    <t>Jessica Jordan</t>
  </si>
  <si>
    <t>C0000061</t>
  </si>
  <si>
    <t>EngineeringTeam4</t>
  </si>
  <si>
    <t>Steve Rogers</t>
  </si>
  <si>
    <t>C0000062</t>
  </si>
  <si>
    <t>C0000063</t>
  </si>
  <si>
    <t>Help Desk Technician</t>
  </si>
  <si>
    <t>Steve Jones</t>
  </si>
  <si>
    <t>C0000064</t>
  </si>
  <si>
    <t>Hal Rand</t>
  </si>
  <si>
    <t>C0000065</t>
  </si>
  <si>
    <t>Matt Kent</t>
  </si>
  <si>
    <t>C0000066</t>
  </si>
  <si>
    <t>Barry Wilson</t>
  </si>
  <si>
    <t>C0000067</t>
  </si>
  <si>
    <t>Senior R&amp;D Manager</t>
  </si>
  <si>
    <t>Matt Banner</t>
  </si>
  <si>
    <t>C0000068</t>
  </si>
  <si>
    <t>Product Marketing Manager</t>
  </si>
  <si>
    <t>Barry Wayne</t>
  </si>
  <si>
    <t>C0000069</t>
  </si>
  <si>
    <t>Hal Banner</t>
  </si>
  <si>
    <t>C0000070</t>
  </si>
  <si>
    <t>Diana Howlett</t>
  </si>
  <si>
    <t>C0000071</t>
  </si>
  <si>
    <t>Bruce Richards</t>
  </si>
  <si>
    <t>External</t>
  </si>
  <si>
    <t>C0000072</t>
  </si>
  <si>
    <t>R&amp;D Project Lead</t>
  </si>
  <si>
    <t>Sam Banner</t>
  </si>
  <si>
    <t>C0000073</t>
  </si>
  <si>
    <t>Logan Khan</t>
  </si>
  <si>
    <t>C0000074</t>
  </si>
  <si>
    <t>C0000075</t>
  </si>
  <si>
    <t>T'Challa Stone</t>
  </si>
  <si>
    <t>C0000076</t>
  </si>
  <si>
    <t>Danny Danvers</t>
  </si>
  <si>
    <t>C0000077</t>
  </si>
  <si>
    <t>Bucky Stark</t>
  </si>
  <si>
    <t>C0000078</t>
  </si>
  <si>
    <t>IT Manager</t>
  </si>
  <si>
    <t>Kamala Stacy</t>
  </si>
  <si>
    <t>C0000079</t>
  </si>
  <si>
    <t>Diana Stacy</t>
  </si>
  <si>
    <t>C0000080</t>
  </si>
  <si>
    <t>Gwen Jones</t>
  </si>
  <si>
    <t>C0000081</t>
  </si>
  <si>
    <t>C0000082</t>
  </si>
  <si>
    <t>Logan Richards</t>
  </si>
  <si>
    <t>C0000083</t>
  </si>
  <si>
    <t>Miles Prince</t>
  </si>
  <si>
    <t>C0000084</t>
  </si>
  <si>
    <t>Logan Storm</t>
  </si>
  <si>
    <t>C0000085</t>
  </si>
  <si>
    <t>Stephen Khan</t>
  </si>
  <si>
    <t>C0000086</t>
  </si>
  <si>
    <t>Principal Engineer</t>
  </si>
  <si>
    <t>Carol Bishop</t>
  </si>
  <si>
    <t>C0000087</t>
  </si>
  <si>
    <t>Hal Stone</t>
  </si>
  <si>
    <t>C0000088</t>
  </si>
  <si>
    <t>Tony Stark</t>
  </si>
  <si>
    <t>C0000089</t>
  </si>
  <si>
    <t>Steve Parker</t>
  </si>
  <si>
    <t>C0000090</t>
  </si>
  <si>
    <t>Sam Murdock</t>
  </si>
  <si>
    <t>C0000091</t>
  </si>
  <si>
    <t>Research Scientist</t>
  </si>
  <si>
    <t>Reed Richards</t>
  </si>
  <si>
    <t>C0000092</t>
  </si>
  <si>
    <t>C0000093</t>
  </si>
  <si>
    <t>Bucky Richards</t>
  </si>
  <si>
    <t>C0000094</t>
  </si>
  <si>
    <t>Clark Kent</t>
  </si>
  <si>
    <t>C0000095</t>
  </si>
  <si>
    <t>Tony Xavier</t>
  </si>
  <si>
    <t>C0000096</t>
  </si>
  <si>
    <t>Bruce Grey</t>
  </si>
  <si>
    <t>C0000097</t>
  </si>
  <si>
    <t>Kate Udaku</t>
  </si>
  <si>
    <t>C0000098</t>
  </si>
  <si>
    <t>ResearchTeam1</t>
  </si>
  <si>
    <t>T'Challa Morales</t>
  </si>
  <si>
    <t>C0000099</t>
  </si>
  <si>
    <t>Tony Rogers</t>
  </si>
  <si>
    <t>C0000100</t>
  </si>
  <si>
    <t>Kate Richards</t>
  </si>
  <si>
    <t>C0000101</t>
  </si>
  <si>
    <t>ResearchTeam6</t>
  </si>
  <si>
    <t>C0000102</t>
  </si>
  <si>
    <t>Hal Lang</t>
  </si>
  <si>
    <t>C0000103</t>
  </si>
  <si>
    <t>Ben Kent</t>
  </si>
  <si>
    <t>C0000104</t>
  </si>
  <si>
    <t>C0000105</t>
  </si>
  <si>
    <t>Gwen Danvers</t>
  </si>
  <si>
    <t>C0000106</t>
  </si>
  <si>
    <t>Jean Storm</t>
  </si>
  <si>
    <t>C0000107</t>
  </si>
  <si>
    <t>Hal Prince</t>
  </si>
  <si>
    <t>C0000108</t>
  </si>
  <si>
    <t>Sam Khan</t>
  </si>
  <si>
    <t>C0000109</t>
  </si>
  <si>
    <t>Ben Kyle</t>
  </si>
  <si>
    <t>C0000110</t>
  </si>
  <si>
    <t>Johnny Storm</t>
  </si>
  <si>
    <t>C0000111</t>
  </si>
  <si>
    <t>Desktop Support Specialist</t>
  </si>
  <si>
    <t>Barry Richards</t>
  </si>
  <si>
    <t>C0000112</t>
  </si>
  <si>
    <t>Sam Bishop</t>
  </si>
  <si>
    <t>C0000113</t>
  </si>
  <si>
    <t>EngineeringTeam6</t>
  </si>
  <si>
    <t>Software Developer 2</t>
  </si>
  <si>
    <t>Peter Stone</t>
  </si>
  <si>
    <t>C0000114</t>
  </si>
  <si>
    <t>Arthur Murdock</t>
  </si>
  <si>
    <t>C0000115</t>
  </si>
  <si>
    <t>Wanda Maximoff</t>
  </si>
  <si>
    <t>C0000116</t>
  </si>
  <si>
    <t>Carol Strange</t>
  </si>
  <si>
    <t>C0000117</t>
  </si>
  <si>
    <t>Jessica Cage</t>
  </si>
  <si>
    <t>C0000118</t>
  </si>
  <si>
    <t>Sam Barnes</t>
  </si>
  <si>
    <t>C0000119</t>
  </si>
  <si>
    <t>Peter Allen</t>
  </si>
  <si>
    <t>C0000120</t>
  </si>
  <si>
    <t>Steve Prince</t>
  </si>
  <si>
    <t>C0000121</t>
  </si>
  <si>
    <t>T'Challa Murdock</t>
  </si>
  <si>
    <t>C0000122</t>
  </si>
  <si>
    <t>Jean Richards</t>
  </si>
  <si>
    <t>C0000123</t>
  </si>
  <si>
    <t>Natasha Grimm</t>
  </si>
  <si>
    <t>C0000124</t>
  </si>
  <si>
    <t>Bruce Wayne</t>
  </si>
  <si>
    <t>C0000125</t>
  </si>
  <si>
    <t>Kate Prince</t>
  </si>
  <si>
    <t>C0000126</t>
  </si>
  <si>
    <t>C0000127</t>
  </si>
  <si>
    <t>Stephen Stark</t>
  </si>
  <si>
    <t>C0000128</t>
  </si>
  <si>
    <t>ResearchTeam4</t>
  </si>
  <si>
    <t>Arthur Kent</t>
  </si>
  <si>
    <t>C0000129</t>
  </si>
  <si>
    <t>Ben Xavier</t>
  </si>
  <si>
    <t>C0000130</t>
  </si>
  <si>
    <t>Luke Stacy</t>
  </si>
  <si>
    <t>C0000131</t>
  </si>
  <si>
    <t>Carol Stark</t>
  </si>
  <si>
    <t>C0000132</t>
  </si>
  <si>
    <t>Logan Rogers</t>
  </si>
  <si>
    <t>C0000133</t>
  </si>
  <si>
    <t>Kamala Storm</t>
  </si>
  <si>
    <t>C0000134</t>
  </si>
  <si>
    <t>Bucky Prince</t>
  </si>
  <si>
    <t>C0000135</t>
  </si>
  <si>
    <t>Peter Stacy</t>
  </si>
  <si>
    <t>C0000136</t>
  </si>
  <si>
    <t>Bucky Danvers</t>
  </si>
  <si>
    <t>C0000137</t>
  </si>
  <si>
    <t>Scott Jones</t>
  </si>
  <si>
    <t>C0000138</t>
  </si>
  <si>
    <t>Gwen Wayne</t>
  </si>
  <si>
    <t>C0000139</t>
  </si>
  <si>
    <t>Reed Kent</t>
  </si>
  <si>
    <t>C0000140</t>
  </si>
  <si>
    <t>Bruce Murdock</t>
  </si>
  <si>
    <t>C0000141</t>
  </si>
  <si>
    <t>Steve Richards</t>
  </si>
  <si>
    <t>C0000142</t>
  </si>
  <si>
    <t>Barry Rogers</t>
  </si>
  <si>
    <t>C0000143</t>
  </si>
  <si>
    <t>Miles Maximoff</t>
  </si>
  <si>
    <t>C0000144</t>
  </si>
  <si>
    <t>Carol Curry</t>
  </si>
  <si>
    <t>C0000145</t>
  </si>
  <si>
    <t>Selina Curry</t>
  </si>
  <si>
    <t>C0000146</t>
  </si>
  <si>
    <t>Matt Danvers</t>
  </si>
  <si>
    <t>C0000147</t>
  </si>
  <si>
    <t>Danny Barnes</t>
  </si>
  <si>
    <t>C0000148</t>
  </si>
  <si>
    <t>Clark Khan</t>
  </si>
  <si>
    <t>C0000149</t>
  </si>
  <si>
    <t>C0000150</t>
  </si>
  <si>
    <t>Ben Danvers</t>
  </si>
  <si>
    <t>C0000151</t>
  </si>
  <si>
    <t>Clark Jones</t>
  </si>
  <si>
    <t>C0000152</t>
  </si>
  <si>
    <t>Jean Rand</t>
  </si>
  <si>
    <t>C0000153</t>
  </si>
  <si>
    <t>Stephen Maximoff</t>
  </si>
  <si>
    <t>C0000154</t>
  </si>
  <si>
    <t>Wanda Wilson</t>
  </si>
  <si>
    <t>C0000155</t>
  </si>
  <si>
    <t>Reed Wilson</t>
  </si>
  <si>
    <t>C0000156</t>
  </si>
  <si>
    <t>SalesTeam9</t>
  </si>
  <si>
    <t>Bruce Stone</t>
  </si>
  <si>
    <t>C0000157</t>
  </si>
  <si>
    <t>Ben Wilson</t>
  </si>
  <si>
    <t>C0000158</t>
  </si>
  <si>
    <t>Jean Grimm</t>
  </si>
  <si>
    <t>C0000159</t>
  </si>
  <si>
    <t>Reed Lang</t>
  </si>
  <si>
    <t>C0000160</t>
  </si>
  <si>
    <t>Selina Storm</t>
  </si>
  <si>
    <t>C0000161</t>
  </si>
  <si>
    <t>Peter Stark</t>
  </si>
  <si>
    <t>C0000162</t>
  </si>
  <si>
    <t>Stephen Bishop</t>
  </si>
  <si>
    <t>C0000163</t>
  </si>
  <si>
    <t>Gwen Maximoff</t>
  </si>
  <si>
    <t>C0000164</t>
  </si>
  <si>
    <t>Stephen Kyle</t>
  </si>
  <si>
    <t>C0000165</t>
  </si>
  <si>
    <t>C0000166</t>
  </si>
  <si>
    <t>Luke Banner</t>
  </si>
  <si>
    <t>C0000167</t>
  </si>
  <si>
    <t>Steve Khan</t>
  </si>
  <si>
    <t>C0000168</t>
  </si>
  <si>
    <t>Scott Maximoff</t>
  </si>
  <si>
    <t>C0000169</t>
  </si>
  <si>
    <t>Reed Rogers</t>
  </si>
  <si>
    <t>C0000170</t>
  </si>
  <si>
    <t>Susan Storm</t>
  </si>
  <si>
    <t>C0000171</t>
  </si>
  <si>
    <t>C0000172</t>
  </si>
  <si>
    <t>Hal Grey</t>
  </si>
  <si>
    <t>C0000173</t>
  </si>
  <si>
    <t>Johnny Romanoff</t>
  </si>
  <si>
    <t>C0000174</t>
  </si>
  <si>
    <t>C0000175</t>
  </si>
  <si>
    <t>Bruce Stacy</t>
  </si>
  <si>
    <t>C0000176</t>
  </si>
  <si>
    <t>Wanda Prince</t>
  </si>
  <si>
    <t>C0000177</t>
  </si>
  <si>
    <t>Ben Stark</t>
  </si>
  <si>
    <t>C0000178</t>
  </si>
  <si>
    <t>Hal Storm</t>
  </si>
  <si>
    <t>C0000179</t>
  </si>
  <si>
    <t>Wanda Grey</t>
  </si>
  <si>
    <t>C0000180</t>
  </si>
  <si>
    <t>C0000181</t>
  </si>
  <si>
    <t>C0000182</t>
  </si>
  <si>
    <t>Miles Jones</t>
  </si>
  <si>
    <t>C0000183</t>
  </si>
  <si>
    <t>Miles Parker</t>
  </si>
  <si>
    <t>C0000184</t>
  </si>
  <si>
    <t>Stephen Banner</t>
  </si>
  <si>
    <t>C0000185</t>
  </si>
  <si>
    <t>Arthur Danvers</t>
  </si>
  <si>
    <t>C0000186</t>
  </si>
  <si>
    <t>Miles Stone</t>
  </si>
  <si>
    <t>C0000187</t>
  </si>
  <si>
    <t>IT Coordinator</t>
  </si>
  <si>
    <t>Bucky Curry</t>
  </si>
  <si>
    <t>C0000188</t>
  </si>
  <si>
    <t>Jean Danvers</t>
  </si>
  <si>
    <t>C0000189</t>
  </si>
  <si>
    <t>Natasha Udaku</t>
  </si>
  <si>
    <t>C0000190</t>
  </si>
  <si>
    <t>Clark Danvers</t>
  </si>
  <si>
    <t>C0000191</t>
  </si>
  <si>
    <t>Scott Danvers</t>
  </si>
  <si>
    <t>C0000192</t>
  </si>
  <si>
    <t>Miles Storm</t>
  </si>
  <si>
    <t>C0000193</t>
  </si>
  <si>
    <t>Wanda Bishop</t>
  </si>
  <si>
    <t>C0000194</t>
  </si>
  <si>
    <t>Susan Wayne</t>
  </si>
  <si>
    <t>C0000195</t>
  </si>
  <si>
    <t>Ben Prince</t>
  </si>
  <si>
    <t>C0000196</t>
  </si>
  <si>
    <t>Clark Lang</t>
  </si>
  <si>
    <t>C0000197</t>
  </si>
  <si>
    <t>C0000198</t>
  </si>
  <si>
    <t>Kamala Wayne</t>
  </si>
  <si>
    <t>C0000199</t>
  </si>
  <si>
    <t>Kamala Wilson</t>
  </si>
  <si>
    <t>C0000200</t>
  </si>
  <si>
    <t>Steve Allen</t>
  </si>
  <si>
    <t>C0000201</t>
  </si>
  <si>
    <t>Danny Romanoff</t>
  </si>
  <si>
    <t>C0000202</t>
  </si>
  <si>
    <t>Bruce Rand</t>
  </si>
  <si>
    <t>C0000203</t>
  </si>
  <si>
    <t>Johnny Howlett</t>
  </si>
  <si>
    <t>C0000204</t>
  </si>
  <si>
    <t>Danny Richards</t>
  </si>
  <si>
    <t>C0000205</t>
  </si>
  <si>
    <t>Bruce Romanoff</t>
  </si>
  <si>
    <t>C0000206</t>
  </si>
  <si>
    <t>Kamala Barnes</t>
  </si>
  <si>
    <t>C0000207</t>
  </si>
  <si>
    <t>Reed Allen</t>
  </si>
  <si>
    <t>C0000208</t>
  </si>
  <si>
    <t>Susan Stone</t>
  </si>
  <si>
    <t>C0000209</t>
  </si>
  <si>
    <t>Hal Jones</t>
  </si>
  <si>
    <t>C0000210</t>
  </si>
  <si>
    <t>T'Challa Storm</t>
  </si>
  <si>
    <t>C0000211</t>
  </si>
  <si>
    <t>Barry Rand</t>
  </si>
  <si>
    <t>C0000212</t>
  </si>
  <si>
    <t>C0000213</t>
  </si>
  <si>
    <t>C0000214</t>
  </si>
  <si>
    <t>Reed Maximoff</t>
  </si>
  <si>
    <t>C0000215</t>
  </si>
  <si>
    <t>C0000216</t>
  </si>
  <si>
    <t>Diana Rogers</t>
  </si>
  <si>
    <t>C0000217</t>
  </si>
  <si>
    <t>C0000218</t>
  </si>
  <si>
    <t>Jessica Storm</t>
  </si>
  <si>
    <t>C0000219</t>
  </si>
  <si>
    <t>Hal Rogers</t>
  </si>
  <si>
    <t>C0000220</t>
  </si>
  <si>
    <t>Danny Khan</t>
  </si>
  <si>
    <t>C0000221</t>
  </si>
  <si>
    <t>Miles Barnes</t>
  </si>
  <si>
    <t>C0000222</t>
  </si>
  <si>
    <t>Hal Murdock</t>
  </si>
  <si>
    <t>C0000223</t>
  </si>
  <si>
    <t>Tony Khan</t>
  </si>
  <si>
    <t>C0000224</t>
  </si>
  <si>
    <t>Kamala Grey</t>
  </si>
  <si>
    <t>C0000225</t>
  </si>
  <si>
    <t>Susan Romanoff</t>
  </si>
  <si>
    <t>C0000226</t>
  </si>
  <si>
    <t>Miles Bishop</t>
  </si>
  <si>
    <t>C0000227</t>
  </si>
  <si>
    <t>Kamala Rand</t>
  </si>
  <si>
    <t>C0000228</t>
  </si>
  <si>
    <t>Scott Strange</t>
  </si>
  <si>
    <t>C0000229</t>
  </si>
  <si>
    <t>Luke Storm</t>
  </si>
  <si>
    <t>C0000230</t>
  </si>
  <si>
    <t>Barry Grey</t>
  </si>
  <si>
    <t>C0000231</t>
  </si>
  <si>
    <t>Carol Rand</t>
  </si>
  <si>
    <t>C0000232</t>
  </si>
  <si>
    <t>Johnny Banner</t>
  </si>
  <si>
    <t>C0000233</t>
  </si>
  <si>
    <t>Jean Murdock</t>
  </si>
  <si>
    <t>C0000234</t>
  </si>
  <si>
    <t>Danny Jones</t>
  </si>
  <si>
    <t>C0000235</t>
  </si>
  <si>
    <t>Natasha Kyle</t>
  </si>
  <si>
    <t>C0000236</t>
  </si>
  <si>
    <t>Luke Bishop</t>
  </si>
  <si>
    <t>C0000237</t>
  </si>
  <si>
    <t>T'Challa Khan</t>
  </si>
  <si>
    <t>C0000238</t>
  </si>
  <si>
    <t>Luke Prince</t>
  </si>
  <si>
    <t>C0000239</t>
  </si>
  <si>
    <t>Victor Stone</t>
  </si>
  <si>
    <t>C0000240</t>
  </si>
  <si>
    <t>Selina Lang</t>
  </si>
  <si>
    <t>C0000241</t>
  </si>
  <si>
    <t>Tony Strange</t>
  </si>
  <si>
    <t>C0000242</t>
  </si>
  <si>
    <t>Natasha Rand</t>
  </si>
  <si>
    <t>C0000243</t>
  </si>
  <si>
    <t>Sam Stacy</t>
  </si>
  <si>
    <t>C0000244</t>
  </si>
  <si>
    <t>C0000245</t>
  </si>
  <si>
    <t>Logan Barnes</t>
  </si>
  <si>
    <t>C0000246</t>
  </si>
  <si>
    <t>Clark Jordan</t>
  </si>
  <si>
    <t>C0000247</t>
  </si>
  <si>
    <t>T'Challa Kent</t>
  </si>
  <si>
    <t>C0000248</t>
  </si>
  <si>
    <t>Gwen Khan</t>
  </si>
  <si>
    <t>C0000249</t>
  </si>
  <si>
    <t>Bruce Wilson</t>
  </si>
  <si>
    <t>C0000250</t>
  </si>
  <si>
    <t>Sam Cage</t>
  </si>
  <si>
    <t>C0000251</t>
  </si>
  <si>
    <t>Charles Jordan</t>
  </si>
  <si>
    <t>C0000252</t>
  </si>
  <si>
    <t>Natasha Curry</t>
  </si>
  <si>
    <t>C0000253</t>
  </si>
  <si>
    <t>Selina Bishop</t>
  </si>
  <si>
    <t>C0000254</t>
  </si>
  <si>
    <t>Scott Kyle</t>
  </si>
  <si>
    <t>C0000255</t>
  </si>
  <si>
    <t>Luke Stone</t>
  </si>
  <si>
    <t>C0000256</t>
  </si>
  <si>
    <t>Sam Jones</t>
  </si>
  <si>
    <t>C0000257</t>
  </si>
  <si>
    <t>C0000258</t>
  </si>
  <si>
    <t>C0000259</t>
  </si>
  <si>
    <t>Peter Banner</t>
  </si>
  <si>
    <t>C0000260</t>
  </si>
  <si>
    <t>C0000261</t>
  </si>
  <si>
    <t>Wanda Morales</t>
  </si>
  <si>
    <t>C0000262</t>
  </si>
  <si>
    <t>Tony Barnes</t>
  </si>
  <si>
    <t>C0000263</t>
  </si>
  <si>
    <t>Barry Storm</t>
  </si>
  <si>
    <t>C0000264</t>
  </si>
  <si>
    <t>Diana Morales</t>
  </si>
  <si>
    <t>C0000265</t>
  </si>
  <si>
    <t>Clark Allen</t>
  </si>
  <si>
    <t>C0000266</t>
  </si>
  <si>
    <t>C0000267</t>
  </si>
  <si>
    <t>Selina Stacy</t>
  </si>
  <si>
    <t>C0000268</t>
  </si>
  <si>
    <t>Jessica Allen</t>
  </si>
  <si>
    <t>C0000269</t>
  </si>
  <si>
    <t>C0000270</t>
  </si>
  <si>
    <t>Bucky Jordan</t>
  </si>
  <si>
    <t>C0000271</t>
  </si>
  <si>
    <t>Kate Grimm</t>
  </si>
  <si>
    <t>C0000272</t>
  </si>
  <si>
    <t>Scott Stark</t>
  </si>
  <si>
    <t>C0000273</t>
  </si>
  <si>
    <t>Bruce Curry</t>
  </si>
  <si>
    <t>C0000274</t>
  </si>
  <si>
    <t>C0000275</t>
  </si>
  <si>
    <t>C0000276</t>
  </si>
  <si>
    <t>Johnny Lang</t>
  </si>
  <si>
    <t>C0000277</t>
  </si>
  <si>
    <t>Stephen Grey</t>
  </si>
  <si>
    <t>C0000278</t>
  </si>
  <si>
    <t>Logan Xavier</t>
  </si>
  <si>
    <t>C0000279</t>
  </si>
  <si>
    <t>C0000280</t>
  </si>
  <si>
    <t>Bucky Wilson</t>
  </si>
  <si>
    <t>C0000281</t>
  </si>
  <si>
    <t>Jessica Rand</t>
  </si>
  <si>
    <t>C0000282</t>
  </si>
  <si>
    <t>C0000283</t>
  </si>
  <si>
    <t>Stephen Storm</t>
  </si>
  <si>
    <t>C0000284</t>
  </si>
  <si>
    <t>Clark Prince</t>
  </si>
  <si>
    <t>C0000285</t>
  </si>
  <si>
    <t>Barry Stacy</t>
  </si>
  <si>
    <t>C0000286</t>
  </si>
  <si>
    <t>C0000287</t>
  </si>
  <si>
    <t>Hal Wilson</t>
  </si>
  <si>
    <t>C0000288</t>
  </si>
  <si>
    <t>C0000289</t>
  </si>
  <si>
    <t>Logan Jordan</t>
  </si>
  <si>
    <t>C0000290</t>
  </si>
  <si>
    <t>Miles Allen</t>
  </si>
  <si>
    <t>C0000291</t>
  </si>
  <si>
    <t>C0000292</t>
  </si>
  <si>
    <t>C0000293</t>
  </si>
  <si>
    <t>Miles Stark</t>
  </si>
  <si>
    <t>C0000294</t>
  </si>
  <si>
    <t>Reed Strange</t>
  </si>
  <si>
    <t>C0000295</t>
  </si>
  <si>
    <t>Johnny Grimm</t>
  </si>
  <si>
    <t>C0000296</t>
  </si>
  <si>
    <t>C0000297</t>
  </si>
  <si>
    <t>Luke Romanoff</t>
  </si>
  <si>
    <t>C0000298</t>
  </si>
  <si>
    <t>Hal Barnes</t>
  </si>
  <si>
    <t>C0000299</t>
  </si>
  <si>
    <t>Logan Maximoff</t>
  </si>
  <si>
    <t>C0000300</t>
  </si>
  <si>
    <t>Carol Khan</t>
  </si>
  <si>
    <t>Time to Offer</t>
  </si>
  <si>
    <t>Time to Onboard</t>
  </si>
  <si>
    <t>Role level</t>
  </si>
  <si>
    <t>Team ID</t>
  </si>
  <si>
    <t>Stream ID</t>
  </si>
  <si>
    <t>Stream Code</t>
  </si>
  <si>
    <t>Stream ID_1</t>
  </si>
  <si>
    <t>Year</t>
  </si>
  <si>
    <t>Quarter</t>
  </si>
  <si>
    <t>Month</t>
  </si>
  <si>
    <t>Planned Demand</t>
  </si>
  <si>
    <t>Month-SOW</t>
  </si>
  <si>
    <t>July</t>
  </si>
  <si>
    <t>August</t>
  </si>
  <si>
    <t>September</t>
  </si>
  <si>
    <t>October</t>
  </si>
  <si>
    <t>November</t>
  </si>
  <si>
    <t>December</t>
  </si>
  <si>
    <t>January</t>
  </si>
  <si>
    <t>February</t>
  </si>
  <si>
    <t>March</t>
  </si>
  <si>
    <t>April</t>
  </si>
  <si>
    <t>May</t>
  </si>
  <si>
    <t>June</t>
  </si>
  <si>
    <t>Date_Key</t>
  </si>
  <si>
    <t>GallupQ score</t>
  </si>
  <si>
    <t>Employee Onboarding Experience</t>
  </si>
  <si>
    <t>ACE recognition %</t>
  </si>
  <si>
    <t>Client Recognition</t>
  </si>
  <si>
    <t>Time spent upskilling (hrs)</t>
  </si>
  <si>
    <t>Skill Proficiency Level - Not Assessed &amp; &lt;P1 (%)</t>
  </si>
  <si>
    <t>Skill Proficiency Level P1&amp;P2</t>
  </si>
  <si>
    <t>Skill Proficiency Level P3+</t>
  </si>
  <si>
    <t>Industry Proficiency %</t>
  </si>
  <si>
    <t>Tech Profienciency %</t>
  </si>
  <si>
    <t>Other Proficiency %</t>
  </si>
  <si>
    <t>Attrition %</t>
  </si>
  <si>
    <t>Retention %</t>
  </si>
  <si>
    <t>Ethics &amp; Compliance Trainings</t>
  </si>
  <si>
    <t>Notice Period</t>
  </si>
  <si>
    <t>Functional Orientation HC</t>
  </si>
  <si>
    <t>FO Completion</t>
  </si>
  <si>
    <t>HCI</t>
  </si>
  <si>
    <t>HCI Responses</t>
  </si>
  <si>
    <t>Feedback</t>
  </si>
  <si>
    <t>Excellent, Exciting, The Best, Roaring successful event, Useful, Engaging, Good, Awesome, Amazing, Very Good Experience, Surprising, Informative, Very well organized, Great Opportunity, Collaborative, Insightful, Vision oriented, Fun, Good to meet everyone, Great visibility, Energetic, Knowledge, Great Start, Innovative, Splendid, Innovative, Place to grow, Arrangements, Hope for success, Looking for more, Exceptional, Enthusiastic, Interactive, Clear direction</t>
  </si>
  <si>
    <t>Supercharged, Informative, Awesome, Knowledge, Core values, Great Session, client interaction, Vision, Super excited, Future growth, One Vertex, Deep dive, Insightful, Wonderful, Coordination, Exciting, One IT, Clarity, Innovation, Own the mission, Communication</t>
  </si>
  <si>
    <t>Excited, Clear Communication, Amazing, Engaging, Clear Direction, Importance of Innovation, Collaboration, Learning Opportunities, Good visibility, One Family</t>
  </si>
  <si>
    <t>SkillName</t>
  </si>
  <si>
    <t>Function ID</t>
  </si>
  <si>
    <t>HC</t>
  </si>
  <si>
    <t>Month Number</t>
  </si>
  <si>
    <t>Data</t>
  </si>
  <si>
    <t>Microsoft Platform</t>
  </si>
  <si>
    <t>Java Technology Platform</t>
  </si>
  <si>
    <t>Agile</t>
  </si>
  <si>
    <t>Quality Engg</t>
  </si>
  <si>
    <t>Oracle</t>
  </si>
  <si>
    <t>DevOps</t>
  </si>
  <si>
    <t>CMT-Comms &amp; Media</t>
  </si>
  <si>
    <t>Artificial Intelligence</t>
  </si>
  <si>
    <t>Arch Integration</t>
  </si>
  <si>
    <t>Cloud Operations</t>
  </si>
  <si>
    <t>APP</t>
  </si>
  <si>
    <t>AWS</t>
  </si>
  <si>
    <t>Cloud Transformation</t>
  </si>
  <si>
    <t>SAP</t>
  </si>
  <si>
    <t>Salesforce</t>
  </si>
  <si>
    <t>Identity &amp; Access Management</t>
  </si>
  <si>
    <t>Workday</t>
  </si>
  <si>
    <t>BA</t>
  </si>
  <si>
    <t>Song</t>
  </si>
  <si>
    <t>Industry X.0</t>
  </si>
  <si>
    <t>Open Source</t>
  </si>
  <si>
    <t>Microsoft Business Apps</t>
  </si>
  <si>
    <t>Platform Security</t>
  </si>
  <si>
    <t>PRD-CG&amp;S, Retail, Travel Services</t>
  </si>
  <si>
    <t>UI/UX</t>
  </si>
  <si>
    <t>Canva</t>
  </si>
  <si>
    <t>Figma</t>
  </si>
  <si>
    <t>Jira</t>
  </si>
  <si>
    <t>Power Automate</t>
  </si>
  <si>
    <t>Designer Tools</t>
  </si>
  <si>
    <t>Bloomberg</t>
  </si>
  <si>
    <t>Market Intelligence</t>
  </si>
  <si>
    <t>Formula</t>
  </si>
  <si>
    <t>=Actual ramp up/planned ramp up %</t>
  </si>
  <si>
    <t>=Average of % Completion of all teams (Story points completed vs. Story points committed in a sprint (%))</t>
  </si>
  <si>
    <t>= Average employee satisfaction score/NPS</t>
  </si>
  <si>
    <t>=Average of quantitative score (1-5) shared per resource by functional PMO</t>
  </si>
  <si>
    <t>=Team wise integration score by functions</t>
  </si>
  <si>
    <t>Scale</t>
  </si>
  <si>
    <t>&gt;90% - Yes
&lt;90% - No</t>
  </si>
  <si>
    <t>&gt;50% - Yes
&lt;50% - No</t>
  </si>
  <si>
    <t>4-5 - Yes
0-3 - No</t>
  </si>
  <si>
    <t>&gt;80% - Yes
&lt;80% - No</t>
  </si>
  <si>
    <t>Weight</t>
  </si>
  <si>
    <t>Function</t>
  </si>
  <si>
    <t>Ramp-Up Progress</t>
  </si>
  <si>
    <t>Delivery Efficiency</t>
  </si>
  <si>
    <t>Employee Satisfaction</t>
  </si>
  <si>
    <t>Right Skill Acquisition</t>
  </si>
  <si>
    <t>Overall Integration with Organizational Framework and Culture</t>
  </si>
  <si>
    <t>Overall Score</t>
  </si>
  <si>
    <t>Weighted Score</t>
  </si>
  <si>
    <t>Q4</t>
  </si>
  <si>
    <t>Yes</t>
  </si>
  <si>
    <t>No</t>
  </si>
  <si>
    <t>Control Tower</t>
  </si>
  <si>
    <t>Count of Tasks</t>
  </si>
  <si>
    <t>% Deviation</t>
  </si>
  <si>
    <t>Count Delayed</t>
  </si>
  <si>
    <t>Count on time</t>
  </si>
  <si>
    <t>Total Milestones</t>
  </si>
  <si>
    <t>Tower Name</t>
  </si>
  <si>
    <t>Product Engineering</t>
  </si>
  <si>
    <t>IT &amp; Enterprise Support</t>
  </si>
  <si>
    <t>Sales &amp; Marketing</t>
  </si>
  <si>
    <t>Research &amp; Development</t>
  </si>
  <si>
    <t>HRT</t>
  </si>
  <si>
    <t>Human Resources &amp; Talent</t>
  </si>
  <si>
    <t>VRO</t>
  </si>
  <si>
    <t>Value Realisation Office</t>
  </si>
  <si>
    <t>OCM</t>
  </si>
  <si>
    <t>Organizational Change Management</t>
  </si>
  <si>
    <t>Serial ID</t>
  </si>
  <si>
    <t>Deliverable</t>
  </si>
  <si>
    <t>Completion</t>
  </si>
  <si>
    <t>Owner</t>
  </si>
  <si>
    <t>Status</t>
  </si>
  <si>
    <t>Milestones</t>
  </si>
  <si>
    <t>Task Start Date</t>
  </si>
  <si>
    <t>Planned End date</t>
  </si>
  <si>
    <t>Actual End Date</t>
  </si>
  <si>
    <t>1.1.1</t>
  </si>
  <si>
    <t>Group1</t>
  </si>
  <si>
    <t>Task 1 of Group1</t>
  </si>
  <si>
    <t>0% Complete</t>
  </si>
  <si>
    <t>Not Late</t>
  </si>
  <si>
    <t/>
  </si>
  <si>
    <t>1.1.13</t>
  </si>
  <si>
    <t>Task 13 of Group1</t>
  </si>
  <si>
    <t>75% Complete</t>
  </si>
  <si>
    <t>1.1.4</t>
  </si>
  <si>
    <t>Task 4 of Group1</t>
  </si>
  <si>
    <t>50% Complete</t>
  </si>
  <si>
    <t>Late</t>
  </si>
  <si>
    <t>1.1.5</t>
  </si>
  <si>
    <t>Task 5 of Group1</t>
  </si>
  <si>
    <t>100% Complete</t>
  </si>
  <si>
    <t>1.1.7</t>
  </si>
  <si>
    <t>Task 7 of Group1</t>
  </si>
  <si>
    <t>1.1.8</t>
  </si>
  <si>
    <t>Task 8 of Group1</t>
  </si>
  <si>
    <t>1.2.11</t>
  </si>
  <si>
    <t>Group2</t>
  </si>
  <si>
    <t>Task 11 of Group2</t>
  </si>
  <si>
    <t>1.2.14</t>
  </si>
  <si>
    <t>Task 14 of Group2</t>
  </si>
  <si>
    <t>1.2.6</t>
  </si>
  <si>
    <t>Task 6 of Group2</t>
  </si>
  <si>
    <t>1.2.9</t>
  </si>
  <si>
    <t>Task 9 of Group2</t>
  </si>
  <si>
    <t>1.3.10</t>
  </si>
  <si>
    <t>Group3</t>
  </si>
  <si>
    <t>Task 10 of Group3</t>
  </si>
  <si>
    <t>1.3.12</t>
  </si>
  <si>
    <t>Task 12 of Group3</t>
  </si>
  <si>
    <t>25% Complete</t>
  </si>
  <si>
    <t>1.3.2</t>
  </si>
  <si>
    <t>Task 2 of Group3</t>
  </si>
  <si>
    <t>1.3.3</t>
  </si>
  <si>
    <t>Task 3 of Group3</t>
  </si>
  <si>
    <t>2.1.1</t>
  </si>
  <si>
    <t>2.1.4</t>
  </si>
  <si>
    <t>2.2.13</t>
  </si>
  <si>
    <t>Task 13 of Group2</t>
  </si>
  <si>
    <t>2.2.14</t>
  </si>
  <si>
    <t>2.2.15</t>
  </si>
  <si>
    <t>Task 15 of Group2</t>
  </si>
  <si>
    <t>2.2.17</t>
  </si>
  <si>
    <t>Task 17 of Group2</t>
  </si>
  <si>
    <t>2.2.18</t>
  </si>
  <si>
    <t>Task 18 of Group2</t>
  </si>
  <si>
    <t>2.2.2</t>
  </si>
  <si>
    <t>Task 2 of Group2</t>
  </si>
  <si>
    <t>2.2.3</t>
  </si>
  <si>
    <t>Task 3 of Group2</t>
  </si>
  <si>
    <t>2.2.5</t>
  </si>
  <si>
    <t>Task 5 of Group2</t>
  </si>
  <si>
    <t>2.2.7</t>
  </si>
  <si>
    <t>Task 7 of Group2</t>
  </si>
  <si>
    <t>2.3.10</t>
  </si>
  <si>
    <t>2.3.11</t>
  </si>
  <si>
    <t>Task 11 of Group3</t>
  </si>
  <si>
    <t>2.3.12</t>
  </si>
  <si>
    <t>2.3.16</t>
  </si>
  <si>
    <t>Task 16 of Group3</t>
  </si>
  <si>
    <t>2.3.6</t>
  </si>
  <si>
    <t>Task 6 of Group3</t>
  </si>
  <si>
    <t>2.3.8</t>
  </si>
  <si>
    <t>Task 8 of Group3</t>
  </si>
  <si>
    <t>2.3.9</t>
  </si>
  <si>
    <t>Task 9 of Group3</t>
  </si>
  <si>
    <t>3.1.1</t>
  </si>
  <si>
    <t>3.1.10</t>
  </si>
  <si>
    <t>Task 10 of Group1</t>
  </si>
  <si>
    <t>3.1.16</t>
  </si>
  <si>
    <t>Task 16 of Group1</t>
  </si>
  <si>
    <t>3.1.18</t>
  </si>
  <si>
    <t>Task 18 of Group1</t>
  </si>
  <si>
    <t>3.2.13</t>
  </si>
  <si>
    <t>3.2.14</t>
  </si>
  <si>
    <t>3.2.15</t>
  </si>
  <si>
    <t>3.2.2</t>
  </si>
  <si>
    <t>3.2.5</t>
  </si>
  <si>
    <t>3.2.6</t>
  </si>
  <si>
    <t>3.2.7</t>
  </si>
  <si>
    <t>3.2.9</t>
  </si>
  <si>
    <t>3.3.11</t>
  </si>
  <si>
    <t>3.3.12</t>
  </si>
  <si>
    <t>3.3.17</t>
  </si>
  <si>
    <t>Task 17 of Group3</t>
  </si>
  <si>
    <t>3.3.3</t>
  </si>
  <si>
    <t>3.3.4</t>
  </si>
  <si>
    <t>Task 4 of Group3</t>
  </si>
  <si>
    <t>3.3.8</t>
  </si>
  <si>
    <t>4.1.15</t>
  </si>
  <si>
    <t>Task 15 of Group1</t>
  </si>
  <si>
    <t>4.1.16</t>
  </si>
  <si>
    <t>4.1.5</t>
  </si>
  <si>
    <t>4.1.7</t>
  </si>
  <si>
    <t>4.2.1</t>
  </si>
  <si>
    <t>Task 1 of Group2</t>
  </si>
  <si>
    <t>4.2.11</t>
  </si>
  <si>
    <t>4.2.13</t>
  </si>
  <si>
    <t>4.2.4</t>
  </si>
  <si>
    <t>Task 4 of Group2</t>
  </si>
  <si>
    <t>4.2.6</t>
  </si>
  <si>
    <t>4.2.8</t>
  </si>
  <si>
    <t>Task 8 of Group2</t>
  </si>
  <si>
    <t>4.2.9</t>
  </si>
  <si>
    <t>4.3.10</t>
  </si>
  <si>
    <t>4.3.12</t>
  </si>
  <si>
    <t>4.3.14</t>
  </si>
  <si>
    <t>Task 14 of Group3</t>
  </si>
  <si>
    <t>4.3.2</t>
  </si>
  <si>
    <t>4.3.3</t>
  </si>
  <si>
    <t>5.1.11</t>
  </si>
  <si>
    <t>Task 11 of Group1</t>
  </si>
  <si>
    <t>5.1.16</t>
  </si>
  <si>
    <t>5.1.17</t>
  </si>
  <si>
    <t>Task 17 of Group1</t>
  </si>
  <si>
    <t>5.1.18</t>
  </si>
  <si>
    <t>5.1.21</t>
  </si>
  <si>
    <t>Task 21 of Group1</t>
  </si>
  <si>
    <t>5.1.25</t>
  </si>
  <si>
    <t>Task 25 of Group1</t>
  </si>
  <si>
    <t>5.1.26</t>
  </si>
  <si>
    <t>Task 26 of Group1</t>
  </si>
  <si>
    <t>5.1.28</t>
  </si>
  <si>
    <t>Task 28 of Group1</t>
  </si>
  <si>
    <t>5.1.31</t>
  </si>
  <si>
    <t>Task 31 of Group1</t>
  </si>
  <si>
    <t>5.1.35</t>
  </si>
  <si>
    <t>Task 35 of Group1</t>
  </si>
  <si>
    <t>5.1.36</t>
  </si>
  <si>
    <t>Task 36 of Group1</t>
  </si>
  <si>
    <t>5.1.37</t>
  </si>
  <si>
    <t>Task 37 of Group1</t>
  </si>
  <si>
    <t>5.1.38</t>
  </si>
  <si>
    <t>Task 38 of Group1</t>
  </si>
  <si>
    <t>5.1.39</t>
  </si>
  <si>
    <t>Task 39 of Group1</t>
  </si>
  <si>
    <t>5.1.41</t>
  </si>
  <si>
    <t>Task 41 of Group1</t>
  </si>
  <si>
    <t>5.1.44</t>
  </si>
  <si>
    <t>Task 44 of Group1</t>
  </si>
  <si>
    <t>5.1.46</t>
  </si>
  <si>
    <t>Task 46 of Group1</t>
  </si>
  <si>
    <t>5.1.51</t>
  </si>
  <si>
    <t>Task 51 of Group1</t>
  </si>
  <si>
    <t>5.1.52</t>
  </si>
  <si>
    <t>Task 52 of Group1</t>
  </si>
  <si>
    <t>5.1.64</t>
  </si>
  <si>
    <t>Task 64 of Group1</t>
  </si>
  <si>
    <t>5.1.67</t>
  </si>
  <si>
    <t>Task 67 of Group1</t>
  </si>
  <si>
    <t>5.1.69</t>
  </si>
  <si>
    <t>Task 69 of Group1</t>
  </si>
  <si>
    <t>5.1.7</t>
  </si>
  <si>
    <t>5.1.76</t>
  </si>
  <si>
    <t>Task 76 of Group1</t>
  </si>
  <si>
    <t>5.1.78</t>
  </si>
  <si>
    <t>Task 78 of Group1</t>
  </si>
  <si>
    <t>5.2.10</t>
  </si>
  <si>
    <t>Task 10 of Group2</t>
  </si>
  <si>
    <t>5.2.13</t>
  </si>
  <si>
    <t>5.2.15</t>
  </si>
  <si>
    <t>5.2.23</t>
  </si>
  <si>
    <t>Task 23 of Group2</t>
  </si>
  <si>
    <t>5.2.30</t>
  </si>
  <si>
    <t>Task 30 of Group2</t>
  </si>
  <si>
    <t>5.2.32</t>
  </si>
  <si>
    <t>Task 32 of Group2</t>
  </si>
  <si>
    <t>5.2.33</t>
  </si>
  <si>
    <t>Task 33 of Group2</t>
  </si>
  <si>
    <t>5.2.34</t>
  </si>
  <si>
    <t>Task 34 of Group2</t>
  </si>
  <si>
    <t>5.2.42</t>
  </si>
  <si>
    <t>Task 42 of Group2</t>
  </si>
  <si>
    <t>5.2.47</t>
  </si>
  <si>
    <t>Task 47 of Group2</t>
  </si>
  <si>
    <t>5.2.48</t>
  </si>
  <si>
    <t>Task 48 of Group2</t>
  </si>
  <si>
    <t>5.2.49</t>
  </si>
  <si>
    <t>Task 49 of Group2</t>
  </si>
  <si>
    <t>5.2.53</t>
  </si>
  <si>
    <t>Task 53 of Group2</t>
  </si>
  <si>
    <t>5.2.54</t>
  </si>
  <si>
    <t>Task 54 of Group2</t>
  </si>
  <si>
    <t>5.2.56</t>
  </si>
  <si>
    <t>Task 56 of Group2</t>
  </si>
  <si>
    <t>5.2.57</t>
  </si>
  <si>
    <t>Task 57 of Group2</t>
  </si>
  <si>
    <t>5.2.58</t>
  </si>
  <si>
    <t>Task 58 of Group2</t>
  </si>
  <si>
    <t>5.2.59</t>
  </si>
  <si>
    <t>Task 59 of Group2</t>
  </si>
  <si>
    <t>5.2.6</t>
  </si>
  <si>
    <t>5.2.60</t>
  </si>
  <si>
    <t>Task 60 of Group2</t>
  </si>
  <si>
    <t>5.2.62</t>
  </si>
  <si>
    <t>Task 62 of Group2</t>
  </si>
  <si>
    <t>5.2.63</t>
  </si>
  <si>
    <t>Task 63 of Group2</t>
  </si>
  <si>
    <t>5.2.65</t>
  </si>
  <si>
    <t>Task 65 of Group2</t>
  </si>
  <si>
    <t>5.2.66</t>
  </si>
  <si>
    <t>Task 66 of Group2</t>
  </si>
  <si>
    <t>5.2.72</t>
  </si>
  <si>
    <t>Task 72 of Group2</t>
  </si>
  <si>
    <t>5.2.75</t>
  </si>
  <si>
    <t>Task 75 of Group2</t>
  </si>
  <si>
    <t>5.2.77</t>
  </si>
  <si>
    <t>Task 77 of Group2</t>
  </si>
  <si>
    <t>5.2.79</t>
  </si>
  <si>
    <t>Task 79 of Group2</t>
  </si>
  <si>
    <t>5.2.8</t>
  </si>
  <si>
    <t>5.2.80</t>
  </si>
  <si>
    <t>Task 80 of Group2</t>
  </si>
  <si>
    <t>5.3.1</t>
  </si>
  <si>
    <t>Task 1 of Group3</t>
  </si>
  <si>
    <t>5.3.12</t>
  </si>
  <si>
    <t>5.3.14</t>
  </si>
  <si>
    <t>5.3.19</t>
  </si>
  <si>
    <t>Task 19 of Group3</t>
  </si>
  <si>
    <t>5.3.2</t>
  </si>
  <si>
    <t>5.3.20</t>
  </si>
  <si>
    <t>Task 20 of Group3</t>
  </si>
  <si>
    <t>5.3.22</t>
  </si>
  <si>
    <t>Task 22 of Group3</t>
  </si>
  <si>
    <t>5.3.24</t>
  </si>
  <si>
    <t>Task 24 of Group3</t>
  </si>
  <si>
    <t>5.3.27</t>
  </si>
  <si>
    <t>Task 27 of Group3</t>
  </si>
  <si>
    <t>5.3.29</t>
  </si>
  <si>
    <t>Task 29 of Group3</t>
  </si>
  <si>
    <t>5.3.3</t>
  </si>
  <si>
    <t>5.3.4</t>
  </si>
  <si>
    <t>5.3.40</t>
  </si>
  <si>
    <t>Task 40 of Group3</t>
  </si>
  <si>
    <t>5.3.43</t>
  </si>
  <si>
    <t>Task 43 of Group3</t>
  </si>
  <si>
    <t>5.3.45</t>
  </si>
  <si>
    <t>Task 45 of Group3</t>
  </si>
  <si>
    <t>5.3.5</t>
  </si>
  <si>
    <t>Task 5 of Group3</t>
  </si>
  <si>
    <t>5.3.50</t>
  </si>
  <si>
    <t>Task 50 of Group3</t>
  </si>
  <si>
    <t>5.3.55</t>
  </si>
  <si>
    <t>Task 55 of Group3</t>
  </si>
  <si>
    <t>5.3.61</t>
  </si>
  <si>
    <t>Task 61 of Group3</t>
  </si>
  <si>
    <t>5.3.68</t>
  </si>
  <si>
    <t>Task 68 of Group3</t>
  </si>
  <si>
    <t>5.3.70</t>
  </si>
  <si>
    <t>Task 70 of Group3</t>
  </si>
  <si>
    <t>5.3.71</t>
  </si>
  <si>
    <t>Task 71 of Group3</t>
  </si>
  <si>
    <t>5.3.73</t>
  </si>
  <si>
    <t>Task 73 of Group3</t>
  </si>
  <si>
    <t>5.3.74</t>
  </si>
  <si>
    <t>Task 74 of Group3</t>
  </si>
  <si>
    <t>5.3.9</t>
  </si>
  <si>
    <t>6.1.1</t>
  </si>
  <si>
    <t>6.1.10</t>
  </si>
  <si>
    <t>6.1.11</t>
  </si>
  <si>
    <t>6.1.12</t>
  </si>
  <si>
    <t>Task 12 of Group1</t>
  </si>
  <si>
    <t>6.1.14</t>
  </si>
  <si>
    <t>Task 14 of Group1</t>
  </si>
  <si>
    <t>6.1.15</t>
  </si>
  <si>
    <t>6.1.18</t>
  </si>
  <si>
    <t>6.1.21</t>
  </si>
  <si>
    <t>6.1.23</t>
  </si>
  <si>
    <t>Task 23 of Group1</t>
  </si>
  <si>
    <t>6.1.25</t>
  </si>
  <si>
    <t>6.1.26</t>
  </si>
  <si>
    <t>6.1.27</t>
  </si>
  <si>
    <t>Task 27 of Group1</t>
  </si>
  <si>
    <t>6.1.31</t>
  </si>
  <si>
    <t>6.1.32</t>
  </si>
  <si>
    <t>Task 32 of Group1</t>
  </si>
  <si>
    <t>6.1.35</t>
  </si>
  <si>
    <t>6.1.39</t>
  </si>
  <si>
    <t>6.1.43</t>
  </si>
  <si>
    <t>Task 43 of Group1</t>
  </si>
  <si>
    <t>6.1.8</t>
  </si>
  <si>
    <t>6.2.13</t>
  </si>
  <si>
    <t>6.2.19</t>
  </si>
  <si>
    <t>Task 19 of Group2</t>
  </si>
  <si>
    <t>6.2.20</t>
  </si>
  <si>
    <t>Task 20 of Group2</t>
  </si>
  <si>
    <t>6.2.30</t>
  </si>
  <si>
    <t>6.2.33</t>
  </si>
  <si>
    <t>6.2.40</t>
  </si>
  <si>
    <t>Task 40 of Group2</t>
  </si>
  <si>
    <t>6.2.44</t>
  </si>
  <si>
    <t>Task 44 of Group2</t>
  </si>
  <si>
    <t>6.2.45</t>
  </si>
  <si>
    <t>Task 45 of Group2</t>
  </si>
  <si>
    <t>6.2.7</t>
  </si>
  <si>
    <t>6.2.9</t>
  </si>
  <si>
    <t>6.3.16</t>
  </si>
  <si>
    <t>6.3.17</t>
  </si>
  <si>
    <t>6.3.2</t>
  </si>
  <si>
    <t>6.3.22</t>
  </si>
  <si>
    <t>6.3.24</t>
  </si>
  <si>
    <t>6.3.28</t>
  </si>
  <si>
    <t>Task 28 of Group3</t>
  </si>
  <si>
    <t>6.3.29</t>
  </si>
  <si>
    <t>6.3.3</t>
  </si>
  <si>
    <t>6.3.34</t>
  </si>
  <si>
    <t>Task 34 of Group3</t>
  </si>
  <si>
    <t>6.3.36</t>
  </si>
  <si>
    <t>Task 36 of Group3</t>
  </si>
  <si>
    <t>6.3.37</t>
  </si>
  <si>
    <t>Task 37 of Group3</t>
  </si>
  <si>
    <t>6.3.38</t>
  </si>
  <si>
    <t>Task 38 of Group3</t>
  </si>
  <si>
    <t>6.3.4</t>
  </si>
  <si>
    <t>6.3.41</t>
  </si>
  <si>
    <t>Task 41 of Group3</t>
  </si>
  <si>
    <t>6.3.42</t>
  </si>
  <si>
    <t>Task 42 of Group3</t>
  </si>
  <si>
    <t>6.3.5</t>
  </si>
  <si>
    <t>6.3.6</t>
  </si>
  <si>
    <t>7.1.1</t>
  </si>
  <si>
    <t>7.1.102</t>
  </si>
  <si>
    <t>Task 102 of Group1</t>
  </si>
  <si>
    <t>7.1.103</t>
  </si>
  <si>
    <t>Task 103 of Group1</t>
  </si>
  <si>
    <t>7.1.104</t>
  </si>
  <si>
    <t>Task 104 of Group1</t>
  </si>
  <si>
    <t>7.1.111</t>
  </si>
  <si>
    <t>Task 111 of Group1</t>
  </si>
  <si>
    <t>7.1.113</t>
  </si>
  <si>
    <t>Task 113 of Group1</t>
  </si>
  <si>
    <t>7.1.114</t>
  </si>
  <si>
    <t>Task 114 of Group1</t>
  </si>
  <si>
    <t>7.1.115</t>
  </si>
  <si>
    <t>Task 115 of Group1</t>
  </si>
  <si>
    <t>7.1.117</t>
  </si>
  <si>
    <t>Task 117 of Group1</t>
  </si>
  <si>
    <t>7.1.119</t>
  </si>
  <si>
    <t>Task 119 of Group1</t>
  </si>
  <si>
    <t>7.1.13</t>
  </si>
  <si>
    <t>7.1.14</t>
  </si>
  <si>
    <t>7.1.19</t>
  </si>
  <si>
    <t>Task 19 of Group1</t>
  </si>
  <si>
    <t>7.1.22</t>
  </si>
  <si>
    <t>Task 22 of Group1</t>
  </si>
  <si>
    <t>7.1.23</t>
  </si>
  <si>
    <t>7.1.27</t>
  </si>
  <si>
    <t>7.1.29</t>
  </si>
  <si>
    <t>Task 29 of Group1</t>
  </si>
  <si>
    <t>7.1.30</t>
  </si>
  <si>
    <t>Task 30 of Group1</t>
  </si>
  <si>
    <t>7.1.34</t>
  </si>
  <si>
    <t>Task 34 of Group1</t>
  </si>
  <si>
    <t>7.1.37</t>
  </si>
  <si>
    <t>7.1.41</t>
  </si>
  <si>
    <t>7.1.42</t>
  </si>
  <si>
    <t>Task 42 of Group1</t>
  </si>
  <si>
    <t>7.1.48</t>
  </si>
  <si>
    <t>Task 48 of Group1</t>
  </si>
  <si>
    <t>7.1.49</t>
  </si>
  <si>
    <t>Task 49 of Group1</t>
  </si>
  <si>
    <t>7.1.5</t>
  </si>
  <si>
    <t>7.1.55</t>
  </si>
  <si>
    <t>Task 55 of Group1</t>
  </si>
  <si>
    <t>7.1.56</t>
  </si>
  <si>
    <t>Task 56 of Group1</t>
  </si>
  <si>
    <t>7.1.6</t>
  </si>
  <si>
    <t>Task 6 of Group1</t>
  </si>
  <si>
    <t>7.1.63</t>
  </si>
  <si>
    <t>Task 63 of Group1</t>
  </si>
  <si>
    <t>7.1.64</t>
  </si>
  <si>
    <t>7.1.7</t>
  </si>
  <si>
    <t>7.1.70</t>
  </si>
  <si>
    <t>Task 70 of Group1</t>
  </si>
  <si>
    <t>7.1.72</t>
  </si>
  <si>
    <t>Task 72 of Group1</t>
  </si>
  <si>
    <t>7.1.74</t>
  </si>
  <si>
    <t>Task 74 of Group1</t>
  </si>
  <si>
    <t>7.1.75</t>
  </si>
  <si>
    <t>Task 75 of Group1</t>
  </si>
  <si>
    <t>7.1.78</t>
  </si>
  <si>
    <t>7.1.79</t>
  </si>
  <si>
    <t>Task 79 of Group1</t>
  </si>
  <si>
    <t>7.1.8</t>
  </si>
  <si>
    <t>7.1.81</t>
  </si>
  <si>
    <t>Task 81 of Group1</t>
  </si>
  <si>
    <t>7.1.82</t>
  </si>
  <si>
    <t>Task 82 of Group1</t>
  </si>
  <si>
    <t>7.1.86</t>
  </si>
  <si>
    <t>Task 86 of Group1</t>
  </si>
  <si>
    <t>7.1.88</t>
  </si>
  <si>
    <t>Task 88 of Group1</t>
  </si>
  <si>
    <t>7.1.91</t>
  </si>
  <si>
    <t>Task 91 of Group1</t>
  </si>
  <si>
    <t>7.1.93</t>
  </si>
  <si>
    <t>Task 93 of Group1</t>
  </si>
  <si>
    <t>7.1.97</t>
  </si>
  <si>
    <t>Task 97 of Group1</t>
  </si>
  <si>
    <t>7.1.98</t>
  </si>
  <si>
    <t>Task 98 of Group1</t>
  </si>
  <si>
    <t>7.1.99</t>
  </si>
  <si>
    <t>Task 99 of Group1</t>
  </si>
  <si>
    <t>7.2.105</t>
  </si>
  <si>
    <t>Task 105 of Group2</t>
  </si>
  <si>
    <t>7.2.107</t>
  </si>
  <si>
    <t>Task 107 of Group2</t>
  </si>
  <si>
    <t>7.2.108</t>
  </si>
  <si>
    <t>Task 108 of Group2</t>
  </si>
  <si>
    <t>7.2.109</t>
  </si>
  <si>
    <t>Task 109 of Group2</t>
  </si>
  <si>
    <t>7.2.11</t>
  </si>
  <si>
    <t>7.2.110</t>
  </si>
  <si>
    <t>Task 110 of Group2</t>
  </si>
  <si>
    <t>7.2.15</t>
  </si>
  <si>
    <t>7.2.16</t>
  </si>
  <si>
    <t>Task 16 of Group2</t>
  </si>
  <si>
    <t>7.2.17</t>
  </si>
  <si>
    <t>7.2.18</t>
  </si>
  <si>
    <t>7.2.21</t>
  </si>
  <si>
    <t>Task 21 of Group2</t>
  </si>
  <si>
    <t>7.2.25</t>
  </si>
  <si>
    <t>Task 25 of Group2</t>
  </si>
  <si>
    <t>7.2.28</t>
  </si>
  <si>
    <t>Task 28 of Group2</t>
  </si>
  <si>
    <t>7.2.31</t>
  </si>
  <si>
    <t>Task 31 of Group2</t>
  </si>
  <si>
    <t>7.2.44</t>
  </si>
  <si>
    <t>7.2.45</t>
  </si>
  <si>
    <t>7.2.46</t>
  </si>
  <si>
    <t>Task 46 of Group2</t>
  </si>
  <si>
    <t>7.2.47</t>
  </si>
  <si>
    <t>7.2.51</t>
  </si>
  <si>
    <t>Task 51 of Group2</t>
  </si>
  <si>
    <t>7.2.52</t>
  </si>
  <si>
    <t>Task 52 of Group2</t>
  </si>
  <si>
    <t>7.2.53</t>
  </si>
  <si>
    <t>7.2.57</t>
  </si>
  <si>
    <t>7.2.59</t>
  </si>
  <si>
    <t>7.2.60</t>
  </si>
  <si>
    <t>7.2.62</t>
  </si>
  <si>
    <t>7.2.66</t>
  </si>
  <si>
    <t>7.2.68</t>
  </si>
  <si>
    <t>Task 68 of Group2</t>
  </si>
  <si>
    <t>7.2.69</t>
  </si>
  <si>
    <t>Task 69 of Group2</t>
  </si>
  <si>
    <t>7.2.71</t>
  </si>
  <si>
    <t>Task 71 of Group2</t>
  </si>
  <si>
    <t>7.2.76</t>
  </si>
  <si>
    <t>Task 76 of Group2</t>
  </si>
  <si>
    <t>7.2.77</t>
  </si>
  <si>
    <t>7.2.83</t>
  </si>
  <si>
    <t>Task 83 of Group2</t>
  </si>
  <si>
    <t>7.2.84</t>
  </si>
  <si>
    <t>Task 84 of Group2</t>
  </si>
  <si>
    <t>7.2.87</t>
  </si>
  <si>
    <t>Task 87 of Group2</t>
  </si>
  <si>
    <t>7.2.89</t>
  </si>
  <si>
    <t>Task 89 of Group2</t>
  </si>
  <si>
    <t>7.2.90</t>
  </si>
  <si>
    <t>Task 90 of Group2</t>
  </si>
  <si>
    <t>7.2.92</t>
  </si>
  <si>
    <t>Task 92 of Group2</t>
  </si>
  <si>
    <t>7.2.94</t>
  </si>
  <si>
    <t>Task 94 of Group2</t>
  </si>
  <si>
    <t>7.2.95</t>
  </si>
  <si>
    <t>Task 95 of Group2</t>
  </si>
  <si>
    <t>7.3.10</t>
  </si>
  <si>
    <t>7.3.100</t>
  </si>
  <si>
    <t>Task 100 of Group3</t>
  </si>
  <si>
    <t>7.3.101</t>
  </si>
  <si>
    <t>Task 101 of Group3</t>
  </si>
  <si>
    <t>7.3.106</t>
  </si>
  <si>
    <t>Task 106 of Group3</t>
  </si>
  <si>
    <t>7.3.112</t>
  </si>
  <si>
    <t>Task 112 of Group3</t>
  </si>
  <si>
    <t>7.3.116</t>
  </si>
  <si>
    <t>Task 116 of Group3</t>
  </si>
  <si>
    <t>7.3.118</t>
  </si>
  <si>
    <t>Task 118 of Group3</t>
  </si>
  <si>
    <t>7.3.12</t>
  </si>
  <si>
    <t>7.3.120</t>
  </si>
  <si>
    <t>Task 120 of Group3</t>
  </si>
  <si>
    <t>7.3.2</t>
  </si>
  <si>
    <t>7.3.20</t>
  </si>
  <si>
    <t>7.3.24</t>
  </si>
  <si>
    <t>7.3.26</t>
  </si>
  <si>
    <t>Task 26 of Group3</t>
  </si>
  <si>
    <t>7.3.3</t>
  </si>
  <si>
    <t>7.3.32</t>
  </si>
  <si>
    <t>Task 32 of Group3</t>
  </si>
  <si>
    <t>7.3.33</t>
  </si>
  <si>
    <t>Task 33 of Group3</t>
  </si>
  <si>
    <t>7.3.35</t>
  </si>
  <si>
    <t>Task 35 of Group3</t>
  </si>
  <si>
    <t>7.3.36</t>
  </si>
  <si>
    <t>7.3.38</t>
  </si>
  <si>
    <t>7.3.39</t>
  </si>
  <si>
    <t>Task 39 of Group3</t>
  </si>
  <si>
    <t>7.3.4</t>
  </si>
  <si>
    <t>7.3.40</t>
  </si>
  <si>
    <t>7.3.43</t>
  </si>
  <si>
    <t>7.3.50</t>
  </si>
  <si>
    <t>7.3.54</t>
  </si>
  <si>
    <t>Task 54 of Group3</t>
  </si>
  <si>
    <t>7.3.58</t>
  </si>
  <si>
    <t>Task 58 of Group3</t>
  </si>
  <si>
    <t>7.3.61</t>
  </si>
  <si>
    <t>7.3.65</t>
  </si>
  <si>
    <t>Task 65 of Group3</t>
  </si>
  <si>
    <t>7.3.67</t>
  </si>
  <si>
    <t>Task 67 of Group3</t>
  </si>
  <si>
    <t>7.3.73</t>
  </si>
  <si>
    <t>7.3.80</t>
  </si>
  <si>
    <t>Task 80 of Group3</t>
  </si>
  <si>
    <t>7.3.85</t>
  </si>
  <si>
    <t>Task 85 of Group3</t>
  </si>
  <si>
    <t>7.3.9</t>
  </si>
  <si>
    <t>7.3.96</t>
  </si>
  <si>
    <t>Task 96 of Group3</t>
  </si>
  <si>
    <t>Date</t>
  </si>
  <si>
    <t>Planned Spend</t>
  </si>
  <si>
    <t>Actual Spend</t>
  </si>
  <si>
    <t>Projected Spend</t>
  </si>
  <si>
    <t>DB-Projected Spend</t>
  </si>
  <si>
    <t>Q3</t>
  </si>
  <si>
    <t>Q1</t>
  </si>
  <si>
    <t>Q2</t>
  </si>
  <si>
    <t>Total Fixed Fees</t>
  </si>
  <si>
    <t>Governance</t>
  </si>
  <si>
    <t>WARE</t>
  </si>
  <si>
    <t>ESOB</t>
  </si>
  <si>
    <t>Rate</t>
  </si>
  <si>
    <t>Last Date</t>
  </si>
  <si>
    <t>Feature Delivery (%)</t>
  </si>
  <si>
    <t>Story Points Completed (%)</t>
  </si>
  <si>
    <t>Defect Density in Staging</t>
  </si>
  <si>
    <t>Defect Density - Post-release</t>
  </si>
  <si>
    <t># Ideas Submitted</t>
  </si>
  <si>
    <t>#Ideas Converted</t>
  </si>
  <si>
    <t>#Ideas Converted to Pilot/MVP</t>
  </si>
  <si>
    <t># Ideas Scaled Up</t>
  </si>
  <si>
    <t>Automation Efficiency Rate (%)</t>
  </si>
  <si>
    <t>Innovation Adoption Rate</t>
  </si>
  <si>
    <t>Average Cycle Time (days)</t>
  </si>
  <si>
    <t>CSAT</t>
  </si>
  <si>
    <r>
      <t>"#7033FF"</t>
    </r>
    <r>
      <rPr>
        <sz val="10"/>
        <color theme="1"/>
        <rFont val="Arial Unicode MS"/>
      </rPr>
      <t xml:space="preserve">, </t>
    </r>
    <r>
      <rPr>
        <sz val="10"/>
        <color rgb="FFD69D85"/>
        <rFont val="Arial Unicode MS"/>
      </rPr>
      <t>"#5a28cc"</t>
    </r>
    <r>
      <rPr>
        <sz val="10"/>
        <color theme="1"/>
        <rFont val="Arial Unicode MS"/>
      </rPr>
      <t xml:space="preserve">, </t>
    </r>
    <r>
      <rPr>
        <sz val="10"/>
        <color rgb="FFD69D85"/>
        <rFont val="Arial Unicode MS"/>
      </rPr>
      <t>"#8766ff"</t>
    </r>
    <r>
      <rPr>
        <sz val="10"/>
        <color theme="1"/>
        <rFont val="Arial Unicode MS"/>
      </rPr>
      <t xml:space="preserve">, </t>
    </r>
    <r>
      <rPr>
        <sz val="10"/>
        <color rgb="FFD69D85"/>
        <rFont val="Arial Unicode MS"/>
      </rPr>
      <t>"#808080"</t>
    </r>
    <r>
      <rPr>
        <sz val="10"/>
        <color theme="1"/>
        <rFont val="Arial Unicode MS"/>
      </rPr>
      <t xml:space="preserve">, </t>
    </r>
    <r>
      <rPr>
        <sz val="10"/>
        <color rgb="FFD69D85"/>
        <rFont val="Arial Unicode MS"/>
      </rPr>
      <t>"#a0a0a0"</t>
    </r>
    <r>
      <rPr>
        <sz val="10"/>
        <color theme="1"/>
        <rFont val="Arial Unicode MS"/>
      </rPr>
      <t xml:space="preserve">, </t>
    </r>
    <r>
      <rPr>
        <sz val="10"/>
        <color rgb="FFD69D85"/>
        <rFont val="Arial Unicode MS"/>
      </rPr>
      <t>"#5a5a5a"</t>
    </r>
    <r>
      <rPr>
        <sz val="10"/>
        <color theme="1"/>
        <rFont val="Arial Unicode MS"/>
      </rPr>
      <t>],</t>
    </r>
  </si>
  <si>
    <r>
      <t xml:space="preserve">  </t>
    </r>
    <r>
      <rPr>
        <sz val="10"/>
        <color rgb="FF2E75B6"/>
        <rFont val="Arial Unicode MS"/>
      </rPr>
      <t>"background"</t>
    </r>
    <r>
      <rPr>
        <sz val="10"/>
        <color theme="1"/>
        <rFont val="Arial Unicode MS"/>
      </rPr>
      <t xml:space="preserve">: </t>
    </r>
    <r>
      <rPr>
        <sz val="10"/>
        <color rgb="FFD69D85"/>
        <rFont val="Arial Unicode MS"/>
      </rPr>
      <t>"#f0f0f5"</t>
    </r>
    <r>
      <rPr>
        <sz val="10"/>
        <color theme="1"/>
        <rFont val="Arial Unicode MS"/>
      </rPr>
      <t>,</t>
    </r>
  </si>
  <si>
    <r>
      <t xml:space="preserve">  </t>
    </r>
    <r>
      <rPr>
        <sz val="10"/>
        <color rgb="FF2E75B6"/>
        <rFont val="Arial Unicode MS"/>
      </rPr>
      <t>"foreground"</t>
    </r>
    <r>
      <rPr>
        <sz val="10"/>
        <color theme="1"/>
        <rFont val="Arial Unicode MS"/>
      </rPr>
      <t xml:space="preserve">: </t>
    </r>
    <r>
      <rPr>
        <sz val="10"/>
        <color rgb="FFD69D85"/>
        <rFont val="Arial Unicode MS"/>
      </rPr>
      <t>"#333333"</t>
    </r>
    <r>
      <rPr>
        <sz val="10"/>
        <color theme="1"/>
        <rFont val="Arial Unicode MS"/>
      </rPr>
      <t>,</t>
    </r>
  </si>
  <si>
    <r>
      <t xml:space="preserve">  </t>
    </r>
    <r>
      <rPr>
        <sz val="10"/>
        <color rgb="FF2E75B6"/>
        <rFont val="Arial Unicode MS"/>
      </rPr>
      <t>"tableAccent"</t>
    </r>
    <r>
      <rPr>
        <sz val="10"/>
        <color theme="1"/>
        <rFont val="Arial Unicode MS"/>
      </rPr>
      <t xml:space="preserve">: </t>
    </r>
    <r>
      <rPr>
        <sz val="10"/>
        <color rgb="FFD69D85"/>
        <rFont val="Arial Unicode MS"/>
      </rPr>
      <t>"#7033FF"</t>
    </r>
    <r>
      <rPr>
        <sz val="10"/>
        <color theme="1"/>
        <rFont val="Arial Unicode MS"/>
      </rPr>
      <t>,</t>
    </r>
  </si>
  <si>
    <t>#7033FF</t>
  </si>
  <si>
    <t>#5a28cc</t>
  </si>
  <si>
    <t>#8766ff</t>
  </si>
  <si>
    <t>#808080</t>
  </si>
  <si>
    <t>#a0a0a0</t>
  </si>
  <si>
    <t>#5a5a5a</t>
  </si>
  <si>
    <t>#f0f0f5</t>
  </si>
  <si>
    <t>#333333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</si>
</sst>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 ;_-[$$-409]* \-#,##0.00\ ;_-[$$-409]* &quot;-&quot;??_ ;_-@_ "/>
  </numFmts>
  <fonts count="7">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10"/>
      <color rgb="FFD69D85"/>
      <name val="Arial Unicode MS"/>
    </font>
    <font>
      <sz val="10"/>
      <color rgb="FF2E75B6"/>
      <name val="Arial Unicode MS"/>
    </font>
    <font>
      <sz val="11"/>
      <color rgb="FF000000"/>
      <name val="Calibri"/>
      <family val="2"/>
      <scheme val="minor"/>
    </font>
  </fonts>
  <fills count="6">
    <fill>
      <patternFill patternType="none"/>
    </fill>
    <fill>
      <patternFill patternType="gray125"/>
    </fill>
    <fill>
      <patternFill patternType="solid">
        <fgColor rgb="FFFFFFCC"/>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4" fontId="0" fillId="0" borderId="0" xfId="0" applyNumberFormat="1"/>
    <xf numFmtId="0" fontId="0" fillId="0" borderId="0" xfId="0" applyAlignment="1">
      <alignment horizontal="center"/>
    </xf>
    <xf numFmtId="0" fontId="2" fillId="2" borderId="1" xfId="0" applyFont="1" applyFill="1" applyBorder="1" applyAlignment="1">
      <alignment vertical="center"/>
    </xf>
    <xf numFmtId="49" fontId="0" fillId="2" borderId="1" xfId="0" applyNumberFormat="1" applyFill="1" applyBorder="1" applyAlignment="1">
      <alignment vertical="center" wrapText="1"/>
    </xf>
    <xf numFmtId="0" fontId="2" fillId="3" borderId="1" xfId="0" applyFont="1" applyFill="1" applyBorder="1" applyAlignment="1">
      <alignment vertical="center"/>
    </xf>
    <xf numFmtId="0" fontId="2" fillId="4" borderId="1" xfId="0" applyFont="1" applyFill="1" applyBorder="1"/>
    <xf numFmtId="0" fontId="2" fillId="4" borderId="1" xfId="0" applyFont="1" applyFill="1" applyBorder="1" applyAlignment="1">
      <alignment wrapText="1"/>
    </xf>
    <xf numFmtId="0" fontId="2" fillId="5" borderId="1" xfId="0" applyFont="1" applyFill="1" applyBorder="1" applyAlignment="1">
      <alignment horizontal="center"/>
    </xf>
    <xf numFmtId="0" fontId="2" fillId="5" borderId="1" xfId="0" applyFont="1" applyFill="1" applyBorder="1"/>
    <xf numFmtId="49" fontId="2" fillId="5" borderId="1" xfId="0" applyNumberFormat="1" applyFont="1" applyFill="1" applyBorder="1" applyAlignment="1">
      <alignment wrapText="1"/>
    </xf>
    <xf numFmtId="0" fontId="2" fillId="5" borderId="1" xfId="0" applyFont="1" applyFill="1" applyBorder="1" applyAlignment="1">
      <alignment wrapText="1"/>
    </xf>
    <xf numFmtId="49" fontId="0" fillId="0" borderId="0" xfId="0" applyNumberFormat="1" applyAlignment="1">
      <alignment wrapText="1"/>
    </xf>
    <xf numFmtId="49" fontId="0" fillId="3" borderId="1" xfId="0" quotePrefix="1" applyNumberFormat="1" applyFill="1" applyBorder="1" applyAlignment="1">
      <alignment wrapText="1"/>
    </xf>
    <xf numFmtId="2" fontId="2" fillId="4" borderId="1" xfId="0" applyNumberFormat="1" applyFont="1" applyFill="1" applyBorder="1" applyAlignment="1">
      <alignment horizontal="center" wrapText="1"/>
    </xf>
    <xf numFmtId="0" fontId="0" fillId="0" borderId="1" xfId="0" applyBorder="1" applyAlignment="1">
      <alignment horizontal="center"/>
    </xf>
    <xf numFmtId="0" fontId="0" fillId="0" borderId="1" xfId="0" applyBorder="1"/>
    <xf numFmtId="49" fontId="0" fillId="0" borderId="1" xfId="0" applyNumberFormat="1" applyBorder="1" applyAlignment="1">
      <alignment wrapText="1"/>
    </xf>
    <xf numFmtId="0" fontId="0" fillId="0" borderId="0" xfId="0" applyAlignment="1">
      <alignment wrapText="1"/>
    </xf>
    <xf numFmtId="0" fontId="4" fillId="0" borderId="0" xfId="0" applyFont="1" applyAlignment="1">
      <alignment vertical="center"/>
    </xf>
    <xf numFmtId="0" fontId="3" fillId="0" borderId="0" xfId="0" applyFont="1" applyAlignment="1">
      <alignment vertical="center"/>
    </xf>
    <xf numFmtId="17" fontId="0" fillId="0" borderId="0" xfId="0" applyNumberFormat="1"/>
    <xf numFmtId="1" fontId="0" fillId="0" borderId="0" xfId="0" applyNumberFormat="1"/>
    <xf numFmtId="10" fontId="0" fillId="0" borderId="0" xfId="1" applyNumberFormat="1" applyFont="1"/>
    <xf numFmtId="9" fontId="0" fillId="0" borderId="1" xfId="0" applyNumberFormat="1" applyBorder="1"/>
    <xf numFmtId="9" fontId="0" fillId="0" borderId="1" xfId="1" applyFont="1" applyBorder="1"/>
    <xf numFmtId="0" fontId="6" fillId="0" borderId="2" xfId="0" applyFont="1" applyBorder="1"/>
    <xf numFmtId="164" fontId="0" fillId="0" borderId="0" xfId="0" applyNumberFormat="1"/>
    <xf numFmtId="2" fontId="0" fillId="0" borderId="1" xfId="0" applyNumberFormat="1" applyBorder="1"/>
    <xf numFmtId="165" fontId="0" fillId="0" borderId="0" xfId="0" applyNumberFormat="1"/>
    <xf numFmtId="0" fontId="2" fillId="0" borderId="0" xfId="0" applyFont="1"/>
  </cellXfs>
  <cellStyles count="2">
    <cellStyle name="Normal" xfId="0" builtinId="0"/>
    <cellStyle name="Percent" xfId="1" builtinId="5"/>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760C71-4D77-4755-A664-53A3BE85954E}" name="Table1" displayName="Table1" ref="A1:R301" totalsRowShown="0">
  <autoFilter ref="A1:R301" xr:uid="{AF760C71-4D77-4755-A664-53A3BE85954E}"/>
  <tableColumns count="18">
    <tableColumn id="1" xr3:uid="{22F2FA5F-A664-4C42-BC40-CDB6E5DFB992}" name="CIDNo."/>
    <tableColumn id="2" xr3:uid="{C3FEE73E-E520-48D0-AE65-46FC13F2928D}" name="Stream"/>
    <tableColumn id="3" xr3:uid="{F2E75B26-D9BB-4372-A5DD-BB8D9B849105}" name="Stream Internal"/>
    <tableColumn id="4" xr3:uid="{261F5621-80A6-4864-8021-8CCF7B7518EE}" name="Team"/>
    <tableColumn id="5" xr3:uid="{7FFA24EE-3667-4BE0-B5B9-4D7B4FB2A480}" name="Role"/>
    <tableColumn id="6" xr3:uid="{82314CFF-9565-4CDF-B04F-3234D580EF26}" name="Client Side Role"/>
    <tableColumn id="7" xr3:uid="{23621A41-8D4E-4CCC-AACC-15CE91321FD6}" name="Skill">
      <calculatedColumnFormula array="1">_xlfn.SWITCH(C2,
"SAM", "Salesforce",
"ITES","Jira",
"ENGG","Python",
"RND","Microsoft Platforms")</calculatedColumnFormula>
    </tableColumn>
    <tableColumn id="8" xr3:uid="{79D4C30C-3319-465B-A133-363098517A28}" name="Job Level">
      <calculatedColumnFormula>VLOOKUP(E2,Roles!$C$1:$D$197,2,FALSE)</calculatedColumnFormula>
    </tableColumn>
    <tableColumn id="9" xr3:uid="{04DDBA8F-7013-4C71-B53A-1AFCA8328636}" name="Demand Date" dataDxfId="1"/>
    <tableColumn id="10" xr3:uid="{BA00B88B-905B-4309-A6DA-9A8B2EC32E5F}" name="Candidate name"/>
    <tableColumn id="11" xr3:uid="{A3398675-70EE-4A87-88BD-4E5B122FE892}" name="Date Job Requirement Released" dataDxfId="0"/>
    <tableColumn id="12" xr3:uid="{6D58A1FA-74A3-4D30-93C9-070106A9C16B}" name="Date Offered"/>
    <tableColumn id="13" xr3:uid="{67AB39CE-C8A7-4C74-9F65-69B38FC5EE0D}" name="Date Onboarded"/>
    <tableColumn id="14" xr3:uid="{064E44C9-8A07-4D07-BD89-0DB6FA146D35}" name="Internal/External"/>
    <tableColumn id="15" xr3:uid="{8687157B-4552-495E-ADE1-79EE95F837E7}" name="Pipeline Updated"/>
    <tableColumn id="16" xr3:uid="{9F6BA244-EE6C-429A-9D70-9E63A9F1BA64}" name="Candidate Stage"/>
    <tableColumn id="17" xr3:uid="{EAA35A1F-E10A-44FD-BC04-664C014FBB64}" name="Role_IDP">
      <calculatedColumnFormula>CONCATENATE(C2,"_",D2,"_",E2)</calculatedColumnFormula>
    </tableColumn>
    <tableColumn id="18" xr3:uid="{B86AD5E5-48FC-458E-BA5E-2F2C2AF837C3}" name="Role ID">
      <calculatedColumnFormula>VLOOKUP(Q2,Roles!$A$2:$B$300,2,FALSE)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2FB3B4-0CE5-4424-B6A4-B317A3090280}" name="Table2" displayName="Table2" ref="A1:E42" totalsRowShown="0">
  <autoFilter ref="A1:E42" xr:uid="{042FB3B4-0CE5-4424-B6A4-B317A3090280}"/>
  <tableColumns count="5">
    <tableColumn id="1" xr3:uid="{81C5A65D-F11B-4EC5-8A6B-386C01A24471}" name="SkillName"/>
    <tableColumn id="2" xr3:uid="{8F2BFCE9-4912-4B8F-908B-86ADDEAECD00}" name="Function ID"/>
    <tableColumn id="3" xr3:uid="{A245650C-6CD9-4590-92F6-65DFBC06293A}" name="HC"/>
    <tableColumn id="4" xr3:uid="{769778C0-1304-4BC6-B0A0-07FDF34F1AC1}" name="Month Number"/>
    <tableColumn id="5" xr3:uid="{3A1D7B55-0C87-4F2A-A0B7-9F01A8C596DC}" name="Year"/>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B16" sqref="B16"/>
    </sheetView>
  </sheetViews>
  <sheetFormatPr defaultRowHeight="14.5"/>
  <cols>
    <col min="1" max="1" width="7.81640625" customWidth="1"/>
    <col min="2" max="2" width="90.54296875" customWidth="1"/>
  </cols>
  <sheetData>
    <row r="1" spans="1:2">
      <c r="A1" t="s">
        <v>0</v>
      </c>
    </row>
    <row r="2" spans="1:2">
      <c r="A2" t="s">
        <v>1</v>
      </c>
    </row>
    <row r="3" spans="1:2">
      <c r="A3" t="s">
        <v>2</v>
      </c>
    </row>
    <row r="4" spans="1:2">
      <c r="B4" t="s">
        <v>3</v>
      </c>
    </row>
    <row r="5" spans="1:2">
      <c r="A5" t="s">
        <v>4</v>
      </c>
    </row>
    <row r="6" spans="1:2">
      <c r="A6" t="s">
        <v>5</v>
      </c>
    </row>
    <row r="7" spans="1:2">
      <c r="A7" t="s">
        <v>6</v>
      </c>
    </row>
    <row r="8" spans="1:2">
      <c r="A8" t="s">
        <v>7</v>
      </c>
    </row>
    <row r="9" spans="1:2">
      <c r="A9" t="s">
        <v>8</v>
      </c>
    </row>
    <row r="10" spans="1:2">
      <c r="A10" t="s">
        <v>9</v>
      </c>
    </row>
    <row r="11" spans="1:2" ht="29">
      <c r="B11" s="18" t="s">
        <v>10</v>
      </c>
    </row>
    <row r="12" spans="1:2">
      <c r="A12" t="s">
        <v>11</v>
      </c>
    </row>
    <row r="13" spans="1:2">
      <c r="A13" t="s">
        <v>12</v>
      </c>
    </row>
    <row r="14" spans="1:2">
      <c r="B14" t="s">
        <v>13</v>
      </c>
    </row>
    <row r="15" spans="1:2">
      <c r="B15" t="s">
        <v>14</v>
      </c>
    </row>
    <row r="17" spans="1:2">
      <c r="A17" t="s">
        <v>15</v>
      </c>
    </row>
    <row r="18" spans="1:2">
      <c r="A18" t="s">
        <v>16</v>
      </c>
      <c r="B18" t="s">
        <v>17</v>
      </c>
    </row>
    <row r="19" spans="1:2">
      <c r="A19" t="s">
        <v>18</v>
      </c>
      <c r="B19" t="s">
        <v>19</v>
      </c>
    </row>
    <row r="20" spans="1:2">
      <c r="A20" t="s">
        <v>20</v>
      </c>
      <c r="B20" t="s">
        <v>21</v>
      </c>
    </row>
    <row r="21" spans="1:2">
      <c r="A21" t="s">
        <v>22</v>
      </c>
      <c r="B21" t="s">
        <v>23</v>
      </c>
    </row>
    <row r="22" spans="1:2">
      <c r="A22" t="s">
        <v>24</v>
      </c>
    </row>
    <row r="23" spans="1:2">
      <c r="A23" t="s">
        <v>20</v>
      </c>
      <c r="B23" t="s">
        <v>25</v>
      </c>
    </row>
    <row r="24" spans="1:2">
      <c r="A24" t="s">
        <v>26</v>
      </c>
      <c r="B24" t="s">
        <v>27</v>
      </c>
    </row>
    <row r="25" spans="1:2">
      <c r="A25" t="s">
        <v>16</v>
      </c>
      <c r="B2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CF01-F701-4266-9D5A-7B573635DB16}">
  <dimension ref="A1:R301"/>
  <sheetViews>
    <sheetView workbookViewId="0"/>
  </sheetViews>
  <sheetFormatPr defaultRowHeight="14.5"/>
  <cols>
    <col min="1" max="1" width="11" customWidth="1"/>
    <col min="2" max="2" width="18.453125" customWidth="1"/>
    <col min="3" max="3" width="15.7265625" customWidth="1"/>
    <col min="4" max="4" width="16.54296875" customWidth="1"/>
    <col min="5" max="8" width="17.26953125" customWidth="1"/>
    <col min="9" max="9" width="15" customWidth="1"/>
    <col min="10" max="10" width="16.453125" customWidth="1"/>
    <col min="11" max="11" width="29.1796875" customWidth="1"/>
    <col min="12" max="12" width="13.54296875" customWidth="1"/>
    <col min="13" max="13" width="16.7265625" customWidth="1"/>
    <col min="14" max="15" width="17" customWidth="1"/>
    <col min="16" max="16" width="16.1796875" customWidth="1"/>
    <col min="17" max="17" width="42.54296875" bestFit="1" customWidth="1"/>
  </cols>
  <sheetData>
    <row r="1" spans="1:18">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row>
    <row r="2" spans="1:18">
      <c r="A2" t="s">
        <v>47</v>
      </c>
      <c r="B2" t="s">
        <v>48</v>
      </c>
      <c r="C2" t="s">
        <v>49</v>
      </c>
      <c r="D2" t="s">
        <v>50</v>
      </c>
      <c r="E2" t="s">
        <v>51</v>
      </c>
      <c r="F2" t="s">
        <v>51</v>
      </c>
      <c r="G2" t="str" cm="1">
        <f t="array" ref="G2">_xlfn.SWITCH(C2,
"SAM", "Salesforce",
"ITES","Jira",
"ENGG","Python",
"RND","Microsoft Platforms")</f>
        <v>Salesforce</v>
      </c>
      <c r="H2">
        <f>VLOOKUP(E2,Roles!$C$1:$D$197,2,FALSE)</f>
        <v>7</v>
      </c>
      <c r="I2" s="1">
        <v>45878</v>
      </c>
      <c r="J2" t="s">
        <v>52</v>
      </c>
      <c r="K2" s="1">
        <v>45928</v>
      </c>
      <c r="N2" t="s">
        <v>53</v>
      </c>
      <c r="P2" t="s">
        <v>54</v>
      </c>
      <c r="Q2" t="str">
        <f>CONCATENATE(C2,"_",D2,"_",E2)</f>
        <v>SAM_SalesTeam4_Brand Manager</v>
      </c>
      <c r="R2">
        <f>VLOOKUP(Q2,Roles!$A$2:$B$300,2,FALSE)</f>
        <v>1</v>
      </c>
    </row>
    <row r="3" spans="1:18">
      <c r="A3" t="s">
        <v>55</v>
      </c>
      <c r="B3" t="s">
        <v>56</v>
      </c>
      <c r="C3" t="s">
        <v>57</v>
      </c>
      <c r="D3" t="s">
        <v>58</v>
      </c>
      <c r="E3" t="s">
        <v>59</v>
      </c>
      <c r="F3" t="s">
        <v>59</v>
      </c>
      <c r="G3" t="str" cm="1">
        <f t="array" ref="G3">_xlfn.SWITCH(C3,
"SAM", "Salesforce",
"ITES","Jira",
"ENGG","Python",
"RND","Microsoft Platforms")</f>
        <v>Jira</v>
      </c>
      <c r="H3">
        <f>VLOOKUP(E3,Roles!$C$1:$D$197,2,FALSE)</f>
        <v>9</v>
      </c>
      <c r="I3" s="1">
        <v>45891</v>
      </c>
      <c r="J3" t="s">
        <v>60</v>
      </c>
      <c r="K3" s="1">
        <v>45947</v>
      </c>
      <c r="L3" s="1">
        <v>45962</v>
      </c>
      <c r="M3" s="1">
        <v>45975</v>
      </c>
      <c r="N3" t="s">
        <v>53</v>
      </c>
      <c r="O3">
        <v>2</v>
      </c>
      <c r="P3" t="s">
        <v>61</v>
      </c>
      <c r="Q3" t="str">
        <f t="shared" ref="Q3:Q66" si="0">CONCATENATE(C3,"_",D3,"_",E3)</f>
        <v>ITES_ITTeam5_System Administrator</v>
      </c>
      <c r="R3">
        <f>VLOOKUP(Q3,Roles!$A$2:$B$300,2,FALSE)</f>
        <v>2</v>
      </c>
    </row>
    <row r="4" spans="1:18">
      <c r="A4" t="s">
        <v>62</v>
      </c>
      <c r="B4" t="s">
        <v>56</v>
      </c>
      <c r="C4" t="s">
        <v>57</v>
      </c>
      <c r="D4" t="s">
        <v>58</v>
      </c>
      <c r="E4" t="s">
        <v>63</v>
      </c>
      <c r="F4" t="s">
        <v>63</v>
      </c>
      <c r="G4" t="str" cm="1">
        <f t="array" ref="G4">_xlfn.SWITCH(C4,
"SAM", "Salesforce",
"ITES","Jira",
"ENGG","Python",
"RND","Microsoft Platforms")</f>
        <v>Jira</v>
      </c>
      <c r="H4">
        <f>VLOOKUP(E4,Roles!$C$1:$D$197,2,FALSE)</f>
        <v>9</v>
      </c>
      <c r="I4" s="1">
        <v>45901</v>
      </c>
      <c r="J4" t="s">
        <v>64</v>
      </c>
      <c r="K4" s="1">
        <v>45972</v>
      </c>
      <c r="N4" t="s">
        <v>53</v>
      </c>
      <c r="P4" t="s">
        <v>54</v>
      </c>
      <c r="Q4" t="str">
        <f t="shared" si="0"/>
        <v>ITES_ITTeam5_IT Support Specialist</v>
      </c>
      <c r="R4">
        <f>VLOOKUP(Q4,Roles!$A$2:$B$300,2,FALSE)</f>
        <v>3</v>
      </c>
    </row>
    <row r="5" spans="1:18">
      <c r="A5" t="s">
        <v>65</v>
      </c>
      <c r="B5" t="s">
        <v>48</v>
      </c>
      <c r="C5" t="s">
        <v>49</v>
      </c>
      <c r="D5" t="s">
        <v>50</v>
      </c>
      <c r="E5" t="s">
        <v>66</v>
      </c>
      <c r="F5" t="s">
        <v>66</v>
      </c>
      <c r="G5" t="str" cm="1">
        <f t="array" ref="G5">_xlfn.SWITCH(C5,
"SAM", "Salesforce",
"ITES","Jira",
"ENGG","Python",
"RND","Microsoft Platforms")</f>
        <v>Salesforce</v>
      </c>
      <c r="H5">
        <f>VLOOKUP(E5,Roles!$C$1:$D$197,2,FALSE)</f>
        <v>4</v>
      </c>
      <c r="I5" s="1">
        <v>45889</v>
      </c>
      <c r="J5" t="s">
        <v>67</v>
      </c>
      <c r="K5" s="1">
        <v>45963</v>
      </c>
      <c r="N5" t="s">
        <v>53</v>
      </c>
      <c r="P5" t="s">
        <v>54</v>
      </c>
      <c r="Q5" t="str">
        <f t="shared" si="0"/>
        <v>SAM_SalesTeam4_Sales Director</v>
      </c>
      <c r="R5">
        <f>VLOOKUP(Q5,Roles!$A$2:$B$300,2,FALSE)</f>
        <v>4</v>
      </c>
    </row>
    <row r="6" spans="1:18">
      <c r="A6" t="s">
        <v>68</v>
      </c>
      <c r="B6" t="s">
        <v>69</v>
      </c>
      <c r="C6" t="s">
        <v>70</v>
      </c>
      <c r="D6" t="s">
        <v>71</v>
      </c>
      <c r="E6" t="s">
        <v>72</v>
      </c>
      <c r="F6" t="s">
        <v>72</v>
      </c>
      <c r="G6" t="str" cm="1">
        <f t="array" ref="G6">_xlfn.SWITCH(C6,
"SAM", "Salesforce",
"ITES","Jira",
"ENGG","Python",
"RND","Microsoft Platforms")</f>
        <v>Python</v>
      </c>
      <c r="H6">
        <f>VLOOKUP(E6,Roles!$C$1:$D$197,2,FALSE)</f>
        <v>5</v>
      </c>
      <c r="I6" s="1">
        <v>45881</v>
      </c>
      <c r="J6" t="s">
        <v>73</v>
      </c>
      <c r="K6" s="1">
        <v>45931</v>
      </c>
      <c r="N6" t="s">
        <v>53</v>
      </c>
      <c r="P6" t="s">
        <v>54</v>
      </c>
      <c r="Q6" t="str">
        <f t="shared" si="0"/>
        <v>ENGG_EngineeringTeam1_Platform Delivery Lead</v>
      </c>
      <c r="R6">
        <f>VLOOKUP(Q6,Roles!$A$2:$B$300,2,FALSE)</f>
        <v>5</v>
      </c>
    </row>
    <row r="7" spans="1:18">
      <c r="A7" t="s">
        <v>74</v>
      </c>
      <c r="B7" t="s">
        <v>69</v>
      </c>
      <c r="C7" t="s">
        <v>70</v>
      </c>
      <c r="D7" t="s">
        <v>75</v>
      </c>
      <c r="E7" t="s">
        <v>76</v>
      </c>
      <c r="F7" t="s">
        <v>76</v>
      </c>
      <c r="G7" t="str" cm="1">
        <f t="array" ref="G7">_xlfn.SWITCH(C7,
"SAM", "Salesforce",
"ITES","Jira",
"ENGG","Python",
"RND","Microsoft Platforms")</f>
        <v>Python</v>
      </c>
      <c r="H7">
        <f>VLOOKUP(E7,Roles!$C$1:$D$197,2,FALSE)</f>
        <v>11</v>
      </c>
      <c r="I7" s="1">
        <v>45926</v>
      </c>
      <c r="J7" t="s">
        <v>77</v>
      </c>
      <c r="K7" s="1">
        <v>45990</v>
      </c>
      <c r="N7" t="s">
        <v>53</v>
      </c>
      <c r="P7" t="s">
        <v>54</v>
      </c>
      <c r="Q7" t="str">
        <f t="shared" si="0"/>
        <v>ENGG_EngineeringTeam10_Staff Engineer</v>
      </c>
      <c r="R7">
        <f>VLOOKUP(Q7,Roles!$A$2:$B$300,2,FALSE)</f>
        <v>6</v>
      </c>
    </row>
    <row r="8" spans="1:18">
      <c r="A8" t="s">
        <v>78</v>
      </c>
      <c r="B8" t="s">
        <v>56</v>
      </c>
      <c r="C8" t="s">
        <v>57</v>
      </c>
      <c r="D8" t="s">
        <v>79</v>
      </c>
      <c r="E8" t="s">
        <v>80</v>
      </c>
      <c r="F8" t="s">
        <v>80</v>
      </c>
      <c r="G8" t="str" cm="1">
        <f t="array" ref="G8">_xlfn.SWITCH(C8,
"SAM", "Salesforce",
"ITES","Jira",
"ENGG","Python",
"RND","Microsoft Platforms")</f>
        <v>Jira</v>
      </c>
      <c r="H8">
        <f>VLOOKUP(E8,Roles!$C$1:$D$197,2,FALSE)</f>
        <v>9</v>
      </c>
      <c r="I8" s="1">
        <v>45856</v>
      </c>
      <c r="J8" t="s">
        <v>81</v>
      </c>
      <c r="K8" s="1">
        <v>45910</v>
      </c>
      <c r="L8" s="1">
        <v>45925</v>
      </c>
      <c r="M8" s="1">
        <v>45958</v>
      </c>
      <c r="N8" t="s">
        <v>53</v>
      </c>
      <c r="O8">
        <v>0</v>
      </c>
      <c r="P8" t="s">
        <v>61</v>
      </c>
      <c r="Q8" t="str">
        <f t="shared" si="0"/>
        <v>ITES_ITTeam2_Network Administrator</v>
      </c>
      <c r="R8">
        <f>VLOOKUP(Q8,Roles!$A$2:$B$300,2,FALSE)</f>
        <v>7</v>
      </c>
    </row>
    <row r="9" spans="1:18">
      <c r="A9" t="s">
        <v>82</v>
      </c>
      <c r="B9" t="s">
        <v>56</v>
      </c>
      <c r="C9" t="s">
        <v>57</v>
      </c>
      <c r="D9" t="s">
        <v>83</v>
      </c>
      <c r="E9" t="s">
        <v>59</v>
      </c>
      <c r="F9" t="s">
        <v>59</v>
      </c>
      <c r="G9" t="str" cm="1">
        <f t="array" ref="G9">_xlfn.SWITCH(C9,
"SAM", "Salesforce",
"ITES","Jira",
"ENGG","Python",
"RND","Microsoft Platforms")</f>
        <v>Jira</v>
      </c>
      <c r="H9">
        <f>VLOOKUP(E9,Roles!$C$1:$D$197,2,FALSE)</f>
        <v>9</v>
      </c>
      <c r="I9" s="1">
        <v>45834</v>
      </c>
      <c r="J9" t="s">
        <v>84</v>
      </c>
      <c r="K9" s="1">
        <v>45900</v>
      </c>
      <c r="L9" s="1">
        <v>45912</v>
      </c>
      <c r="M9" s="1">
        <v>45999</v>
      </c>
      <c r="N9" t="s">
        <v>53</v>
      </c>
      <c r="O9">
        <v>0</v>
      </c>
      <c r="P9" t="s">
        <v>61</v>
      </c>
      <c r="Q9" t="str">
        <f t="shared" si="0"/>
        <v>ITES_ITTeam1_System Administrator</v>
      </c>
      <c r="R9">
        <f>VLOOKUP(Q9,Roles!$A$2:$B$300,2,FALSE)</f>
        <v>8</v>
      </c>
    </row>
    <row r="10" spans="1:18">
      <c r="A10" t="s">
        <v>85</v>
      </c>
      <c r="B10" t="s">
        <v>69</v>
      </c>
      <c r="C10" t="s">
        <v>70</v>
      </c>
      <c r="D10" t="s">
        <v>71</v>
      </c>
      <c r="E10" t="s">
        <v>86</v>
      </c>
      <c r="F10" t="s">
        <v>86</v>
      </c>
      <c r="G10" t="str" cm="1">
        <f t="array" ref="G10">_xlfn.SWITCH(C10,
"SAM", "Salesforce",
"ITES","Jira",
"ENGG","Python",
"RND","Microsoft Platforms")</f>
        <v>Python</v>
      </c>
      <c r="H10">
        <f>VLOOKUP(E10,Roles!$C$1:$D$197,2,FALSE)</f>
        <v>11</v>
      </c>
      <c r="I10" s="1">
        <v>45864</v>
      </c>
      <c r="J10" t="s">
        <v>87</v>
      </c>
      <c r="K10" s="1">
        <v>45931</v>
      </c>
      <c r="L10" s="1">
        <v>45946</v>
      </c>
      <c r="M10" s="1">
        <v>45972</v>
      </c>
      <c r="N10" t="s">
        <v>53</v>
      </c>
      <c r="O10">
        <v>2</v>
      </c>
      <c r="P10" t="s">
        <v>61</v>
      </c>
      <c r="Q10" t="str">
        <f t="shared" si="0"/>
        <v>ENGG_EngineeringTeam1_Software Developer 1</v>
      </c>
      <c r="R10">
        <f>VLOOKUP(Q10,Roles!$A$2:$B$300,2,FALSE)</f>
        <v>9</v>
      </c>
    </row>
    <row r="11" spans="1:18">
      <c r="A11" t="s">
        <v>88</v>
      </c>
      <c r="B11" t="s">
        <v>48</v>
      </c>
      <c r="C11" t="s">
        <v>49</v>
      </c>
      <c r="D11" t="s">
        <v>89</v>
      </c>
      <c r="E11" t="s">
        <v>66</v>
      </c>
      <c r="F11" t="s">
        <v>66</v>
      </c>
      <c r="G11" t="str" cm="1">
        <f t="array" ref="G11">_xlfn.SWITCH(C11,
"SAM", "Salesforce",
"ITES","Jira",
"ENGG","Python",
"RND","Microsoft Platforms")</f>
        <v>Salesforce</v>
      </c>
      <c r="H11">
        <f>VLOOKUP(E11,Roles!$C$1:$D$197,2,FALSE)</f>
        <v>4</v>
      </c>
      <c r="I11" s="1">
        <v>45904</v>
      </c>
      <c r="J11" t="s">
        <v>90</v>
      </c>
      <c r="K11" s="1">
        <v>45959</v>
      </c>
      <c r="L11" s="1">
        <v>45975</v>
      </c>
      <c r="M11" s="1">
        <v>46007</v>
      </c>
      <c r="N11" t="s">
        <v>53</v>
      </c>
      <c r="O11">
        <v>2</v>
      </c>
      <c r="P11" t="s">
        <v>61</v>
      </c>
      <c r="Q11" t="str">
        <f t="shared" si="0"/>
        <v>SAM_SalesTeam3_Sales Director</v>
      </c>
      <c r="R11">
        <f>VLOOKUP(Q11,Roles!$A$2:$B$300,2,FALSE)</f>
        <v>10</v>
      </c>
    </row>
    <row r="12" spans="1:18">
      <c r="A12" t="s">
        <v>91</v>
      </c>
      <c r="B12" t="s">
        <v>48</v>
      </c>
      <c r="C12" t="s">
        <v>49</v>
      </c>
      <c r="D12" t="s">
        <v>92</v>
      </c>
      <c r="E12" t="s">
        <v>66</v>
      </c>
      <c r="F12" t="s">
        <v>66</v>
      </c>
      <c r="G12" t="str" cm="1">
        <f t="array" ref="G12">_xlfn.SWITCH(C12,
"SAM", "Salesforce",
"ITES","Jira",
"ENGG","Python",
"RND","Microsoft Platforms")</f>
        <v>Salesforce</v>
      </c>
      <c r="H12">
        <f>VLOOKUP(E12,Roles!$C$1:$D$197,2,FALSE)</f>
        <v>4</v>
      </c>
      <c r="I12" s="1">
        <v>45872</v>
      </c>
      <c r="J12" t="s">
        <v>93</v>
      </c>
      <c r="K12" s="1">
        <v>45942</v>
      </c>
      <c r="L12" s="1">
        <v>45955</v>
      </c>
      <c r="M12" s="1">
        <v>46016</v>
      </c>
      <c r="N12" t="s">
        <v>53</v>
      </c>
      <c r="O12">
        <v>0</v>
      </c>
      <c r="P12" t="s">
        <v>61</v>
      </c>
      <c r="Q12" t="str">
        <f t="shared" si="0"/>
        <v>SAM_SalesTeam5_Sales Director</v>
      </c>
      <c r="R12">
        <f>VLOOKUP(Q12,Roles!$A$2:$B$300,2,FALSE)</f>
        <v>11</v>
      </c>
    </row>
    <row r="13" spans="1:18">
      <c r="A13" t="s">
        <v>94</v>
      </c>
      <c r="B13" t="s">
        <v>56</v>
      </c>
      <c r="C13" t="s">
        <v>57</v>
      </c>
      <c r="D13" t="s">
        <v>95</v>
      </c>
      <c r="E13" t="s">
        <v>59</v>
      </c>
      <c r="F13" t="s">
        <v>59</v>
      </c>
      <c r="G13" t="str" cm="1">
        <f t="array" ref="G13">_xlfn.SWITCH(C13,
"SAM", "Salesforce",
"ITES","Jira",
"ENGG","Python",
"RND","Microsoft Platforms")</f>
        <v>Jira</v>
      </c>
      <c r="H13">
        <f>VLOOKUP(E13,Roles!$C$1:$D$197,2,FALSE)</f>
        <v>9</v>
      </c>
      <c r="I13" s="1">
        <v>45927</v>
      </c>
      <c r="J13" t="s">
        <v>96</v>
      </c>
      <c r="K13" s="1">
        <v>45994</v>
      </c>
      <c r="N13" t="s">
        <v>53</v>
      </c>
      <c r="P13" t="s">
        <v>54</v>
      </c>
      <c r="Q13" t="str">
        <f t="shared" si="0"/>
        <v>ITES_ITTeam6_System Administrator</v>
      </c>
      <c r="R13">
        <f>VLOOKUP(Q13,Roles!$A$2:$B$300,2,FALSE)</f>
        <v>12</v>
      </c>
    </row>
    <row r="14" spans="1:18">
      <c r="A14" t="s">
        <v>97</v>
      </c>
      <c r="B14" t="s">
        <v>48</v>
      </c>
      <c r="C14" t="s">
        <v>49</v>
      </c>
      <c r="D14" t="s">
        <v>98</v>
      </c>
      <c r="E14" t="s">
        <v>99</v>
      </c>
      <c r="F14" t="s">
        <v>99</v>
      </c>
      <c r="G14" t="str" cm="1">
        <f t="array" ref="G14">_xlfn.SWITCH(C14,
"SAM", "Salesforce",
"ITES","Jira",
"ENGG","Python",
"RND","Microsoft Platforms")</f>
        <v>Salesforce</v>
      </c>
      <c r="H14">
        <f>VLOOKUP(E14,Roles!$C$1:$D$197,2,FALSE)</f>
        <v>10</v>
      </c>
      <c r="I14" s="1">
        <v>45888</v>
      </c>
      <c r="J14" t="s">
        <v>100</v>
      </c>
      <c r="K14" s="1">
        <v>45955</v>
      </c>
      <c r="L14" s="1">
        <v>45966</v>
      </c>
      <c r="M14" s="1">
        <v>46053</v>
      </c>
      <c r="N14" t="s">
        <v>53</v>
      </c>
      <c r="O14">
        <v>1</v>
      </c>
      <c r="P14" t="s">
        <v>61</v>
      </c>
      <c r="Q14" t="str">
        <f t="shared" si="0"/>
        <v>SAM_SalesTeam8_Digital Marketing Specialist</v>
      </c>
      <c r="R14">
        <f>VLOOKUP(Q14,Roles!$A$2:$B$300,2,FALSE)</f>
        <v>13</v>
      </c>
    </row>
    <row r="15" spans="1:18">
      <c r="A15" t="s">
        <v>101</v>
      </c>
      <c r="B15" t="s">
        <v>102</v>
      </c>
      <c r="C15" t="s">
        <v>103</v>
      </c>
      <c r="D15" t="s">
        <v>104</v>
      </c>
      <c r="E15" t="s">
        <v>105</v>
      </c>
      <c r="F15" t="s">
        <v>105</v>
      </c>
      <c r="G15" t="str" cm="1">
        <f t="array" ref="G15">_xlfn.SWITCH(C15,
"SAM", "Salesforce",
"ITES","Jira",
"ENGG","Python",
"RND","Microsoft Platforms")</f>
        <v>Microsoft Platforms</v>
      </c>
      <c r="H15">
        <f>VLOOKUP(E15,Roles!$C$1:$D$197,2,FALSE)</f>
        <v>8</v>
      </c>
      <c r="I15" s="1">
        <v>45823</v>
      </c>
      <c r="J15" t="s">
        <v>106</v>
      </c>
      <c r="K15" s="1">
        <v>45877</v>
      </c>
      <c r="L15" s="1">
        <v>45895</v>
      </c>
      <c r="M15" s="1">
        <v>45913</v>
      </c>
      <c r="N15" t="s">
        <v>53</v>
      </c>
      <c r="O15">
        <v>0</v>
      </c>
      <c r="P15" t="s">
        <v>61</v>
      </c>
      <c r="Q15" t="str">
        <f t="shared" si="0"/>
        <v>RND_ResearchTeam8_Innovation Manager</v>
      </c>
      <c r="R15">
        <f>VLOOKUP(Q15,Roles!$A$2:$B$300,2,FALSE)</f>
        <v>14</v>
      </c>
    </row>
    <row r="16" spans="1:18">
      <c r="A16" t="s">
        <v>107</v>
      </c>
      <c r="B16" t="s">
        <v>48</v>
      </c>
      <c r="C16" t="s">
        <v>49</v>
      </c>
      <c r="D16" t="s">
        <v>92</v>
      </c>
      <c r="E16" t="s">
        <v>51</v>
      </c>
      <c r="F16" t="s">
        <v>51</v>
      </c>
      <c r="G16" t="str" cm="1">
        <f t="array" ref="G16">_xlfn.SWITCH(C16,
"SAM", "Salesforce",
"ITES","Jira",
"ENGG","Python",
"RND","Microsoft Platforms")</f>
        <v>Salesforce</v>
      </c>
      <c r="H16">
        <f>VLOOKUP(E16,Roles!$C$1:$D$197,2,FALSE)</f>
        <v>7</v>
      </c>
      <c r="I16" s="1">
        <v>45925</v>
      </c>
      <c r="J16" t="s">
        <v>108</v>
      </c>
      <c r="K16" s="1">
        <v>45988</v>
      </c>
      <c r="L16" s="1">
        <v>45999</v>
      </c>
      <c r="M16" s="1">
        <v>46052</v>
      </c>
      <c r="N16" t="s">
        <v>53</v>
      </c>
      <c r="O16">
        <v>2</v>
      </c>
      <c r="P16" t="s">
        <v>61</v>
      </c>
      <c r="Q16" t="str">
        <f t="shared" si="0"/>
        <v>SAM_SalesTeam5_Brand Manager</v>
      </c>
      <c r="R16">
        <f>VLOOKUP(Q16,Roles!$A$2:$B$300,2,FALSE)</f>
        <v>15</v>
      </c>
    </row>
    <row r="17" spans="1:18">
      <c r="A17" t="s">
        <v>109</v>
      </c>
      <c r="B17" t="s">
        <v>56</v>
      </c>
      <c r="C17" t="s">
        <v>57</v>
      </c>
      <c r="D17" t="s">
        <v>110</v>
      </c>
      <c r="E17" t="s">
        <v>59</v>
      </c>
      <c r="F17" t="s">
        <v>59</v>
      </c>
      <c r="G17" t="str" cm="1">
        <f t="array" ref="G17">_xlfn.SWITCH(C17,
"SAM", "Salesforce",
"ITES","Jira",
"ENGG","Python",
"RND","Microsoft Platforms")</f>
        <v>Jira</v>
      </c>
      <c r="H17">
        <f>VLOOKUP(E17,Roles!$C$1:$D$197,2,FALSE)</f>
        <v>9</v>
      </c>
      <c r="I17" s="1">
        <v>45840</v>
      </c>
      <c r="J17" t="s">
        <v>111</v>
      </c>
      <c r="K17" s="1">
        <v>45887</v>
      </c>
      <c r="N17" t="s">
        <v>53</v>
      </c>
      <c r="P17" t="s">
        <v>54</v>
      </c>
      <c r="Q17" t="str">
        <f t="shared" si="0"/>
        <v>ITES_ITTeam9_System Administrator</v>
      </c>
      <c r="R17">
        <f>VLOOKUP(Q17,Roles!$A$2:$B$300,2,FALSE)</f>
        <v>16</v>
      </c>
    </row>
    <row r="18" spans="1:18">
      <c r="A18" t="s">
        <v>112</v>
      </c>
      <c r="B18" t="s">
        <v>56</v>
      </c>
      <c r="C18" t="s">
        <v>57</v>
      </c>
      <c r="D18" t="s">
        <v>113</v>
      </c>
      <c r="E18" t="s">
        <v>114</v>
      </c>
      <c r="F18" t="s">
        <v>114</v>
      </c>
      <c r="G18" t="str" cm="1">
        <f t="array" ref="G18">_xlfn.SWITCH(C18,
"SAM", "Salesforce",
"ITES","Jira",
"ENGG","Python",
"RND","Microsoft Platforms")</f>
        <v>Jira</v>
      </c>
      <c r="H18">
        <f>VLOOKUP(E18,Roles!$C$1:$D$197,2,FALSE)</f>
        <v>11</v>
      </c>
      <c r="I18" s="1">
        <v>45862</v>
      </c>
      <c r="J18" t="s">
        <v>115</v>
      </c>
      <c r="K18" s="1">
        <v>45929</v>
      </c>
      <c r="L18" s="1">
        <v>45939</v>
      </c>
      <c r="M18" s="1">
        <v>46009</v>
      </c>
      <c r="N18" t="s">
        <v>53</v>
      </c>
      <c r="O18">
        <v>2</v>
      </c>
      <c r="P18" t="s">
        <v>61</v>
      </c>
      <c r="Q18" t="str">
        <f t="shared" si="0"/>
        <v>ITES_ITTeam3_Technical Support Analyst</v>
      </c>
      <c r="R18">
        <f>VLOOKUP(Q18,Roles!$A$2:$B$300,2,FALSE)</f>
        <v>17</v>
      </c>
    </row>
    <row r="19" spans="1:18">
      <c r="A19" t="s">
        <v>116</v>
      </c>
      <c r="B19" t="s">
        <v>56</v>
      </c>
      <c r="C19" t="s">
        <v>57</v>
      </c>
      <c r="D19" t="s">
        <v>117</v>
      </c>
      <c r="E19" t="s">
        <v>114</v>
      </c>
      <c r="F19" t="s">
        <v>114</v>
      </c>
      <c r="G19" t="str" cm="1">
        <f t="array" ref="G19">_xlfn.SWITCH(C19,
"SAM", "Salesforce",
"ITES","Jira",
"ENGG","Python",
"RND","Microsoft Platforms")</f>
        <v>Jira</v>
      </c>
      <c r="H19">
        <f>VLOOKUP(E19,Roles!$C$1:$D$197,2,FALSE)</f>
        <v>11</v>
      </c>
      <c r="I19" s="1">
        <v>45921</v>
      </c>
      <c r="J19" t="s">
        <v>118</v>
      </c>
      <c r="K19" s="1">
        <v>45989</v>
      </c>
      <c r="L19" s="1">
        <v>46007</v>
      </c>
      <c r="M19" s="1">
        <v>46016</v>
      </c>
      <c r="N19" t="s">
        <v>53</v>
      </c>
      <c r="O19">
        <v>1</v>
      </c>
      <c r="P19" t="s">
        <v>61</v>
      </c>
      <c r="Q19" t="str">
        <f t="shared" si="0"/>
        <v>ITES_ITTeam10_Technical Support Analyst</v>
      </c>
      <c r="R19">
        <f>VLOOKUP(Q19,Roles!$A$2:$B$300,2,FALSE)</f>
        <v>18</v>
      </c>
    </row>
    <row r="20" spans="1:18">
      <c r="A20" t="s">
        <v>119</v>
      </c>
      <c r="B20" t="s">
        <v>102</v>
      </c>
      <c r="C20" t="s">
        <v>103</v>
      </c>
      <c r="D20" t="s">
        <v>120</v>
      </c>
      <c r="E20" t="s">
        <v>121</v>
      </c>
      <c r="F20" t="s">
        <v>121</v>
      </c>
      <c r="G20" t="str" cm="1">
        <f t="array" ref="G20">_xlfn.SWITCH(C20,
"SAM", "Salesforce",
"ITES","Jira",
"ENGG","Python",
"RND","Microsoft Platforms")</f>
        <v>Microsoft Platforms</v>
      </c>
      <c r="H20">
        <f>VLOOKUP(E20,Roles!$C$1:$D$197,2,FALSE)</f>
        <v>11</v>
      </c>
      <c r="I20" s="1">
        <v>45919</v>
      </c>
      <c r="J20" t="s">
        <v>122</v>
      </c>
      <c r="K20" s="1">
        <v>45988</v>
      </c>
      <c r="L20" s="1">
        <v>45999</v>
      </c>
      <c r="M20" s="1">
        <v>46007</v>
      </c>
      <c r="N20" t="s">
        <v>53</v>
      </c>
      <c r="O20">
        <v>2</v>
      </c>
      <c r="P20" t="s">
        <v>61</v>
      </c>
      <c r="Q20" t="str">
        <f t="shared" si="0"/>
        <v>RND_ResearchTeam9_Research Analyst</v>
      </c>
      <c r="R20">
        <f>VLOOKUP(Q20,Roles!$A$2:$B$300,2,FALSE)</f>
        <v>19</v>
      </c>
    </row>
    <row r="21" spans="1:18">
      <c r="A21" t="s">
        <v>123</v>
      </c>
      <c r="B21" t="s">
        <v>102</v>
      </c>
      <c r="C21" t="s">
        <v>103</v>
      </c>
      <c r="D21" t="s">
        <v>124</v>
      </c>
      <c r="E21" t="s">
        <v>121</v>
      </c>
      <c r="F21" t="s">
        <v>121</v>
      </c>
      <c r="G21" t="str" cm="1">
        <f t="array" ref="G21">_xlfn.SWITCH(C21,
"SAM", "Salesforce",
"ITES","Jira",
"ENGG","Python",
"RND","Microsoft Platforms")</f>
        <v>Microsoft Platforms</v>
      </c>
      <c r="H21">
        <f>VLOOKUP(E21,Roles!$C$1:$D$197,2,FALSE)</f>
        <v>11</v>
      </c>
      <c r="I21" s="1">
        <v>45907</v>
      </c>
      <c r="J21" t="s">
        <v>125</v>
      </c>
      <c r="K21" s="1">
        <v>45952</v>
      </c>
      <c r="N21" t="s">
        <v>53</v>
      </c>
      <c r="P21" t="s">
        <v>54</v>
      </c>
      <c r="Q21" t="str">
        <f t="shared" si="0"/>
        <v>RND_ResearchTeam7_Research Analyst</v>
      </c>
      <c r="R21">
        <f>VLOOKUP(Q21,Roles!$A$2:$B$300,2,FALSE)</f>
        <v>20</v>
      </c>
    </row>
    <row r="22" spans="1:18">
      <c r="A22" t="s">
        <v>126</v>
      </c>
      <c r="B22" t="s">
        <v>48</v>
      </c>
      <c r="C22" t="s">
        <v>49</v>
      </c>
      <c r="D22" t="s">
        <v>127</v>
      </c>
      <c r="E22" t="s">
        <v>66</v>
      </c>
      <c r="F22" t="s">
        <v>66</v>
      </c>
      <c r="G22" t="str" cm="1">
        <f t="array" ref="G22">_xlfn.SWITCH(C22,
"SAM", "Salesforce",
"ITES","Jira",
"ENGG","Python",
"RND","Microsoft Platforms")</f>
        <v>Salesforce</v>
      </c>
      <c r="H22">
        <f>VLOOKUP(E22,Roles!$C$1:$D$197,2,FALSE)</f>
        <v>4</v>
      </c>
      <c r="I22" s="1">
        <v>45871</v>
      </c>
      <c r="J22" t="s">
        <v>128</v>
      </c>
      <c r="K22" s="1">
        <v>45940</v>
      </c>
      <c r="L22" s="1">
        <v>45960</v>
      </c>
      <c r="M22" s="1">
        <v>45967</v>
      </c>
      <c r="N22" t="s">
        <v>53</v>
      </c>
      <c r="O22">
        <v>0</v>
      </c>
      <c r="P22" t="s">
        <v>61</v>
      </c>
      <c r="Q22" t="str">
        <f t="shared" si="0"/>
        <v>SAM_SalesTeam6_Sales Director</v>
      </c>
      <c r="R22">
        <f>VLOOKUP(Q22,Roles!$A$2:$B$300,2,FALSE)</f>
        <v>21</v>
      </c>
    </row>
    <row r="23" spans="1:18">
      <c r="A23" t="s">
        <v>129</v>
      </c>
      <c r="B23" t="s">
        <v>102</v>
      </c>
      <c r="C23" t="s">
        <v>103</v>
      </c>
      <c r="D23" t="s">
        <v>130</v>
      </c>
      <c r="E23" t="s">
        <v>121</v>
      </c>
      <c r="F23" t="s">
        <v>121</v>
      </c>
      <c r="G23" t="str" cm="1">
        <f t="array" ref="G23">_xlfn.SWITCH(C23,
"SAM", "Salesforce",
"ITES","Jira",
"ENGG","Python",
"RND","Microsoft Platforms")</f>
        <v>Microsoft Platforms</v>
      </c>
      <c r="H23">
        <f>VLOOKUP(E23,Roles!$C$1:$D$197,2,FALSE)</f>
        <v>11</v>
      </c>
      <c r="I23" s="1">
        <v>45845</v>
      </c>
      <c r="J23" t="s">
        <v>131</v>
      </c>
      <c r="K23" s="1">
        <v>45903</v>
      </c>
      <c r="L23" s="1">
        <v>45917</v>
      </c>
      <c r="M23" s="1">
        <v>45971</v>
      </c>
      <c r="N23" t="s">
        <v>53</v>
      </c>
      <c r="O23">
        <v>1</v>
      </c>
      <c r="P23" t="s">
        <v>61</v>
      </c>
      <c r="Q23" t="str">
        <f t="shared" si="0"/>
        <v>RND_ResearchTeam3_Research Analyst</v>
      </c>
      <c r="R23">
        <f>VLOOKUP(Q23,Roles!$A$2:$B$300,2,FALSE)</f>
        <v>22</v>
      </c>
    </row>
    <row r="24" spans="1:18">
      <c r="A24" t="s">
        <v>132</v>
      </c>
      <c r="B24" t="s">
        <v>56</v>
      </c>
      <c r="C24" t="s">
        <v>57</v>
      </c>
      <c r="D24" t="s">
        <v>133</v>
      </c>
      <c r="E24" t="s">
        <v>134</v>
      </c>
      <c r="F24" t="s">
        <v>134</v>
      </c>
      <c r="G24" t="str" cm="1">
        <f t="array" ref="G24">_xlfn.SWITCH(C24,
"SAM", "Salesforce",
"ITES","Jira",
"ENGG","Python",
"RND","Microsoft Platforms")</f>
        <v>Jira</v>
      </c>
      <c r="H24">
        <f>VLOOKUP(E24,Roles!$C$1:$D$197,2,FALSE)</f>
        <v>11</v>
      </c>
      <c r="I24" s="1">
        <v>45900</v>
      </c>
      <c r="J24" t="s">
        <v>135</v>
      </c>
      <c r="K24" s="1">
        <v>45955</v>
      </c>
      <c r="N24" t="s">
        <v>53</v>
      </c>
      <c r="P24" t="s">
        <v>54</v>
      </c>
      <c r="Q24" t="str">
        <f t="shared" si="0"/>
        <v>ITES_ITTeam4_Application Support Analyst</v>
      </c>
      <c r="R24">
        <f>VLOOKUP(Q24,Roles!$A$2:$B$300,2,FALSE)</f>
        <v>23</v>
      </c>
    </row>
    <row r="25" spans="1:18">
      <c r="A25" t="s">
        <v>136</v>
      </c>
      <c r="B25" t="s">
        <v>69</v>
      </c>
      <c r="C25" t="s">
        <v>70</v>
      </c>
      <c r="D25" t="s">
        <v>137</v>
      </c>
      <c r="E25" t="s">
        <v>138</v>
      </c>
      <c r="F25" t="s">
        <v>138</v>
      </c>
      <c r="G25" t="str" cm="1">
        <f t="array" ref="G25">_xlfn.SWITCH(C25,
"SAM", "Salesforce",
"ITES","Jira",
"ENGG","Python",
"RND","Microsoft Platforms")</f>
        <v>Python</v>
      </c>
      <c r="H25">
        <f>VLOOKUP(E25,Roles!$C$1:$D$197,2,FALSE)</f>
        <v>7</v>
      </c>
      <c r="I25" s="1">
        <v>45869</v>
      </c>
      <c r="J25" t="s">
        <v>139</v>
      </c>
      <c r="K25" s="1">
        <v>45918</v>
      </c>
      <c r="N25" t="s">
        <v>53</v>
      </c>
      <c r="P25" t="s">
        <v>54</v>
      </c>
      <c r="Q25" t="str">
        <f t="shared" si="0"/>
        <v>ENGG_EngineeringTeam5_Engineering Manager</v>
      </c>
      <c r="R25">
        <f>VLOOKUP(Q25,Roles!$A$2:$B$300,2,FALSE)</f>
        <v>24</v>
      </c>
    </row>
    <row r="26" spans="1:18">
      <c r="A26" t="s">
        <v>140</v>
      </c>
      <c r="B26" t="s">
        <v>48</v>
      </c>
      <c r="C26" t="s">
        <v>49</v>
      </c>
      <c r="D26" t="s">
        <v>141</v>
      </c>
      <c r="E26" t="s">
        <v>142</v>
      </c>
      <c r="F26" t="s">
        <v>142</v>
      </c>
      <c r="G26" t="str" cm="1">
        <f t="array" ref="G26">_xlfn.SWITCH(C26,
"SAM", "Salesforce",
"ITES","Jira",
"ENGG","Python",
"RND","Microsoft Platforms")</f>
        <v>Salesforce</v>
      </c>
      <c r="H26">
        <f>VLOOKUP(E26,Roles!$C$1:$D$197,2,FALSE)</f>
        <v>7</v>
      </c>
      <c r="I26" s="1">
        <v>45878</v>
      </c>
      <c r="J26" t="s">
        <v>143</v>
      </c>
      <c r="K26" s="1">
        <v>45932</v>
      </c>
      <c r="L26" s="1">
        <v>45947</v>
      </c>
      <c r="M26" s="1">
        <v>46025</v>
      </c>
      <c r="N26" t="s">
        <v>53</v>
      </c>
      <c r="O26">
        <v>1</v>
      </c>
      <c r="P26" t="s">
        <v>61</v>
      </c>
      <c r="Q26" t="str">
        <f t="shared" si="0"/>
        <v>SAM_SalesTeam2_Sales Manager</v>
      </c>
      <c r="R26">
        <f>VLOOKUP(Q26,Roles!$A$2:$B$300,2,FALSE)</f>
        <v>25</v>
      </c>
    </row>
    <row r="27" spans="1:18">
      <c r="A27" t="s">
        <v>144</v>
      </c>
      <c r="B27" t="s">
        <v>69</v>
      </c>
      <c r="C27" t="s">
        <v>70</v>
      </c>
      <c r="D27" t="s">
        <v>75</v>
      </c>
      <c r="E27" t="s">
        <v>76</v>
      </c>
      <c r="F27" t="s">
        <v>76</v>
      </c>
      <c r="G27" t="str" cm="1">
        <f t="array" ref="G27">_xlfn.SWITCH(C27,
"SAM", "Salesforce",
"ITES","Jira",
"ENGG","Python",
"RND","Microsoft Platforms")</f>
        <v>Python</v>
      </c>
      <c r="H27">
        <f>VLOOKUP(E27,Roles!$C$1:$D$197,2,FALSE)</f>
        <v>11</v>
      </c>
      <c r="I27" s="1">
        <v>45815</v>
      </c>
      <c r="J27" t="s">
        <v>145</v>
      </c>
      <c r="K27" s="1">
        <v>45885</v>
      </c>
      <c r="N27" t="s">
        <v>53</v>
      </c>
      <c r="P27" t="s">
        <v>54</v>
      </c>
      <c r="Q27" t="str">
        <f t="shared" si="0"/>
        <v>ENGG_EngineeringTeam10_Staff Engineer</v>
      </c>
      <c r="R27">
        <f>VLOOKUP(Q27,Roles!$A$2:$B$300,2,FALSE)</f>
        <v>6</v>
      </c>
    </row>
    <row r="28" spans="1:18">
      <c r="A28" t="s">
        <v>146</v>
      </c>
      <c r="B28" t="s">
        <v>102</v>
      </c>
      <c r="C28" t="s">
        <v>103</v>
      </c>
      <c r="D28" t="s">
        <v>124</v>
      </c>
      <c r="E28" t="s">
        <v>121</v>
      </c>
      <c r="F28" t="s">
        <v>121</v>
      </c>
      <c r="G28" t="str" cm="1">
        <f t="array" ref="G28">_xlfn.SWITCH(C28,
"SAM", "Salesforce",
"ITES","Jira",
"ENGG","Python",
"RND","Microsoft Platforms")</f>
        <v>Microsoft Platforms</v>
      </c>
      <c r="H28">
        <f>VLOOKUP(E28,Roles!$C$1:$D$197,2,FALSE)</f>
        <v>11</v>
      </c>
      <c r="I28" s="1">
        <v>45831</v>
      </c>
      <c r="J28" t="s">
        <v>147</v>
      </c>
      <c r="K28" s="1">
        <v>45899</v>
      </c>
      <c r="L28" s="1">
        <v>45913</v>
      </c>
      <c r="M28" s="1">
        <v>45966</v>
      </c>
      <c r="N28" t="s">
        <v>53</v>
      </c>
      <c r="O28">
        <v>2</v>
      </c>
      <c r="P28" t="s">
        <v>61</v>
      </c>
      <c r="Q28" t="str">
        <f t="shared" si="0"/>
        <v>RND_ResearchTeam7_Research Analyst</v>
      </c>
      <c r="R28">
        <f>VLOOKUP(Q28,Roles!$A$2:$B$300,2,FALSE)</f>
        <v>20</v>
      </c>
    </row>
    <row r="29" spans="1:18">
      <c r="A29" t="s">
        <v>148</v>
      </c>
      <c r="B29" t="s">
        <v>48</v>
      </c>
      <c r="C29" t="s">
        <v>49</v>
      </c>
      <c r="D29" t="s">
        <v>141</v>
      </c>
      <c r="E29" t="s">
        <v>99</v>
      </c>
      <c r="F29" t="s">
        <v>99</v>
      </c>
      <c r="G29" t="str" cm="1">
        <f t="array" ref="G29">_xlfn.SWITCH(C29,
"SAM", "Salesforce",
"ITES","Jira",
"ENGG","Python",
"RND","Microsoft Platforms")</f>
        <v>Salesforce</v>
      </c>
      <c r="H29">
        <f>VLOOKUP(E29,Roles!$C$1:$D$197,2,FALSE)</f>
        <v>10</v>
      </c>
      <c r="I29" s="1">
        <v>45929</v>
      </c>
      <c r="J29" t="s">
        <v>149</v>
      </c>
      <c r="K29" s="1">
        <v>46000</v>
      </c>
      <c r="N29" t="s">
        <v>53</v>
      </c>
      <c r="P29" t="s">
        <v>54</v>
      </c>
      <c r="Q29" t="str">
        <f t="shared" si="0"/>
        <v>SAM_SalesTeam2_Digital Marketing Specialist</v>
      </c>
      <c r="R29">
        <f>VLOOKUP(Q29,Roles!$A$2:$B$300,2,FALSE)</f>
        <v>26</v>
      </c>
    </row>
    <row r="30" spans="1:18">
      <c r="A30" t="s">
        <v>150</v>
      </c>
      <c r="B30" t="s">
        <v>69</v>
      </c>
      <c r="C30" t="s">
        <v>70</v>
      </c>
      <c r="D30" t="s">
        <v>151</v>
      </c>
      <c r="E30" t="s">
        <v>138</v>
      </c>
      <c r="F30" t="s">
        <v>138</v>
      </c>
      <c r="G30" t="str" cm="1">
        <f t="array" ref="G30">_xlfn.SWITCH(C30,
"SAM", "Salesforce",
"ITES","Jira",
"ENGG","Python",
"RND","Microsoft Platforms")</f>
        <v>Python</v>
      </c>
      <c r="H30">
        <f>VLOOKUP(E30,Roles!$C$1:$D$197,2,FALSE)</f>
        <v>7</v>
      </c>
      <c r="I30" s="1">
        <v>45921</v>
      </c>
      <c r="J30" t="s">
        <v>152</v>
      </c>
      <c r="K30" s="1">
        <v>45990</v>
      </c>
      <c r="N30" t="s">
        <v>53</v>
      </c>
      <c r="P30" t="s">
        <v>54</v>
      </c>
      <c r="Q30" t="str">
        <f t="shared" si="0"/>
        <v>ENGG_EngineeringTeam8_Engineering Manager</v>
      </c>
      <c r="R30">
        <f>VLOOKUP(Q30,Roles!$A$2:$B$300,2,FALSE)</f>
        <v>27</v>
      </c>
    </row>
    <row r="31" spans="1:18">
      <c r="A31" t="s">
        <v>153</v>
      </c>
      <c r="B31" t="s">
        <v>102</v>
      </c>
      <c r="C31" t="s">
        <v>103</v>
      </c>
      <c r="D31" t="s">
        <v>130</v>
      </c>
      <c r="E31" t="s">
        <v>121</v>
      </c>
      <c r="F31" t="s">
        <v>121</v>
      </c>
      <c r="G31" t="str" cm="1">
        <f t="array" ref="G31">_xlfn.SWITCH(C31,
"SAM", "Salesforce",
"ITES","Jira",
"ENGG","Python",
"RND","Microsoft Platforms")</f>
        <v>Microsoft Platforms</v>
      </c>
      <c r="H31">
        <f>VLOOKUP(E31,Roles!$C$1:$D$197,2,FALSE)</f>
        <v>11</v>
      </c>
      <c r="I31" s="1">
        <v>45814</v>
      </c>
      <c r="J31" t="s">
        <v>154</v>
      </c>
      <c r="K31" s="1">
        <v>45860</v>
      </c>
      <c r="N31" t="s">
        <v>53</v>
      </c>
      <c r="P31" t="s">
        <v>54</v>
      </c>
      <c r="Q31" t="str">
        <f t="shared" si="0"/>
        <v>RND_ResearchTeam3_Research Analyst</v>
      </c>
      <c r="R31">
        <f>VLOOKUP(Q31,Roles!$A$2:$B$300,2,FALSE)</f>
        <v>22</v>
      </c>
    </row>
    <row r="32" spans="1:18">
      <c r="A32" t="s">
        <v>155</v>
      </c>
      <c r="B32" t="s">
        <v>69</v>
      </c>
      <c r="C32" t="s">
        <v>70</v>
      </c>
      <c r="D32" t="s">
        <v>71</v>
      </c>
      <c r="E32" t="s">
        <v>138</v>
      </c>
      <c r="F32" t="s">
        <v>138</v>
      </c>
      <c r="G32" t="str" cm="1">
        <f t="array" ref="G32">_xlfn.SWITCH(C32,
"SAM", "Salesforce",
"ITES","Jira",
"ENGG","Python",
"RND","Microsoft Platforms")</f>
        <v>Python</v>
      </c>
      <c r="H32">
        <f>VLOOKUP(E32,Roles!$C$1:$D$197,2,FALSE)</f>
        <v>7</v>
      </c>
      <c r="I32" s="1">
        <v>45869</v>
      </c>
      <c r="J32" t="s">
        <v>156</v>
      </c>
      <c r="K32" s="1">
        <v>45934</v>
      </c>
      <c r="N32" t="s">
        <v>53</v>
      </c>
      <c r="P32" t="s">
        <v>54</v>
      </c>
      <c r="Q32" t="str">
        <f t="shared" si="0"/>
        <v>ENGG_EngineeringTeam1_Engineering Manager</v>
      </c>
      <c r="R32">
        <f>VLOOKUP(Q32,Roles!$A$2:$B$300,2,FALSE)</f>
        <v>28</v>
      </c>
    </row>
    <row r="33" spans="1:18">
      <c r="A33" t="s">
        <v>157</v>
      </c>
      <c r="B33" t="s">
        <v>56</v>
      </c>
      <c r="C33" t="s">
        <v>57</v>
      </c>
      <c r="D33" t="s">
        <v>158</v>
      </c>
      <c r="E33" t="s">
        <v>59</v>
      </c>
      <c r="F33" t="s">
        <v>59</v>
      </c>
      <c r="G33" t="str" cm="1">
        <f t="array" ref="G33">_xlfn.SWITCH(C33,
"SAM", "Salesforce",
"ITES","Jira",
"ENGG","Python",
"RND","Microsoft Platforms")</f>
        <v>Jira</v>
      </c>
      <c r="H33">
        <f>VLOOKUP(E33,Roles!$C$1:$D$197,2,FALSE)</f>
        <v>9</v>
      </c>
      <c r="I33" s="1">
        <v>45925</v>
      </c>
      <c r="J33" t="s">
        <v>159</v>
      </c>
      <c r="K33" s="1">
        <v>45970</v>
      </c>
      <c r="N33" t="s">
        <v>53</v>
      </c>
      <c r="P33" t="s">
        <v>54</v>
      </c>
      <c r="Q33" t="str">
        <f t="shared" si="0"/>
        <v>ITES_ITTeam7_System Administrator</v>
      </c>
      <c r="R33">
        <f>VLOOKUP(Q33,Roles!$A$2:$B$300,2,FALSE)</f>
        <v>29</v>
      </c>
    </row>
    <row r="34" spans="1:18">
      <c r="A34" t="s">
        <v>160</v>
      </c>
      <c r="B34" t="s">
        <v>56</v>
      </c>
      <c r="C34" t="s">
        <v>57</v>
      </c>
      <c r="D34" t="s">
        <v>158</v>
      </c>
      <c r="E34" t="s">
        <v>161</v>
      </c>
      <c r="F34" t="s">
        <v>161</v>
      </c>
      <c r="G34" t="str" cm="1">
        <f t="array" ref="G34">_xlfn.SWITCH(C34,
"SAM", "Salesforce",
"ITES","Jira",
"ENGG","Python",
"RND","Microsoft Platforms")</f>
        <v>Jira</v>
      </c>
      <c r="H34">
        <f>VLOOKUP(E34,Roles!$C$1:$D$197,2,FALSE)</f>
        <v>10</v>
      </c>
      <c r="I34" s="1">
        <v>45892</v>
      </c>
      <c r="J34" t="s">
        <v>162</v>
      </c>
      <c r="K34" s="1">
        <v>45962</v>
      </c>
      <c r="L34" s="1">
        <v>45981</v>
      </c>
      <c r="M34" s="1">
        <v>46044</v>
      </c>
      <c r="N34" t="s">
        <v>53</v>
      </c>
      <c r="O34">
        <v>1</v>
      </c>
      <c r="P34" t="s">
        <v>61</v>
      </c>
      <c r="Q34" t="str">
        <f t="shared" si="0"/>
        <v>ITES_ITTeam7_Computer Technician</v>
      </c>
      <c r="R34">
        <f>VLOOKUP(Q34,Roles!$A$2:$B$300,2,FALSE)</f>
        <v>30</v>
      </c>
    </row>
    <row r="35" spans="1:18">
      <c r="A35" t="s">
        <v>163</v>
      </c>
      <c r="B35" t="s">
        <v>69</v>
      </c>
      <c r="C35" t="s">
        <v>70</v>
      </c>
      <c r="D35" t="s">
        <v>164</v>
      </c>
      <c r="E35" t="s">
        <v>165</v>
      </c>
      <c r="F35" t="s">
        <v>165</v>
      </c>
      <c r="G35" t="str" cm="1">
        <f t="array" ref="G35">_xlfn.SWITCH(C35,
"SAM", "Salesforce",
"ITES","Jira",
"ENGG","Python",
"RND","Microsoft Platforms")</f>
        <v>Python</v>
      </c>
      <c r="H35">
        <f>VLOOKUP(E35,Roles!$C$1:$D$197,2,FALSE)</f>
        <v>3</v>
      </c>
      <c r="I35" s="1">
        <v>45829</v>
      </c>
      <c r="J35" t="s">
        <v>166</v>
      </c>
      <c r="K35" s="1">
        <v>45881</v>
      </c>
      <c r="N35" t="s">
        <v>53</v>
      </c>
      <c r="P35" t="s">
        <v>54</v>
      </c>
      <c r="Q35" t="str">
        <f t="shared" si="0"/>
        <v>ENGG_EngineeringTeam2_VP Engineering</v>
      </c>
      <c r="R35">
        <f>VLOOKUP(Q35,Roles!$A$2:$B$300,2,FALSE)</f>
        <v>31</v>
      </c>
    </row>
    <row r="36" spans="1:18">
      <c r="A36" t="s">
        <v>167</v>
      </c>
      <c r="B36" t="s">
        <v>48</v>
      </c>
      <c r="C36" t="s">
        <v>49</v>
      </c>
      <c r="D36" t="s">
        <v>168</v>
      </c>
      <c r="E36" t="s">
        <v>51</v>
      </c>
      <c r="F36" t="s">
        <v>51</v>
      </c>
      <c r="G36" t="str" cm="1">
        <f t="array" ref="G36">_xlfn.SWITCH(C36,
"SAM", "Salesforce",
"ITES","Jira",
"ENGG","Python",
"RND","Microsoft Platforms")</f>
        <v>Salesforce</v>
      </c>
      <c r="H36">
        <f>VLOOKUP(E36,Roles!$C$1:$D$197,2,FALSE)</f>
        <v>7</v>
      </c>
      <c r="I36" s="1">
        <v>45863</v>
      </c>
      <c r="J36" t="s">
        <v>169</v>
      </c>
      <c r="K36" s="1">
        <v>45930</v>
      </c>
      <c r="N36" t="s">
        <v>53</v>
      </c>
      <c r="P36" t="s">
        <v>54</v>
      </c>
      <c r="Q36" t="str">
        <f t="shared" si="0"/>
        <v>SAM_SalesTeam1_Brand Manager</v>
      </c>
      <c r="R36">
        <f>VLOOKUP(Q36,Roles!$A$2:$B$300,2,FALSE)</f>
        <v>32</v>
      </c>
    </row>
    <row r="37" spans="1:18">
      <c r="A37" t="s">
        <v>170</v>
      </c>
      <c r="B37" t="s">
        <v>69</v>
      </c>
      <c r="C37" t="s">
        <v>70</v>
      </c>
      <c r="D37" t="s">
        <v>171</v>
      </c>
      <c r="E37" t="s">
        <v>172</v>
      </c>
      <c r="F37" t="s">
        <v>172</v>
      </c>
      <c r="G37" t="str" cm="1">
        <f t="array" ref="G37">_xlfn.SWITCH(C37,
"SAM", "Salesforce",
"ITES","Jira",
"ENGG","Python",
"RND","Microsoft Platforms")</f>
        <v>Python</v>
      </c>
      <c r="H37">
        <f>VLOOKUP(E37,Roles!$C$1:$D$197,2,FALSE)</f>
        <v>9</v>
      </c>
      <c r="I37" s="1">
        <v>45836</v>
      </c>
      <c r="J37" t="s">
        <v>173</v>
      </c>
      <c r="K37" s="1">
        <v>45889</v>
      </c>
      <c r="N37" t="s">
        <v>53</v>
      </c>
      <c r="P37" t="s">
        <v>54</v>
      </c>
      <c r="Q37" t="str">
        <f t="shared" si="0"/>
        <v>ENGG_EngineeringTeam7_Senior SDE</v>
      </c>
      <c r="R37">
        <f>VLOOKUP(Q37,Roles!$A$2:$B$300,2,FALSE)</f>
        <v>33</v>
      </c>
    </row>
    <row r="38" spans="1:18">
      <c r="A38" t="s">
        <v>174</v>
      </c>
      <c r="B38" t="s">
        <v>69</v>
      </c>
      <c r="C38" t="s">
        <v>70</v>
      </c>
      <c r="D38" t="s">
        <v>175</v>
      </c>
      <c r="E38" t="s">
        <v>86</v>
      </c>
      <c r="F38" t="s">
        <v>86</v>
      </c>
      <c r="G38" t="str" cm="1">
        <f t="array" ref="G38">_xlfn.SWITCH(C38,
"SAM", "Salesforce",
"ITES","Jira",
"ENGG","Python",
"RND","Microsoft Platforms")</f>
        <v>Python</v>
      </c>
      <c r="H38">
        <f>VLOOKUP(E38,Roles!$C$1:$D$197,2,FALSE)</f>
        <v>11</v>
      </c>
      <c r="I38" s="1">
        <v>45885</v>
      </c>
      <c r="J38" t="s">
        <v>176</v>
      </c>
      <c r="K38" s="1">
        <v>45931</v>
      </c>
      <c r="L38" s="1">
        <v>45950</v>
      </c>
      <c r="M38" s="1">
        <v>46008</v>
      </c>
      <c r="N38" t="s">
        <v>53</v>
      </c>
      <c r="O38">
        <v>2</v>
      </c>
      <c r="P38" t="s">
        <v>61</v>
      </c>
      <c r="Q38" t="str">
        <f t="shared" si="0"/>
        <v>ENGG_EngineeringTeam3_Software Developer 1</v>
      </c>
      <c r="R38">
        <f>VLOOKUP(Q38,Roles!$A$2:$B$300,2,FALSE)</f>
        <v>34</v>
      </c>
    </row>
    <row r="39" spans="1:18">
      <c r="A39" t="s">
        <v>177</v>
      </c>
      <c r="B39" t="s">
        <v>69</v>
      </c>
      <c r="C39" t="s">
        <v>70</v>
      </c>
      <c r="D39" t="s">
        <v>71</v>
      </c>
      <c r="E39" t="s">
        <v>138</v>
      </c>
      <c r="F39" t="s">
        <v>138</v>
      </c>
      <c r="G39" t="str" cm="1">
        <f t="array" ref="G39">_xlfn.SWITCH(C39,
"SAM", "Salesforce",
"ITES","Jira",
"ENGG","Python",
"RND","Microsoft Platforms")</f>
        <v>Python</v>
      </c>
      <c r="H39">
        <f>VLOOKUP(E39,Roles!$C$1:$D$197,2,FALSE)</f>
        <v>7</v>
      </c>
      <c r="I39" s="1">
        <v>45849</v>
      </c>
      <c r="J39" t="s">
        <v>178</v>
      </c>
      <c r="K39" s="1">
        <v>45916</v>
      </c>
      <c r="L39" s="1">
        <v>45926</v>
      </c>
      <c r="M39" s="1">
        <v>46004</v>
      </c>
      <c r="N39" t="s">
        <v>53</v>
      </c>
      <c r="O39">
        <v>2</v>
      </c>
      <c r="P39" t="s">
        <v>61</v>
      </c>
      <c r="Q39" t="str">
        <f t="shared" si="0"/>
        <v>ENGG_EngineeringTeam1_Engineering Manager</v>
      </c>
      <c r="R39">
        <f>VLOOKUP(Q39,Roles!$A$2:$B$300,2,FALSE)</f>
        <v>28</v>
      </c>
    </row>
    <row r="40" spans="1:18">
      <c r="A40" t="s">
        <v>179</v>
      </c>
      <c r="B40" t="s">
        <v>48</v>
      </c>
      <c r="C40" t="s">
        <v>49</v>
      </c>
      <c r="D40" t="s">
        <v>92</v>
      </c>
      <c r="E40" t="s">
        <v>66</v>
      </c>
      <c r="F40" t="s">
        <v>66</v>
      </c>
      <c r="G40" t="str" cm="1">
        <f t="array" ref="G40">_xlfn.SWITCH(C40,
"SAM", "Salesforce",
"ITES","Jira",
"ENGG","Python",
"RND","Microsoft Platforms")</f>
        <v>Salesforce</v>
      </c>
      <c r="H40">
        <f>VLOOKUP(E40,Roles!$C$1:$D$197,2,FALSE)</f>
        <v>4</v>
      </c>
      <c r="I40" s="1">
        <v>45809</v>
      </c>
      <c r="J40" t="s">
        <v>180</v>
      </c>
      <c r="K40" s="1">
        <v>45859</v>
      </c>
      <c r="N40" t="s">
        <v>53</v>
      </c>
      <c r="P40" t="s">
        <v>54</v>
      </c>
      <c r="Q40" t="str">
        <f t="shared" si="0"/>
        <v>SAM_SalesTeam5_Sales Director</v>
      </c>
      <c r="R40">
        <f>VLOOKUP(Q40,Roles!$A$2:$B$300,2,FALSE)</f>
        <v>11</v>
      </c>
    </row>
    <row r="41" spans="1:18">
      <c r="A41" t="s">
        <v>181</v>
      </c>
      <c r="B41" t="s">
        <v>56</v>
      </c>
      <c r="C41" t="s">
        <v>57</v>
      </c>
      <c r="D41" t="s">
        <v>182</v>
      </c>
      <c r="E41" t="s">
        <v>134</v>
      </c>
      <c r="F41" t="s">
        <v>134</v>
      </c>
      <c r="G41" t="str" cm="1">
        <f t="array" ref="G41">_xlfn.SWITCH(C41,
"SAM", "Salesforce",
"ITES","Jira",
"ENGG","Python",
"RND","Microsoft Platforms")</f>
        <v>Jira</v>
      </c>
      <c r="H41">
        <f>VLOOKUP(E41,Roles!$C$1:$D$197,2,FALSE)</f>
        <v>11</v>
      </c>
      <c r="I41" s="1">
        <v>45919</v>
      </c>
      <c r="J41" t="s">
        <v>183</v>
      </c>
      <c r="K41" s="1">
        <v>45991</v>
      </c>
      <c r="N41" t="s">
        <v>53</v>
      </c>
      <c r="P41" t="s">
        <v>54</v>
      </c>
      <c r="Q41" t="str">
        <f t="shared" si="0"/>
        <v>ITES_ITTeam8_Application Support Analyst</v>
      </c>
      <c r="R41">
        <f>VLOOKUP(Q41,Roles!$A$2:$B$300,2,FALSE)</f>
        <v>35</v>
      </c>
    </row>
    <row r="42" spans="1:18">
      <c r="A42" t="s">
        <v>184</v>
      </c>
      <c r="B42" t="s">
        <v>48</v>
      </c>
      <c r="C42" t="s">
        <v>49</v>
      </c>
      <c r="D42" t="s">
        <v>185</v>
      </c>
      <c r="E42" t="s">
        <v>99</v>
      </c>
      <c r="F42" t="s">
        <v>99</v>
      </c>
      <c r="G42" t="str" cm="1">
        <f t="array" ref="G42">_xlfn.SWITCH(C42,
"SAM", "Salesforce",
"ITES","Jira",
"ENGG","Python",
"RND","Microsoft Platforms")</f>
        <v>Salesforce</v>
      </c>
      <c r="H42">
        <f>VLOOKUP(E42,Roles!$C$1:$D$197,2,FALSE)</f>
        <v>10</v>
      </c>
      <c r="I42" s="1">
        <v>45883</v>
      </c>
      <c r="J42" t="s">
        <v>186</v>
      </c>
      <c r="K42" s="1">
        <v>45953</v>
      </c>
      <c r="N42" t="s">
        <v>53</v>
      </c>
      <c r="P42" t="s">
        <v>54</v>
      </c>
      <c r="Q42" t="str">
        <f t="shared" si="0"/>
        <v>SAM_SalesTeam10_Digital Marketing Specialist</v>
      </c>
      <c r="R42">
        <f>VLOOKUP(Q42,Roles!$A$2:$B$300,2,FALSE)</f>
        <v>36</v>
      </c>
    </row>
    <row r="43" spans="1:18">
      <c r="A43" t="s">
        <v>187</v>
      </c>
      <c r="B43" t="s">
        <v>48</v>
      </c>
      <c r="C43" t="s">
        <v>49</v>
      </c>
      <c r="D43" t="s">
        <v>89</v>
      </c>
      <c r="E43" t="s">
        <v>188</v>
      </c>
      <c r="F43" t="s">
        <v>188</v>
      </c>
      <c r="G43" t="str" cm="1">
        <f t="array" ref="G43">_xlfn.SWITCH(C43,
"SAM", "Salesforce",
"ITES","Jira",
"ENGG","Python",
"RND","Microsoft Platforms")</f>
        <v>Salesforce</v>
      </c>
      <c r="H43">
        <f>VLOOKUP(E43,Roles!$C$1:$D$197,2,FALSE)</f>
        <v>10</v>
      </c>
      <c r="I43" s="1">
        <v>45839</v>
      </c>
      <c r="J43" t="s">
        <v>189</v>
      </c>
      <c r="K43" s="1">
        <v>45908</v>
      </c>
      <c r="N43" t="s">
        <v>53</v>
      </c>
      <c r="P43" t="s">
        <v>54</v>
      </c>
      <c r="Q43" t="str">
        <f t="shared" si="0"/>
        <v>SAM_SalesTeam3_Customer Support Specialist</v>
      </c>
      <c r="R43">
        <f>VLOOKUP(Q43,Roles!$A$2:$B$300,2,FALSE)</f>
        <v>37</v>
      </c>
    </row>
    <row r="44" spans="1:18">
      <c r="A44" t="s">
        <v>190</v>
      </c>
      <c r="B44" t="s">
        <v>102</v>
      </c>
      <c r="C44" t="s">
        <v>103</v>
      </c>
      <c r="D44" t="s">
        <v>191</v>
      </c>
      <c r="E44" t="s">
        <v>192</v>
      </c>
      <c r="F44" t="s">
        <v>192</v>
      </c>
      <c r="G44" t="str" cm="1">
        <f t="array" ref="G44">_xlfn.SWITCH(C44,
"SAM", "Salesforce",
"ITES","Jira",
"ENGG","Python",
"RND","Microsoft Platforms")</f>
        <v>Microsoft Platforms</v>
      </c>
      <c r="H44">
        <f>VLOOKUP(E44,Roles!$C$1:$D$197,2,FALSE)</f>
        <v>8</v>
      </c>
      <c r="I44" s="1">
        <v>45929</v>
      </c>
      <c r="J44" t="s">
        <v>193</v>
      </c>
      <c r="K44" s="1">
        <v>45999</v>
      </c>
      <c r="L44" s="1">
        <v>46011</v>
      </c>
      <c r="M44" s="1">
        <v>46025</v>
      </c>
      <c r="N44" t="s">
        <v>53</v>
      </c>
      <c r="O44">
        <v>0</v>
      </c>
      <c r="P44" t="s">
        <v>61</v>
      </c>
      <c r="Q44" t="str">
        <f t="shared" si="0"/>
        <v>RND_ResearchTeam10_Principal Investigator</v>
      </c>
      <c r="R44">
        <f>VLOOKUP(Q44,Roles!$A$2:$B$300,2,FALSE)</f>
        <v>38</v>
      </c>
    </row>
    <row r="45" spans="1:18">
      <c r="A45" t="s">
        <v>194</v>
      </c>
      <c r="B45" t="s">
        <v>69</v>
      </c>
      <c r="C45" t="s">
        <v>70</v>
      </c>
      <c r="D45" t="s">
        <v>137</v>
      </c>
      <c r="E45" t="s">
        <v>172</v>
      </c>
      <c r="F45" t="s">
        <v>172</v>
      </c>
      <c r="G45" t="str" cm="1">
        <f t="array" ref="G45">_xlfn.SWITCH(C45,
"SAM", "Salesforce",
"ITES","Jira",
"ENGG","Python",
"RND","Microsoft Platforms")</f>
        <v>Python</v>
      </c>
      <c r="H45">
        <f>VLOOKUP(E45,Roles!$C$1:$D$197,2,FALSE)</f>
        <v>9</v>
      </c>
      <c r="I45" s="1">
        <v>45897</v>
      </c>
      <c r="J45" t="s">
        <v>195</v>
      </c>
      <c r="K45" s="1">
        <v>45948</v>
      </c>
      <c r="N45" t="s">
        <v>53</v>
      </c>
      <c r="P45" t="s">
        <v>54</v>
      </c>
      <c r="Q45" t="str">
        <f t="shared" si="0"/>
        <v>ENGG_EngineeringTeam5_Senior SDE</v>
      </c>
      <c r="R45">
        <f>VLOOKUP(Q45,Roles!$A$2:$B$300,2,FALSE)</f>
        <v>39</v>
      </c>
    </row>
    <row r="46" spans="1:18">
      <c r="A46" t="s">
        <v>196</v>
      </c>
      <c r="B46" t="s">
        <v>56</v>
      </c>
      <c r="C46" t="s">
        <v>57</v>
      </c>
      <c r="D46" t="s">
        <v>95</v>
      </c>
      <c r="E46" t="s">
        <v>80</v>
      </c>
      <c r="F46" t="s">
        <v>80</v>
      </c>
      <c r="G46" t="str" cm="1">
        <f t="array" ref="G46">_xlfn.SWITCH(C46,
"SAM", "Salesforce",
"ITES","Jira",
"ENGG","Python",
"RND","Microsoft Platforms")</f>
        <v>Jira</v>
      </c>
      <c r="H46">
        <f>VLOOKUP(E46,Roles!$C$1:$D$197,2,FALSE)</f>
        <v>9</v>
      </c>
      <c r="I46" s="1">
        <v>45910</v>
      </c>
      <c r="J46" t="s">
        <v>122</v>
      </c>
      <c r="K46" s="1">
        <v>45979</v>
      </c>
      <c r="L46" s="1">
        <v>45992</v>
      </c>
      <c r="M46" s="1">
        <v>46075</v>
      </c>
      <c r="N46" t="s">
        <v>53</v>
      </c>
      <c r="O46">
        <v>1</v>
      </c>
      <c r="P46" t="s">
        <v>61</v>
      </c>
      <c r="Q46" t="str">
        <f t="shared" si="0"/>
        <v>ITES_ITTeam6_Network Administrator</v>
      </c>
      <c r="R46">
        <f>VLOOKUP(Q46,Roles!$A$2:$B$300,2,FALSE)</f>
        <v>40</v>
      </c>
    </row>
    <row r="47" spans="1:18">
      <c r="A47" t="s">
        <v>197</v>
      </c>
      <c r="B47" t="s">
        <v>102</v>
      </c>
      <c r="C47" t="s">
        <v>103</v>
      </c>
      <c r="D47" t="s">
        <v>124</v>
      </c>
      <c r="E47" t="s">
        <v>192</v>
      </c>
      <c r="F47" t="s">
        <v>192</v>
      </c>
      <c r="G47" t="str" cm="1">
        <f t="array" ref="G47">_xlfn.SWITCH(C47,
"SAM", "Salesforce",
"ITES","Jira",
"ENGG","Python",
"RND","Microsoft Platforms")</f>
        <v>Microsoft Platforms</v>
      </c>
      <c r="H47">
        <f>VLOOKUP(E47,Roles!$C$1:$D$197,2,FALSE)</f>
        <v>8</v>
      </c>
      <c r="I47" s="1">
        <v>45877</v>
      </c>
      <c r="J47" t="s">
        <v>198</v>
      </c>
      <c r="K47" s="1">
        <v>45937</v>
      </c>
      <c r="N47" t="s">
        <v>53</v>
      </c>
      <c r="P47" t="s">
        <v>54</v>
      </c>
      <c r="Q47" t="str">
        <f t="shared" si="0"/>
        <v>RND_ResearchTeam7_Principal Investigator</v>
      </c>
      <c r="R47">
        <f>VLOOKUP(Q47,Roles!$A$2:$B$300,2,FALSE)</f>
        <v>41</v>
      </c>
    </row>
    <row r="48" spans="1:18">
      <c r="A48" t="s">
        <v>199</v>
      </c>
      <c r="B48" t="s">
        <v>56</v>
      </c>
      <c r="C48" t="s">
        <v>57</v>
      </c>
      <c r="D48" t="s">
        <v>58</v>
      </c>
      <c r="E48" t="s">
        <v>200</v>
      </c>
      <c r="F48" t="s">
        <v>200</v>
      </c>
      <c r="G48" t="str" cm="1">
        <f t="array" ref="G48">_xlfn.SWITCH(C48,
"SAM", "Salesforce",
"ITES","Jira",
"ENGG","Python",
"RND","Microsoft Platforms")</f>
        <v>Jira</v>
      </c>
      <c r="H48">
        <f>VLOOKUP(E48,Roles!$C$1:$D$197,2,FALSE)</f>
        <v>10</v>
      </c>
      <c r="I48" s="1">
        <v>45897</v>
      </c>
      <c r="J48" t="s">
        <v>201</v>
      </c>
      <c r="K48" s="1">
        <v>45949</v>
      </c>
      <c r="N48" t="s">
        <v>53</v>
      </c>
      <c r="P48" t="s">
        <v>54</v>
      </c>
      <c r="Q48" t="str">
        <f t="shared" si="0"/>
        <v>ITES_ITTeam5_Field Service Technician</v>
      </c>
      <c r="R48">
        <f>VLOOKUP(Q48,Roles!$A$2:$B$300,2,FALSE)</f>
        <v>42</v>
      </c>
    </row>
    <row r="49" spans="1:18">
      <c r="A49" t="s">
        <v>202</v>
      </c>
      <c r="B49" t="s">
        <v>102</v>
      </c>
      <c r="C49" t="s">
        <v>103</v>
      </c>
      <c r="D49" t="s">
        <v>124</v>
      </c>
      <c r="E49" t="s">
        <v>192</v>
      </c>
      <c r="F49" t="s">
        <v>192</v>
      </c>
      <c r="G49" t="str" cm="1">
        <f t="array" ref="G49">_xlfn.SWITCH(C49,
"SAM", "Salesforce",
"ITES","Jira",
"ENGG","Python",
"RND","Microsoft Platforms")</f>
        <v>Microsoft Platforms</v>
      </c>
      <c r="H49">
        <f>VLOOKUP(E49,Roles!$C$1:$D$197,2,FALSE)</f>
        <v>8</v>
      </c>
      <c r="I49" s="1">
        <v>45850</v>
      </c>
      <c r="J49" t="s">
        <v>203</v>
      </c>
      <c r="K49" s="1">
        <v>45905</v>
      </c>
      <c r="L49" s="1">
        <v>45918</v>
      </c>
      <c r="M49" s="1">
        <v>45941</v>
      </c>
      <c r="N49" t="s">
        <v>53</v>
      </c>
      <c r="O49">
        <v>2</v>
      </c>
      <c r="P49" t="s">
        <v>61</v>
      </c>
      <c r="Q49" t="str">
        <f t="shared" si="0"/>
        <v>RND_ResearchTeam7_Principal Investigator</v>
      </c>
      <c r="R49">
        <f>VLOOKUP(Q49,Roles!$A$2:$B$300,2,FALSE)</f>
        <v>41</v>
      </c>
    </row>
    <row r="50" spans="1:18">
      <c r="A50" t="s">
        <v>204</v>
      </c>
      <c r="B50" t="s">
        <v>102</v>
      </c>
      <c r="C50" t="s">
        <v>103</v>
      </c>
      <c r="D50" t="s">
        <v>205</v>
      </c>
      <c r="E50" t="s">
        <v>206</v>
      </c>
      <c r="F50" t="s">
        <v>206</v>
      </c>
      <c r="G50" t="str" cm="1">
        <f t="array" ref="G50">_xlfn.SWITCH(C50,
"SAM", "Salesforce",
"ITES","Jira",
"ENGG","Python",
"RND","Microsoft Platforms")</f>
        <v>Microsoft Platforms</v>
      </c>
      <c r="H50">
        <f>VLOOKUP(E50,Roles!$C$1:$D$197,2,FALSE)</f>
        <v>8</v>
      </c>
      <c r="I50" s="1">
        <v>45883</v>
      </c>
      <c r="J50" t="s">
        <v>207</v>
      </c>
      <c r="K50" s="1">
        <v>45948</v>
      </c>
      <c r="L50" s="1">
        <v>45963</v>
      </c>
      <c r="M50" s="1">
        <v>45980</v>
      </c>
      <c r="N50" t="s">
        <v>53</v>
      </c>
      <c r="O50">
        <v>0</v>
      </c>
      <c r="P50" t="s">
        <v>61</v>
      </c>
      <c r="Q50" t="str">
        <f t="shared" si="0"/>
        <v>RND_ResearchTeam2_R&amp;D Manager</v>
      </c>
      <c r="R50">
        <f>VLOOKUP(Q50,Roles!$A$2:$B$300,2,FALSE)</f>
        <v>43</v>
      </c>
    </row>
    <row r="51" spans="1:18">
      <c r="A51" t="s">
        <v>208</v>
      </c>
      <c r="B51" t="s">
        <v>48</v>
      </c>
      <c r="C51" t="s">
        <v>49</v>
      </c>
      <c r="D51" t="s">
        <v>209</v>
      </c>
      <c r="E51" t="s">
        <v>142</v>
      </c>
      <c r="F51" t="s">
        <v>142</v>
      </c>
      <c r="G51" t="str" cm="1">
        <f t="array" ref="G51">_xlfn.SWITCH(C51,
"SAM", "Salesforce",
"ITES","Jira",
"ENGG","Python",
"RND","Microsoft Platforms")</f>
        <v>Salesforce</v>
      </c>
      <c r="H51">
        <f>VLOOKUP(E51,Roles!$C$1:$D$197,2,FALSE)</f>
        <v>7</v>
      </c>
      <c r="I51" s="1">
        <v>45836</v>
      </c>
      <c r="J51" t="s">
        <v>210</v>
      </c>
      <c r="K51" s="1">
        <v>45905</v>
      </c>
      <c r="N51" t="s">
        <v>53</v>
      </c>
      <c r="P51" t="s">
        <v>54</v>
      </c>
      <c r="Q51" t="str">
        <f t="shared" si="0"/>
        <v>SAM_SalesTeam7_Sales Manager</v>
      </c>
      <c r="R51">
        <f>VLOOKUP(Q51,Roles!$A$2:$B$300,2,FALSE)</f>
        <v>44</v>
      </c>
    </row>
    <row r="52" spans="1:18">
      <c r="A52" t="s">
        <v>211</v>
      </c>
      <c r="B52" t="s">
        <v>56</v>
      </c>
      <c r="C52" t="s">
        <v>57</v>
      </c>
      <c r="D52" t="s">
        <v>158</v>
      </c>
      <c r="E52" t="s">
        <v>114</v>
      </c>
      <c r="F52" t="s">
        <v>114</v>
      </c>
      <c r="G52" t="str" cm="1">
        <f t="array" ref="G52">_xlfn.SWITCH(C52,
"SAM", "Salesforce",
"ITES","Jira",
"ENGG","Python",
"RND","Microsoft Platforms")</f>
        <v>Jira</v>
      </c>
      <c r="H52">
        <f>VLOOKUP(E52,Roles!$C$1:$D$197,2,FALSE)</f>
        <v>11</v>
      </c>
      <c r="I52" s="1">
        <v>45924</v>
      </c>
      <c r="J52" t="s">
        <v>212</v>
      </c>
      <c r="K52" s="1">
        <v>45973</v>
      </c>
      <c r="N52" t="s">
        <v>53</v>
      </c>
      <c r="P52" t="s">
        <v>54</v>
      </c>
      <c r="Q52" t="str">
        <f t="shared" si="0"/>
        <v>ITES_ITTeam7_Technical Support Analyst</v>
      </c>
      <c r="R52">
        <f>VLOOKUP(Q52,Roles!$A$2:$B$300,2,FALSE)</f>
        <v>45</v>
      </c>
    </row>
    <row r="53" spans="1:18">
      <c r="A53" t="s">
        <v>213</v>
      </c>
      <c r="B53" t="s">
        <v>48</v>
      </c>
      <c r="C53" t="s">
        <v>49</v>
      </c>
      <c r="D53" t="s">
        <v>127</v>
      </c>
      <c r="E53" t="s">
        <v>66</v>
      </c>
      <c r="F53" t="s">
        <v>66</v>
      </c>
      <c r="G53" t="str" cm="1">
        <f t="array" ref="G53">_xlfn.SWITCH(C53,
"SAM", "Salesforce",
"ITES","Jira",
"ENGG","Python",
"RND","Microsoft Platforms")</f>
        <v>Salesforce</v>
      </c>
      <c r="H53">
        <f>VLOOKUP(E53,Roles!$C$1:$D$197,2,FALSE)</f>
        <v>4</v>
      </c>
      <c r="I53" s="1">
        <v>45918</v>
      </c>
      <c r="J53" t="s">
        <v>214</v>
      </c>
      <c r="K53" s="1">
        <v>45972</v>
      </c>
      <c r="N53" t="s">
        <v>53</v>
      </c>
      <c r="P53" t="s">
        <v>54</v>
      </c>
      <c r="Q53" t="str">
        <f t="shared" si="0"/>
        <v>SAM_SalesTeam6_Sales Director</v>
      </c>
      <c r="R53">
        <f>VLOOKUP(Q53,Roles!$A$2:$B$300,2,FALSE)</f>
        <v>21</v>
      </c>
    </row>
    <row r="54" spans="1:18">
      <c r="A54" t="s">
        <v>215</v>
      </c>
      <c r="B54" t="s">
        <v>69</v>
      </c>
      <c r="C54" t="s">
        <v>70</v>
      </c>
      <c r="D54" t="s">
        <v>164</v>
      </c>
      <c r="E54" t="s">
        <v>86</v>
      </c>
      <c r="F54" t="s">
        <v>86</v>
      </c>
      <c r="G54" t="str" cm="1">
        <f t="array" ref="G54">_xlfn.SWITCH(C54,
"SAM", "Salesforce",
"ITES","Jira",
"ENGG","Python",
"RND","Microsoft Platforms")</f>
        <v>Python</v>
      </c>
      <c r="H54">
        <f>VLOOKUP(E54,Roles!$C$1:$D$197,2,FALSE)</f>
        <v>11</v>
      </c>
      <c r="I54" s="1">
        <v>45866</v>
      </c>
      <c r="J54" t="s">
        <v>216</v>
      </c>
      <c r="K54" s="1">
        <v>45922</v>
      </c>
      <c r="N54" t="s">
        <v>53</v>
      </c>
      <c r="P54" t="s">
        <v>54</v>
      </c>
      <c r="Q54" t="str">
        <f t="shared" si="0"/>
        <v>ENGG_EngineeringTeam2_Software Developer 1</v>
      </c>
      <c r="R54">
        <f>VLOOKUP(Q54,Roles!$A$2:$B$300,2,FALSE)</f>
        <v>46</v>
      </c>
    </row>
    <row r="55" spans="1:18">
      <c r="A55" t="s">
        <v>217</v>
      </c>
      <c r="B55" t="s">
        <v>69</v>
      </c>
      <c r="C55" t="s">
        <v>70</v>
      </c>
      <c r="D55" t="s">
        <v>218</v>
      </c>
      <c r="E55" t="s">
        <v>219</v>
      </c>
      <c r="F55" t="s">
        <v>219</v>
      </c>
      <c r="G55" t="str" cm="1">
        <f t="array" ref="G55">_xlfn.SWITCH(C55,
"SAM", "Salesforce",
"ITES","Jira",
"ENGG","Python",
"RND","Microsoft Platforms")</f>
        <v>Python</v>
      </c>
      <c r="H55">
        <f>VLOOKUP(E55,Roles!$C$1:$D$197,2,FALSE)</f>
        <v>9</v>
      </c>
      <c r="I55" s="1">
        <v>45865</v>
      </c>
      <c r="J55" t="s">
        <v>220</v>
      </c>
      <c r="K55" s="1">
        <v>45920</v>
      </c>
      <c r="N55" t="s">
        <v>53</v>
      </c>
      <c r="P55" t="s">
        <v>54</v>
      </c>
      <c r="Q55" t="str">
        <f t="shared" si="0"/>
        <v>ENGG_EngineeringTeam9_Senior Staff Engineer</v>
      </c>
      <c r="R55">
        <f>VLOOKUP(Q55,Roles!$A$2:$B$300,2,FALSE)</f>
        <v>47</v>
      </c>
    </row>
    <row r="56" spans="1:18">
      <c r="A56" t="s">
        <v>221</v>
      </c>
      <c r="B56" t="s">
        <v>48</v>
      </c>
      <c r="C56" t="s">
        <v>49</v>
      </c>
      <c r="D56" t="s">
        <v>50</v>
      </c>
      <c r="E56" t="s">
        <v>51</v>
      </c>
      <c r="F56" t="s">
        <v>51</v>
      </c>
      <c r="G56" t="str" cm="1">
        <f t="array" ref="G56">_xlfn.SWITCH(C56,
"SAM", "Salesforce",
"ITES","Jira",
"ENGG","Python",
"RND","Microsoft Platforms")</f>
        <v>Salesforce</v>
      </c>
      <c r="H56">
        <f>VLOOKUP(E56,Roles!$C$1:$D$197,2,FALSE)</f>
        <v>7</v>
      </c>
      <c r="I56" s="1">
        <v>45906</v>
      </c>
      <c r="J56" t="s">
        <v>222</v>
      </c>
      <c r="K56" s="1">
        <v>45975</v>
      </c>
      <c r="N56" t="s">
        <v>53</v>
      </c>
      <c r="P56" t="s">
        <v>54</v>
      </c>
      <c r="Q56" t="str">
        <f t="shared" si="0"/>
        <v>SAM_SalesTeam4_Brand Manager</v>
      </c>
      <c r="R56">
        <f>VLOOKUP(Q56,Roles!$A$2:$B$300,2,FALSE)</f>
        <v>1</v>
      </c>
    </row>
    <row r="57" spans="1:18">
      <c r="A57" t="s">
        <v>223</v>
      </c>
      <c r="B57" t="s">
        <v>48</v>
      </c>
      <c r="C57" t="s">
        <v>49</v>
      </c>
      <c r="D57" t="s">
        <v>209</v>
      </c>
      <c r="E57" t="s">
        <v>51</v>
      </c>
      <c r="F57" t="s">
        <v>51</v>
      </c>
      <c r="G57" t="str" cm="1">
        <f t="array" ref="G57">_xlfn.SWITCH(C57,
"SAM", "Salesforce",
"ITES","Jira",
"ENGG","Python",
"RND","Microsoft Platforms")</f>
        <v>Salesforce</v>
      </c>
      <c r="H57">
        <f>VLOOKUP(E57,Roles!$C$1:$D$197,2,FALSE)</f>
        <v>7</v>
      </c>
      <c r="I57" s="1">
        <v>45883</v>
      </c>
      <c r="J57" t="s">
        <v>96</v>
      </c>
      <c r="K57" s="1">
        <v>45941</v>
      </c>
      <c r="N57" t="s">
        <v>53</v>
      </c>
      <c r="P57" t="s">
        <v>54</v>
      </c>
      <c r="Q57" t="str">
        <f t="shared" si="0"/>
        <v>SAM_SalesTeam7_Brand Manager</v>
      </c>
      <c r="R57">
        <f>VLOOKUP(Q57,Roles!$A$2:$B$300,2,FALSE)</f>
        <v>48</v>
      </c>
    </row>
    <row r="58" spans="1:18">
      <c r="A58" t="s">
        <v>224</v>
      </c>
      <c r="B58" t="s">
        <v>102</v>
      </c>
      <c r="C58" t="s">
        <v>103</v>
      </c>
      <c r="D58" t="s">
        <v>124</v>
      </c>
      <c r="E58" t="s">
        <v>192</v>
      </c>
      <c r="F58" t="s">
        <v>192</v>
      </c>
      <c r="G58" t="str" cm="1">
        <f t="array" ref="G58">_xlfn.SWITCH(C58,
"SAM", "Salesforce",
"ITES","Jira",
"ENGG","Python",
"RND","Microsoft Platforms")</f>
        <v>Microsoft Platforms</v>
      </c>
      <c r="H58">
        <f>VLOOKUP(E58,Roles!$C$1:$D$197,2,FALSE)</f>
        <v>8</v>
      </c>
      <c r="I58" s="1">
        <v>45915</v>
      </c>
      <c r="J58" t="s">
        <v>225</v>
      </c>
      <c r="K58" s="1">
        <v>45974</v>
      </c>
      <c r="N58" t="s">
        <v>53</v>
      </c>
      <c r="P58" t="s">
        <v>54</v>
      </c>
      <c r="Q58" t="str">
        <f t="shared" si="0"/>
        <v>RND_ResearchTeam7_Principal Investigator</v>
      </c>
      <c r="R58">
        <f>VLOOKUP(Q58,Roles!$A$2:$B$300,2,FALSE)</f>
        <v>41</v>
      </c>
    </row>
    <row r="59" spans="1:18">
      <c r="A59" t="s">
        <v>226</v>
      </c>
      <c r="B59" t="s">
        <v>102</v>
      </c>
      <c r="C59" t="s">
        <v>103</v>
      </c>
      <c r="D59" t="s">
        <v>227</v>
      </c>
      <c r="E59" t="s">
        <v>228</v>
      </c>
      <c r="F59" t="s">
        <v>228</v>
      </c>
      <c r="G59" t="str" cm="1">
        <f t="array" ref="G59">_xlfn.SWITCH(C59,
"SAM", "Salesforce",
"ITES","Jira",
"ENGG","Python",
"RND","Microsoft Platforms")</f>
        <v>Microsoft Platforms</v>
      </c>
      <c r="H59">
        <f>VLOOKUP(E59,Roles!$C$1:$D$197,2,FALSE)</f>
        <v>10</v>
      </c>
      <c r="I59" s="1">
        <v>45901</v>
      </c>
      <c r="J59" t="s">
        <v>229</v>
      </c>
      <c r="K59" s="1">
        <v>45960</v>
      </c>
      <c r="N59" t="s">
        <v>53</v>
      </c>
      <c r="P59" t="s">
        <v>54</v>
      </c>
      <c r="Q59" t="str">
        <f t="shared" si="0"/>
        <v>RND_ResearchTeam5_R&amp;D Engineer</v>
      </c>
      <c r="R59">
        <f>VLOOKUP(Q59,Roles!$A$2:$B$300,2,FALSE)</f>
        <v>49</v>
      </c>
    </row>
    <row r="60" spans="1:18">
      <c r="A60" t="s">
        <v>230</v>
      </c>
      <c r="B60" t="s">
        <v>102</v>
      </c>
      <c r="C60" t="s">
        <v>103</v>
      </c>
      <c r="D60" t="s">
        <v>191</v>
      </c>
      <c r="E60" t="s">
        <v>228</v>
      </c>
      <c r="F60" t="s">
        <v>228</v>
      </c>
      <c r="G60" t="str" cm="1">
        <f t="array" ref="G60">_xlfn.SWITCH(C60,
"SAM", "Salesforce",
"ITES","Jira",
"ENGG","Python",
"RND","Microsoft Platforms")</f>
        <v>Microsoft Platforms</v>
      </c>
      <c r="H60">
        <f>VLOOKUP(E60,Roles!$C$1:$D$197,2,FALSE)</f>
        <v>10</v>
      </c>
      <c r="I60" s="1">
        <v>45860</v>
      </c>
      <c r="J60" t="s">
        <v>231</v>
      </c>
      <c r="K60" s="1">
        <v>45923</v>
      </c>
      <c r="L60" s="1">
        <v>45943</v>
      </c>
      <c r="M60" s="1">
        <v>46029</v>
      </c>
      <c r="N60" t="s">
        <v>53</v>
      </c>
      <c r="O60">
        <v>1</v>
      </c>
      <c r="P60" t="s">
        <v>61</v>
      </c>
      <c r="Q60" t="str">
        <f t="shared" si="0"/>
        <v>RND_ResearchTeam10_R&amp;D Engineer</v>
      </c>
      <c r="R60">
        <f>VLOOKUP(Q60,Roles!$A$2:$B$300,2,FALSE)</f>
        <v>50</v>
      </c>
    </row>
    <row r="61" spans="1:18">
      <c r="A61" t="s">
        <v>232</v>
      </c>
      <c r="B61" t="s">
        <v>48</v>
      </c>
      <c r="C61" t="s">
        <v>49</v>
      </c>
      <c r="D61" t="s">
        <v>141</v>
      </c>
      <c r="E61" t="s">
        <v>66</v>
      </c>
      <c r="F61" t="s">
        <v>66</v>
      </c>
      <c r="G61" t="str" cm="1">
        <f t="array" ref="G61">_xlfn.SWITCH(C61,
"SAM", "Salesforce",
"ITES","Jira",
"ENGG","Python",
"RND","Microsoft Platforms")</f>
        <v>Salesforce</v>
      </c>
      <c r="H61">
        <f>VLOOKUP(E61,Roles!$C$1:$D$197,2,FALSE)</f>
        <v>4</v>
      </c>
      <c r="I61" s="1">
        <v>45824</v>
      </c>
      <c r="J61" t="s">
        <v>233</v>
      </c>
      <c r="K61" s="1">
        <v>45881</v>
      </c>
      <c r="L61" s="1">
        <v>45893</v>
      </c>
      <c r="M61" s="1">
        <v>45981</v>
      </c>
      <c r="N61" t="s">
        <v>53</v>
      </c>
      <c r="O61">
        <v>0</v>
      </c>
      <c r="P61" t="s">
        <v>61</v>
      </c>
      <c r="Q61" t="str">
        <f t="shared" si="0"/>
        <v>SAM_SalesTeam2_Sales Director</v>
      </c>
      <c r="R61">
        <f>VLOOKUP(Q61,Roles!$A$2:$B$300,2,FALSE)</f>
        <v>51</v>
      </c>
    </row>
    <row r="62" spans="1:18">
      <c r="A62" t="s">
        <v>234</v>
      </c>
      <c r="B62" t="s">
        <v>69</v>
      </c>
      <c r="C62" t="s">
        <v>70</v>
      </c>
      <c r="D62" t="s">
        <v>235</v>
      </c>
      <c r="E62" t="s">
        <v>72</v>
      </c>
      <c r="F62" t="s">
        <v>72</v>
      </c>
      <c r="G62" t="str" cm="1">
        <f t="array" ref="G62">_xlfn.SWITCH(C62,
"SAM", "Salesforce",
"ITES","Jira",
"ENGG","Python",
"RND","Microsoft Platforms")</f>
        <v>Python</v>
      </c>
      <c r="H62">
        <f>VLOOKUP(E62,Roles!$C$1:$D$197,2,FALSE)</f>
        <v>5</v>
      </c>
      <c r="I62" s="1">
        <v>45874</v>
      </c>
      <c r="J62" t="s">
        <v>236</v>
      </c>
      <c r="K62" s="1">
        <v>45928</v>
      </c>
      <c r="N62" t="s">
        <v>53</v>
      </c>
      <c r="P62" t="s">
        <v>54</v>
      </c>
      <c r="Q62" t="str">
        <f t="shared" si="0"/>
        <v>ENGG_EngineeringTeam4_Platform Delivery Lead</v>
      </c>
      <c r="R62">
        <f>VLOOKUP(Q62,Roles!$A$2:$B$300,2,FALSE)</f>
        <v>52</v>
      </c>
    </row>
    <row r="63" spans="1:18">
      <c r="A63" t="s">
        <v>237</v>
      </c>
      <c r="B63" t="s">
        <v>56</v>
      </c>
      <c r="C63" t="s">
        <v>57</v>
      </c>
      <c r="D63" t="s">
        <v>83</v>
      </c>
      <c r="E63" t="s">
        <v>200</v>
      </c>
      <c r="F63" t="s">
        <v>200</v>
      </c>
      <c r="G63" t="str" cm="1">
        <f t="array" ref="G63">_xlfn.SWITCH(C63,
"SAM", "Salesforce",
"ITES","Jira",
"ENGG","Python",
"RND","Microsoft Platforms")</f>
        <v>Jira</v>
      </c>
      <c r="H63">
        <f>VLOOKUP(E63,Roles!$C$1:$D$197,2,FALSE)</f>
        <v>10</v>
      </c>
      <c r="I63" s="1">
        <v>45930</v>
      </c>
      <c r="J63" t="s">
        <v>166</v>
      </c>
      <c r="K63" s="1">
        <v>45980</v>
      </c>
      <c r="N63" t="s">
        <v>53</v>
      </c>
      <c r="P63" t="s">
        <v>54</v>
      </c>
      <c r="Q63" t="str">
        <f t="shared" si="0"/>
        <v>ITES_ITTeam1_Field Service Technician</v>
      </c>
      <c r="R63">
        <f>VLOOKUP(Q63,Roles!$A$2:$B$300,2,FALSE)</f>
        <v>53</v>
      </c>
    </row>
    <row r="64" spans="1:18">
      <c r="A64" t="s">
        <v>238</v>
      </c>
      <c r="B64" t="s">
        <v>56</v>
      </c>
      <c r="C64" t="s">
        <v>57</v>
      </c>
      <c r="D64" t="s">
        <v>79</v>
      </c>
      <c r="E64" t="s">
        <v>239</v>
      </c>
      <c r="F64" t="s">
        <v>239</v>
      </c>
      <c r="G64" t="str" cm="1">
        <f t="array" ref="G64">_xlfn.SWITCH(C64,
"SAM", "Salesforce",
"ITES","Jira",
"ENGG","Python",
"RND","Microsoft Platforms")</f>
        <v>Jira</v>
      </c>
      <c r="H64">
        <f>VLOOKUP(E64,Roles!$C$1:$D$197,2,FALSE)</f>
        <v>11</v>
      </c>
      <c r="I64" s="1">
        <v>45895</v>
      </c>
      <c r="J64" t="s">
        <v>240</v>
      </c>
      <c r="K64" s="1">
        <v>45945</v>
      </c>
      <c r="N64" t="s">
        <v>53</v>
      </c>
      <c r="P64" t="s">
        <v>54</v>
      </c>
      <c r="Q64" t="str">
        <f t="shared" si="0"/>
        <v>ITES_ITTeam2_Help Desk Technician</v>
      </c>
      <c r="R64">
        <f>VLOOKUP(Q64,Roles!$A$2:$B$300,2,FALSE)</f>
        <v>54</v>
      </c>
    </row>
    <row r="65" spans="1:18">
      <c r="A65" t="s">
        <v>241</v>
      </c>
      <c r="B65" t="s">
        <v>56</v>
      </c>
      <c r="C65" t="s">
        <v>57</v>
      </c>
      <c r="D65" t="s">
        <v>79</v>
      </c>
      <c r="E65" t="s">
        <v>134</v>
      </c>
      <c r="F65" t="s">
        <v>134</v>
      </c>
      <c r="G65" t="str" cm="1">
        <f t="array" ref="G65">_xlfn.SWITCH(C65,
"SAM", "Salesforce",
"ITES","Jira",
"ENGG","Python",
"RND","Microsoft Platforms")</f>
        <v>Jira</v>
      </c>
      <c r="H65">
        <f>VLOOKUP(E65,Roles!$C$1:$D$197,2,FALSE)</f>
        <v>11</v>
      </c>
      <c r="I65" s="1">
        <v>45868</v>
      </c>
      <c r="J65" t="s">
        <v>242</v>
      </c>
      <c r="K65" s="1">
        <v>45929</v>
      </c>
      <c r="N65" t="s">
        <v>53</v>
      </c>
      <c r="P65" t="s">
        <v>54</v>
      </c>
      <c r="Q65" t="str">
        <f t="shared" si="0"/>
        <v>ITES_ITTeam2_Application Support Analyst</v>
      </c>
      <c r="R65">
        <f>VLOOKUP(Q65,Roles!$A$2:$B$300,2,FALSE)</f>
        <v>55</v>
      </c>
    </row>
    <row r="66" spans="1:18">
      <c r="A66" t="s">
        <v>243</v>
      </c>
      <c r="B66" t="s">
        <v>102</v>
      </c>
      <c r="C66" t="s">
        <v>103</v>
      </c>
      <c r="D66" t="s">
        <v>124</v>
      </c>
      <c r="E66" t="s">
        <v>192</v>
      </c>
      <c r="F66" t="s">
        <v>192</v>
      </c>
      <c r="G66" t="str" cm="1">
        <f t="array" ref="G66">_xlfn.SWITCH(C66,
"SAM", "Salesforce",
"ITES","Jira",
"ENGG","Python",
"RND","Microsoft Platforms")</f>
        <v>Microsoft Platforms</v>
      </c>
      <c r="H66">
        <f>VLOOKUP(E66,Roles!$C$1:$D$197,2,FALSE)</f>
        <v>8</v>
      </c>
      <c r="I66" s="1">
        <v>45888</v>
      </c>
      <c r="J66" t="s">
        <v>244</v>
      </c>
      <c r="K66" s="1">
        <v>45951</v>
      </c>
      <c r="N66" t="s">
        <v>53</v>
      </c>
      <c r="P66" t="s">
        <v>54</v>
      </c>
      <c r="Q66" t="str">
        <f t="shared" si="0"/>
        <v>RND_ResearchTeam7_Principal Investigator</v>
      </c>
      <c r="R66">
        <f>VLOOKUP(Q66,Roles!$A$2:$B$300,2,FALSE)</f>
        <v>41</v>
      </c>
    </row>
    <row r="67" spans="1:18">
      <c r="A67" t="s">
        <v>245</v>
      </c>
      <c r="B67" t="s">
        <v>48</v>
      </c>
      <c r="C67" t="s">
        <v>49</v>
      </c>
      <c r="D67" t="s">
        <v>89</v>
      </c>
      <c r="E67" t="s">
        <v>66</v>
      </c>
      <c r="F67" t="s">
        <v>66</v>
      </c>
      <c r="G67" t="str" cm="1">
        <f t="array" ref="G67">_xlfn.SWITCH(C67,
"SAM", "Salesforce",
"ITES","Jira",
"ENGG","Python",
"RND","Microsoft Platforms")</f>
        <v>Salesforce</v>
      </c>
      <c r="H67">
        <f>VLOOKUP(E67,Roles!$C$1:$D$197,2,FALSE)</f>
        <v>4</v>
      </c>
      <c r="I67" s="1">
        <v>45865</v>
      </c>
      <c r="J67" t="s">
        <v>246</v>
      </c>
      <c r="K67" s="1">
        <v>45920</v>
      </c>
      <c r="N67" t="s">
        <v>53</v>
      </c>
      <c r="P67" t="s">
        <v>54</v>
      </c>
      <c r="Q67" t="str">
        <f t="shared" ref="Q67:Q130" si="1">CONCATENATE(C67,"_",D67,"_",E67)</f>
        <v>SAM_SalesTeam3_Sales Director</v>
      </c>
      <c r="R67">
        <f>VLOOKUP(Q67,Roles!$A$2:$B$300,2,FALSE)</f>
        <v>10</v>
      </c>
    </row>
    <row r="68" spans="1:18">
      <c r="A68" t="s">
        <v>247</v>
      </c>
      <c r="B68" t="s">
        <v>102</v>
      </c>
      <c r="C68" t="s">
        <v>103</v>
      </c>
      <c r="D68" t="s">
        <v>130</v>
      </c>
      <c r="E68" t="s">
        <v>248</v>
      </c>
      <c r="F68" t="s">
        <v>248</v>
      </c>
      <c r="G68" t="str" cm="1">
        <f t="array" ref="G68">_xlfn.SWITCH(C68,
"SAM", "Salesforce",
"ITES","Jira",
"ENGG","Python",
"RND","Microsoft Platforms")</f>
        <v>Microsoft Platforms</v>
      </c>
      <c r="H68">
        <f>VLOOKUP(E68,Roles!$C$1:$D$197,2,FALSE)</f>
        <v>5</v>
      </c>
      <c r="I68" s="1">
        <v>45848</v>
      </c>
      <c r="J68" t="s">
        <v>249</v>
      </c>
      <c r="K68" s="1">
        <v>45907</v>
      </c>
      <c r="N68" t="s">
        <v>53</v>
      </c>
      <c r="P68" t="s">
        <v>54</v>
      </c>
      <c r="Q68" t="str">
        <f t="shared" si="1"/>
        <v>RND_ResearchTeam3_Senior R&amp;D Manager</v>
      </c>
      <c r="R68">
        <f>VLOOKUP(Q68,Roles!$A$2:$B$300,2,FALSE)</f>
        <v>56</v>
      </c>
    </row>
    <row r="69" spans="1:18">
      <c r="A69" t="s">
        <v>250</v>
      </c>
      <c r="B69" t="s">
        <v>48</v>
      </c>
      <c r="C69" t="s">
        <v>49</v>
      </c>
      <c r="D69" t="s">
        <v>127</v>
      </c>
      <c r="E69" t="s">
        <v>251</v>
      </c>
      <c r="F69" t="s">
        <v>251</v>
      </c>
      <c r="G69" t="str" cm="1">
        <f t="array" ref="G69">_xlfn.SWITCH(C69,
"SAM", "Salesforce",
"ITES","Jira",
"ENGG","Python",
"RND","Microsoft Platforms")</f>
        <v>Salesforce</v>
      </c>
      <c r="H69">
        <f>VLOOKUP(E69,Roles!$C$1:$D$197,2,FALSE)</f>
        <v>7</v>
      </c>
      <c r="I69" s="1">
        <v>45841</v>
      </c>
      <c r="J69" t="s">
        <v>252</v>
      </c>
      <c r="K69" s="1">
        <v>45891</v>
      </c>
      <c r="L69" s="1">
        <v>45906</v>
      </c>
      <c r="M69" s="1">
        <v>45984</v>
      </c>
      <c r="N69" t="s">
        <v>53</v>
      </c>
      <c r="O69">
        <v>1</v>
      </c>
      <c r="P69" t="s">
        <v>61</v>
      </c>
      <c r="Q69" t="str">
        <f t="shared" si="1"/>
        <v>SAM_SalesTeam6_Product Marketing Manager</v>
      </c>
      <c r="R69">
        <f>VLOOKUP(Q69,Roles!$A$2:$B$300,2,FALSE)</f>
        <v>57</v>
      </c>
    </row>
    <row r="70" spans="1:18">
      <c r="A70" t="s">
        <v>253</v>
      </c>
      <c r="B70" t="s">
        <v>102</v>
      </c>
      <c r="C70" t="s">
        <v>103</v>
      </c>
      <c r="D70" t="s">
        <v>205</v>
      </c>
      <c r="E70" t="s">
        <v>121</v>
      </c>
      <c r="F70" t="s">
        <v>121</v>
      </c>
      <c r="G70" t="str" cm="1">
        <f t="array" ref="G70">_xlfn.SWITCH(C70,
"SAM", "Salesforce",
"ITES","Jira",
"ENGG","Python",
"RND","Microsoft Platforms")</f>
        <v>Microsoft Platforms</v>
      </c>
      <c r="H70">
        <f>VLOOKUP(E70,Roles!$C$1:$D$197,2,FALSE)</f>
        <v>11</v>
      </c>
      <c r="I70" s="1">
        <v>45856</v>
      </c>
      <c r="J70" t="s">
        <v>254</v>
      </c>
      <c r="K70" s="1">
        <v>45916</v>
      </c>
      <c r="L70" s="1">
        <v>45927</v>
      </c>
      <c r="M70" s="1">
        <v>45984</v>
      </c>
      <c r="N70" t="s">
        <v>53</v>
      </c>
      <c r="O70">
        <v>0</v>
      </c>
      <c r="P70" t="s">
        <v>61</v>
      </c>
      <c r="Q70" t="str">
        <f t="shared" si="1"/>
        <v>RND_ResearchTeam2_Research Analyst</v>
      </c>
      <c r="R70">
        <f>VLOOKUP(Q70,Roles!$A$2:$B$300,2,FALSE)</f>
        <v>58</v>
      </c>
    </row>
    <row r="71" spans="1:18">
      <c r="A71" t="s">
        <v>255</v>
      </c>
      <c r="B71" t="s">
        <v>102</v>
      </c>
      <c r="C71" t="s">
        <v>103</v>
      </c>
      <c r="D71" t="s">
        <v>191</v>
      </c>
      <c r="E71" t="s">
        <v>121</v>
      </c>
      <c r="F71" t="s">
        <v>121</v>
      </c>
      <c r="G71" t="str" cm="1">
        <f t="array" ref="G71">_xlfn.SWITCH(C71,
"SAM", "Salesforce",
"ITES","Jira",
"ENGG","Python",
"RND","Microsoft Platforms")</f>
        <v>Microsoft Platforms</v>
      </c>
      <c r="H71">
        <f>VLOOKUP(E71,Roles!$C$1:$D$197,2,FALSE)</f>
        <v>11</v>
      </c>
      <c r="I71" s="1">
        <v>45858</v>
      </c>
      <c r="J71" t="s">
        <v>256</v>
      </c>
      <c r="K71" s="1">
        <v>45915</v>
      </c>
      <c r="N71" t="s">
        <v>53</v>
      </c>
      <c r="P71" t="s">
        <v>54</v>
      </c>
      <c r="Q71" t="str">
        <f t="shared" si="1"/>
        <v>RND_ResearchTeam10_Research Analyst</v>
      </c>
      <c r="R71">
        <f>VLOOKUP(Q71,Roles!$A$2:$B$300,2,FALSE)</f>
        <v>59</v>
      </c>
    </row>
    <row r="72" spans="1:18">
      <c r="A72" t="s">
        <v>257</v>
      </c>
      <c r="B72" t="s">
        <v>102</v>
      </c>
      <c r="C72" t="s">
        <v>103</v>
      </c>
      <c r="D72" t="s">
        <v>130</v>
      </c>
      <c r="E72" t="s">
        <v>248</v>
      </c>
      <c r="F72" t="s">
        <v>248</v>
      </c>
      <c r="G72" t="str" cm="1">
        <f t="array" ref="G72">_xlfn.SWITCH(C72,
"SAM", "Salesforce",
"ITES","Jira",
"ENGG","Python",
"RND","Microsoft Platforms")</f>
        <v>Microsoft Platforms</v>
      </c>
      <c r="H72">
        <f>VLOOKUP(E72,Roles!$C$1:$D$197,2,FALSE)</f>
        <v>5</v>
      </c>
      <c r="I72" s="1">
        <v>45876</v>
      </c>
      <c r="J72" t="s">
        <v>258</v>
      </c>
      <c r="K72" s="1">
        <v>45937</v>
      </c>
      <c r="N72" t="s">
        <v>259</v>
      </c>
      <c r="P72" t="s">
        <v>54</v>
      </c>
      <c r="Q72" t="str">
        <f t="shared" si="1"/>
        <v>RND_ResearchTeam3_Senior R&amp;D Manager</v>
      </c>
      <c r="R72">
        <f>VLOOKUP(Q72,Roles!$A$2:$B$300,2,FALSE)</f>
        <v>56</v>
      </c>
    </row>
    <row r="73" spans="1:18">
      <c r="A73" t="s">
        <v>260</v>
      </c>
      <c r="B73" t="s">
        <v>102</v>
      </c>
      <c r="C73" t="s">
        <v>103</v>
      </c>
      <c r="D73" t="s">
        <v>120</v>
      </c>
      <c r="E73" t="s">
        <v>261</v>
      </c>
      <c r="F73" t="s">
        <v>261</v>
      </c>
      <c r="G73" t="str" cm="1">
        <f t="array" ref="G73">_xlfn.SWITCH(C73,
"SAM", "Salesforce",
"ITES","Jira",
"ENGG","Python",
"RND","Microsoft Platforms")</f>
        <v>Microsoft Platforms</v>
      </c>
      <c r="H73">
        <f>VLOOKUP(E73,Roles!$C$1:$D$197,2,FALSE)</f>
        <v>5</v>
      </c>
      <c r="I73" s="1">
        <v>45850</v>
      </c>
      <c r="J73" t="s">
        <v>262</v>
      </c>
      <c r="K73" s="1">
        <v>45917</v>
      </c>
      <c r="N73" t="s">
        <v>53</v>
      </c>
      <c r="P73" t="s">
        <v>54</v>
      </c>
      <c r="Q73" t="str">
        <f t="shared" si="1"/>
        <v>RND_ResearchTeam9_R&amp;D Project Lead</v>
      </c>
      <c r="R73">
        <f>VLOOKUP(Q73,Roles!$A$2:$B$300,2,FALSE)</f>
        <v>60</v>
      </c>
    </row>
    <row r="74" spans="1:18">
      <c r="A74" t="s">
        <v>263</v>
      </c>
      <c r="B74" t="s">
        <v>56</v>
      </c>
      <c r="C74" t="s">
        <v>57</v>
      </c>
      <c r="D74" t="s">
        <v>113</v>
      </c>
      <c r="E74" t="s">
        <v>114</v>
      </c>
      <c r="F74" t="s">
        <v>114</v>
      </c>
      <c r="G74" t="str" cm="1">
        <f t="array" ref="G74">_xlfn.SWITCH(C74,
"SAM", "Salesforce",
"ITES","Jira",
"ENGG","Python",
"RND","Microsoft Platforms")</f>
        <v>Jira</v>
      </c>
      <c r="H74">
        <f>VLOOKUP(E74,Roles!$C$1:$D$197,2,FALSE)</f>
        <v>11</v>
      </c>
      <c r="I74" s="1">
        <v>45886</v>
      </c>
      <c r="J74" t="s">
        <v>264</v>
      </c>
      <c r="K74" s="1">
        <v>45961</v>
      </c>
      <c r="N74" t="s">
        <v>53</v>
      </c>
      <c r="P74" t="s">
        <v>54</v>
      </c>
      <c r="Q74" t="str">
        <f t="shared" si="1"/>
        <v>ITES_ITTeam3_Technical Support Analyst</v>
      </c>
      <c r="R74">
        <f>VLOOKUP(Q74,Roles!$A$2:$B$300,2,FALSE)</f>
        <v>17</v>
      </c>
    </row>
    <row r="75" spans="1:18">
      <c r="A75" t="s">
        <v>265</v>
      </c>
      <c r="B75" t="s">
        <v>48</v>
      </c>
      <c r="C75" t="s">
        <v>49</v>
      </c>
      <c r="D75" t="s">
        <v>98</v>
      </c>
      <c r="E75" t="s">
        <v>142</v>
      </c>
      <c r="F75" t="s">
        <v>142</v>
      </c>
      <c r="G75" t="str" cm="1">
        <f t="array" ref="G75">_xlfn.SWITCH(C75,
"SAM", "Salesforce",
"ITES","Jira",
"ENGG","Python",
"RND","Microsoft Platforms")</f>
        <v>Salesforce</v>
      </c>
      <c r="H75">
        <f>VLOOKUP(E75,Roles!$C$1:$D$197,2,FALSE)</f>
        <v>7</v>
      </c>
      <c r="I75" s="1">
        <v>45918</v>
      </c>
      <c r="J75" t="s">
        <v>84</v>
      </c>
      <c r="K75" s="1">
        <v>45971</v>
      </c>
      <c r="L75" s="1">
        <v>45986</v>
      </c>
      <c r="M75" s="1">
        <v>46050</v>
      </c>
      <c r="N75" t="s">
        <v>259</v>
      </c>
      <c r="O75">
        <v>1</v>
      </c>
      <c r="P75" t="s">
        <v>61</v>
      </c>
      <c r="Q75" t="str">
        <f t="shared" si="1"/>
        <v>SAM_SalesTeam8_Sales Manager</v>
      </c>
      <c r="R75">
        <f>VLOOKUP(Q75,Roles!$A$2:$B$300,2,FALSE)</f>
        <v>61</v>
      </c>
    </row>
    <row r="76" spans="1:18">
      <c r="A76" t="s">
        <v>266</v>
      </c>
      <c r="B76" t="s">
        <v>102</v>
      </c>
      <c r="C76" t="s">
        <v>103</v>
      </c>
      <c r="D76" t="s">
        <v>205</v>
      </c>
      <c r="E76" t="s">
        <v>192</v>
      </c>
      <c r="F76" t="s">
        <v>192</v>
      </c>
      <c r="G76" t="str" cm="1">
        <f t="array" ref="G76">_xlfn.SWITCH(C76,
"SAM", "Salesforce",
"ITES","Jira",
"ENGG","Python",
"RND","Microsoft Platforms")</f>
        <v>Microsoft Platforms</v>
      </c>
      <c r="H76">
        <f>VLOOKUP(E76,Roles!$C$1:$D$197,2,FALSE)</f>
        <v>8</v>
      </c>
      <c r="I76" s="1">
        <v>45918</v>
      </c>
      <c r="J76" t="s">
        <v>267</v>
      </c>
      <c r="K76" s="1">
        <v>45987</v>
      </c>
      <c r="N76" t="s">
        <v>259</v>
      </c>
      <c r="P76" t="s">
        <v>54</v>
      </c>
      <c r="Q76" t="str">
        <f t="shared" si="1"/>
        <v>RND_ResearchTeam2_Principal Investigator</v>
      </c>
      <c r="R76">
        <f>VLOOKUP(Q76,Roles!$A$2:$B$300,2,FALSE)</f>
        <v>62</v>
      </c>
    </row>
    <row r="77" spans="1:18">
      <c r="A77" t="s">
        <v>268</v>
      </c>
      <c r="B77" t="s">
        <v>69</v>
      </c>
      <c r="C77" t="s">
        <v>70</v>
      </c>
      <c r="D77" t="s">
        <v>218</v>
      </c>
      <c r="E77" t="s">
        <v>76</v>
      </c>
      <c r="F77" t="s">
        <v>76</v>
      </c>
      <c r="G77" t="str" cm="1">
        <f t="array" ref="G77">_xlfn.SWITCH(C77,
"SAM", "Salesforce",
"ITES","Jira",
"ENGG","Python",
"RND","Microsoft Platforms")</f>
        <v>Python</v>
      </c>
      <c r="H77">
        <f>VLOOKUP(E77,Roles!$C$1:$D$197,2,FALSE)</f>
        <v>11</v>
      </c>
      <c r="I77" s="1">
        <v>45883</v>
      </c>
      <c r="J77" t="s">
        <v>269</v>
      </c>
      <c r="K77" s="1">
        <v>45931</v>
      </c>
      <c r="N77" t="s">
        <v>53</v>
      </c>
      <c r="P77" t="s">
        <v>54</v>
      </c>
      <c r="Q77" t="str">
        <f t="shared" si="1"/>
        <v>ENGG_EngineeringTeam9_Staff Engineer</v>
      </c>
      <c r="R77">
        <f>VLOOKUP(Q77,Roles!$A$2:$B$300,2,FALSE)</f>
        <v>63</v>
      </c>
    </row>
    <row r="78" spans="1:18">
      <c r="A78" t="s">
        <v>270</v>
      </c>
      <c r="B78" t="s">
        <v>48</v>
      </c>
      <c r="C78" t="s">
        <v>49</v>
      </c>
      <c r="D78" t="s">
        <v>89</v>
      </c>
      <c r="E78" t="s">
        <v>66</v>
      </c>
      <c r="F78" t="s">
        <v>66</v>
      </c>
      <c r="G78" t="str" cm="1">
        <f t="array" ref="G78">_xlfn.SWITCH(C78,
"SAM", "Salesforce",
"ITES","Jira",
"ENGG","Python",
"RND","Microsoft Platforms")</f>
        <v>Salesforce</v>
      </c>
      <c r="H78">
        <f>VLOOKUP(E78,Roles!$C$1:$D$197,2,FALSE)</f>
        <v>4</v>
      </c>
      <c r="I78" s="1">
        <v>45812</v>
      </c>
      <c r="J78" t="s">
        <v>271</v>
      </c>
      <c r="K78" s="1">
        <v>45887</v>
      </c>
      <c r="N78" t="s">
        <v>53</v>
      </c>
      <c r="P78" t="s">
        <v>54</v>
      </c>
      <c r="Q78" t="str">
        <f t="shared" si="1"/>
        <v>SAM_SalesTeam3_Sales Director</v>
      </c>
      <c r="R78">
        <f>VLOOKUP(Q78,Roles!$A$2:$B$300,2,FALSE)</f>
        <v>10</v>
      </c>
    </row>
    <row r="79" spans="1:18">
      <c r="A79" t="s">
        <v>272</v>
      </c>
      <c r="B79" t="s">
        <v>56</v>
      </c>
      <c r="C79" t="s">
        <v>57</v>
      </c>
      <c r="D79" t="s">
        <v>58</v>
      </c>
      <c r="E79" t="s">
        <v>273</v>
      </c>
      <c r="F79" t="s">
        <v>273</v>
      </c>
      <c r="G79" t="str" cm="1">
        <f t="array" ref="G79">_xlfn.SWITCH(C79,
"SAM", "Salesforce",
"ITES","Jira",
"ENGG","Python",
"RND","Microsoft Platforms")</f>
        <v>Jira</v>
      </c>
      <c r="H79">
        <f>VLOOKUP(E79,Roles!$C$1:$D$197,2,FALSE)</f>
        <v>76</v>
      </c>
      <c r="I79" s="1">
        <v>45837</v>
      </c>
      <c r="J79" t="s">
        <v>274</v>
      </c>
      <c r="K79" s="1">
        <v>45898</v>
      </c>
      <c r="N79" t="s">
        <v>259</v>
      </c>
      <c r="P79" t="s">
        <v>54</v>
      </c>
      <c r="Q79" t="str">
        <f t="shared" si="1"/>
        <v>ITES_ITTeam5_IT Manager</v>
      </c>
      <c r="R79">
        <f>VLOOKUP(Q79,Roles!$A$2:$B$300,2,FALSE)</f>
        <v>64</v>
      </c>
    </row>
    <row r="80" spans="1:18">
      <c r="A80" t="s">
        <v>275</v>
      </c>
      <c r="B80" t="s">
        <v>102</v>
      </c>
      <c r="C80" t="s">
        <v>103</v>
      </c>
      <c r="D80" t="s">
        <v>191</v>
      </c>
      <c r="E80" t="s">
        <v>248</v>
      </c>
      <c r="F80" t="s">
        <v>248</v>
      </c>
      <c r="G80" t="str" cm="1">
        <f t="array" ref="G80">_xlfn.SWITCH(C80,
"SAM", "Salesforce",
"ITES","Jira",
"ENGG","Python",
"RND","Microsoft Platforms")</f>
        <v>Microsoft Platforms</v>
      </c>
      <c r="H80">
        <f>VLOOKUP(E80,Roles!$C$1:$D$197,2,FALSE)</f>
        <v>5</v>
      </c>
      <c r="I80" s="1">
        <v>45883</v>
      </c>
      <c r="J80" t="s">
        <v>276</v>
      </c>
      <c r="K80" s="1">
        <v>45931</v>
      </c>
      <c r="L80" s="1">
        <v>45949</v>
      </c>
      <c r="M80" s="1">
        <v>46010</v>
      </c>
      <c r="N80" t="s">
        <v>53</v>
      </c>
      <c r="O80">
        <v>0</v>
      </c>
      <c r="P80" t="s">
        <v>61</v>
      </c>
      <c r="Q80" t="str">
        <f t="shared" si="1"/>
        <v>RND_ResearchTeam10_Senior R&amp;D Manager</v>
      </c>
      <c r="R80">
        <f>VLOOKUP(Q80,Roles!$A$2:$B$300,2,FALSE)</f>
        <v>65</v>
      </c>
    </row>
    <row r="81" spans="1:18">
      <c r="A81" t="s">
        <v>277</v>
      </c>
      <c r="B81" t="s">
        <v>69</v>
      </c>
      <c r="C81" t="s">
        <v>70</v>
      </c>
      <c r="D81" t="s">
        <v>218</v>
      </c>
      <c r="E81" t="s">
        <v>219</v>
      </c>
      <c r="F81" t="s">
        <v>219</v>
      </c>
      <c r="G81" t="str" cm="1">
        <f t="array" ref="G81">_xlfn.SWITCH(C81,
"SAM", "Salesforce",
"ITES","Jira",
"ENGG","Python",
"RND","Microsoft Platforms")</f>
        <v>Python</v>
      </c>
      <c r="H81">
        <f>VLOOKUP(E81,Roles!$C$1:$D$197,2,FALSE)</f>
        <v>9</v>
      </c>
      <c r="I81" s="1">
        <v>45866</v>
      </c>
      <c r="J81" t="s">
        <v>278</v>
      </c>
      <c r="K81" s="1">
        <v>45919</v>
      </c>
      <c r="N81" t="s">
        <v>53</v>
      </c>
      <c r="P81" t="s">
        <v>54</v>
      </c>
      <c r="Q81" t="str">
        <f t="shared" si="1"/>
        <v>ENGG_EngineeringTeam9_Senior Staff Engineer</v>
      </c>
      <c r="R81">
        <f>VLOOKUP(Q81,Roles!$A$2:$B$300,2,FALSE)</f>
        <v>47</v>
      </c>
    </row>
    <row r="82" spans="1:18">
      <c r="A82" t="s">
        <v>279</v>
      </c>
      <c r="B82" t="s">
        <v>69</v>
      </c>
      <c r="C82" t="s">
        <v>70</v>
      </c>
      <c r="D82" t="s">
        <v>171</v>
      </c>
      <c r="E82" t="s">
        <v>165</v>
      </c>
      <c r="F82" t="s">
        <v>165</v>
      </c>
      <c r="G82" t="str" cm="1">
        <f t="array" ref="G82">_xlfn.SWITCH(C82,
"SAM", "Salesforce",
"ITES","Jira",
"ENGG","Python",
"RND","Microsoft Platforms")</f>
        <v>Python</v>
      </c>
      <c r="H82">
        <f>VLOOKUP(E82,Roles!$C$1:$D$197,2,FALSE)</f>
        <v>3</v>
      </c>
      <c r="I82" s="1">
        <v>45827</v>
      </c>
      <c r="J82" t="s">
        <v>77</v>
      </c>
      <c r="K82" s="1">
        <v>45886</v>
      </c>
      <c r="L82" s="1">
        <v>45899</v>
      </c>
      <c r="M82" s="1">
        <v>45939</v>
      </c>
      <c r="N82" t="s">
        <v>53</v>
      </c>
      <c r="O82">
        <v>1</v>
      </c>
      <c r="P82" t="s">
        <v>61</v>
      </c>
      <c r="Q82" t="str">
        <f t="shared" si="1"/>
        <v>ENGG_EngineeringTeam7_VP Engineering</v>
      </c>
      <c r="R82">
        <f>VLOOKUP(Q82,Roles!$A$2:$B$300,2,FALSE)</f>
        <v>66</v>
      </c>
    </row>
    <row r="83" spans="1:18">
      <c r="A83" t="s">
        <v>280</v>
      </c>
      <c r="B83" t="s">
        <v>102</v>
      </c>
      <c r="C83" t="s">
        <v>103</v>
      </c>
      <c r="D83" t="s">
        <v>124</v>
      </c>
      <c r="E83" t="s">
        <v>228</v>
      </c>
      <c r="F83" t="s">
        <v>228</v>
      </c>
      <c r="G83" t="str" cm="1">
        <f t="array" ref="G83">_xlfn.SWITCH(C83,
"SAM", "Salesforce",
"ITES","Jira",
"ENGG","Python",
"RND","Microsoft Platforms")</f>
        <v>Microsoft Platforms</v>
      </c>
      <c r="H83">
        <f>VLOOKUP(E83,Roles!$C$1:$D$197,2,FALSE)</f>
        <v>10</v>
      </c>
      <c r="I83" s="1">
        <v>45829</v>
      </c>
      <c r="J83" t="s">
        <v>281</v>
      </c>
      <c r="K83" s="1">
        <v>45884</v>
      </c>
      <c r="N83" t="s">
        <v>53</v>
      </c>
      <c r="P83" t="s">
        <v>54</v>
      </c>
      <c r="Q83" t="str">
        <f t="shared" si="1"/>
        <v>RND_ResearchTeam7_R&amp;D Engineer</v>
      </c>
      <c r="R83">
        <f>VLOOKUP(Q83,Roles!$A$2:$B$300,2,FALSE)</f>
        <v>67</v>
      </c>
    </row>
    <row r="84" spans="1:18">
      <c r="A84" t="s">
        <v>282</v>
      </c>
      <c r="B84" t="s">
        <v>102</v>
      </c>
      <c r="C84" t="s">
        <v>103</v>
      </c>
      <c r="D84" t="s">
        <v>191</v>
      </c>
      <c r="E84" t="s">
        <v>206</v>
      </c>
      <c r="F84" t="s">
        <v>206</v>
      </c>
      <c r="G84" t="str" cm="1">
        <f t="array" ref="G84">_xlfn.SWITCH(C84,
"SAM", "Salesforce",
"ITES","Jira",
"ENGG","Python",
"RND","Microsoft Platforms")</f>
        <v>Microsoft Platforms</v>
      </c>
      <c r="H84">
        <f>VLOOKUP(E84,Roles!$C$1:$D$197,2,FALSE)</f>
        <v>8</v>
      </c>
      <c r="I84" s="1">
        <v>45826</v>
      </c>
      <c r="J84" t="s">
        <v>283</v>
      </c>
      <c r="K84" s="1">
        <v>45899</v>
      </c>
      <c r="L84" s="1">
        <v>45909</v>
      </c>
      <c r="M84" s="1">
        <v>45976</v>
      </c>
      <c r="N84" t="s">
        <v>53</v>
      </c>
      <c r="O84">
        <v>0</v>
      </c>
      <c r="P84" t="s">
        <v>61</v>
      </c>
      <c r="Q84" t="str">
        <f t="shared" si="1"/>
        <v>RND_ResearchTeam10_R&amp;D Manager</v>
      </c>
      <c r="R84">
        <f>VLOOKUP(Q84,Roles!$A$2:$B$300,2,FALSE)</f>
        <v>68</v>
      </c>
    </row>
    <row r="85" spans="1:18">
      <c r="A85" t="s">
        <v>284</v>
      </c>
      <c r="B85" t="s">
        <v>102</v>
      </c>
      <c r="C85" t="s">
        <v>103</v>
      </c>
      <c r="D85" t="s">
        <v>130</v>
      </c>
      <c r="E85" t="s">
        <v>105</v>
      </c>
      <c r="F85" t="s">
        <v>105</v>
      </c>
      <c r="G85" t="str" cm="1">
        <f t="array" ref="G85">_xlfn.SWITCH(C85,
"SAM", "Salesforce",
"ITES","Jira",
"ENGG","Python",
"RND","Microsoft Platforms")</f>
        <v>Microsoft Platforms</v>
      </c>
      <c r="H85">
        <f>VLOOKUP(E85,Roles!$C$1:$D$197,2,FALSE)</f>
        <v>8</v>
      </c>
      <c r="I85" s="1">
        <v>45914</v>
      </c>
      <c r="J85" t="s">
        <v>285</v>
      </c>
      <c r="K85" s="1">
        <v>45972</v>
      </c>
      <c r="N85" t="s">
        <v>53</v>
      </c>
      <c r="P85" t="s">
        <v>54</v>
      </c>
      <c r="Q85" t="str">
        <f t="shared" si="1"/>
        <v>RND_ResearchTeam3_Innovation Manager</v>
      </c>
      <c r="R85">
        <f>VLOOKUP(Q85,Roles!$A$2:$B$300,2,FALSE)</f>
        <v>69</v>
      </c>
    </row>
    <row r="86" spans="1:18">
      <c r="A86" t="s">
        <v>286</v>
      </c>
      <c r="B86" t="s">
        <v>56</v>
      </c>
      <c r="C86" t="s">
        <v>57</v>
      </c>
      <c r="D86" t="s">
        <v>117</v>
      </c>
      <c r="E86" t="s">
        <v>134</v>
      </c>
      <c r="F86" t="s">
        <v>134</v>
      </c>
      <c r="G86" t="str" cm="1">
        <f t="array" ref="G86">_xlfn.SWITCH(C86,
"SAM", "Salesforce",
"ITES","Jira",
"ENGG","Python",
"RND","Microsoft Platforms")</f>
        <v>Jira</v>
      </c>
      <c r="H86">
        <f>VLOOKUP(E86,Roles!$C$1:$D$197,2,FALSE)</f>
        <v>11</v>
      </c>
      <c r="I86" s="1">
        <v>45814</v>
      </c>
      <c r="J86" t="s">
        <v>287</v>
      </c>
      <c r="K86" s="1">
        <v>45863</v>
      </c>
      <c r="L86" s="1">
        <v>45882</v>
      </c>
      <c r="M86" s="1">
        <v>45933</v>
      </c>
      <c r="N86" t="s">
        <v>53</v>
      </c>
      <c r="O86">
        <v>2</v>
      </c>
      <c r="P86" t="s">
        <v>61</v>
      </c>
      <c r="Q86" t="str">
        <f t="shared" si="1"/>
        <v>ITES_ITTeam10_Application Support Analyst</v>
      </c>
      <c r="R86">
        <f>VLOOKUP(Q86,Roles!$A$2:$B$300,2,FALSE)</f>
        <v>70</v>
      </c>
    </row>
    <row r="87" spans="1:18">
      <c r="A87" t="s">
        <v>288</v>
      </c>
      <c r="B87" t="s">
        <v>69</v>
      </c>
      <c r="C87" t="s">
        <v>70</v>
      </c>
      <c r="D87" t="s">
        <v>164</v>
      </c>
      <c r="E87" t="s">
        <v>289</v>
      </c>
      <c r="F87" t="s">
        <v>289</v>
      </c>
      <c r="G87" t="str" cm="1">
        <f t="array" ref="G87">_xlfn.SWITCH(C87,
"SAM", "Salesforce",
"ITES","Jira",
"ENGG","Python",
"RND","Microsoft Platforms")</f>
        <v>Python</v>
      </c>
      <c r="H87">
        <f>VLOOKUP(E87,Roles!$C$1:$D$197,2,FALSE)</f>
        <v>6</v>
      </c>
      <c r="I87" s="1">
        <v>45845</v>
      </c>
      <c r="J87" t="s">
        <v>290</v>
      </c>
      <c r="K87" s="1">
        <v>45904</v>
      </c>
      <c r="L87" s="1">
        <v>45915</v>
      </c>
      <c r="M87" s="1">
        <v>45999</v>
      </c>
      <c r="N87" t="s">
        <v>53</v>
      </c>
      <c r="O87">
        <v>0</v>
      </c>
      <c r="P87" t="s">
        <v>61</v>
      </c>
      <c r="Q87" t="str">
        <f t="shared" si="1"/>
        <v>ENGG_EngineeringTeam2_Principal Engineer</v>
      </c>
      <c r="R87">
        <f>VLOOKUP(Q87,Roles!$A$2:$B$300,2,FALSE)</f>
        <v>71</v>
      </c>
    </row>
    <row r="88" spans="1:18">
      <c r="A88" t="s">
        <v>291</v>
      </c>
      <c r="B88" t="s">
        <v>69</v>
      </c>
      <c r="C88" t="s">
        <v>70</v>
      </c>
      <c r="D88" t="s">
        <v>175</v>
      </c>
      <c r="E88" t="s">
        <v>219</v>
      </c>
      <c r="F88" t="s">
        <v>219</v>
      </c>
      <c r="G88" t="str" cm="1">
        <f t="array" ref="G88">_xlfn.SWITCH(C88,
"SAM", "Salesforce",
"ITES","Jira",
"ENGG","Python",
"RND","Microsoft Platforms")</f>
        <v>Python</v>
      </c>
      <c r="H88">
        <f>VLOOKUP(E88,Roles!$C$1:$D$197,2,FALSE)</f>
        <v>9</v>
      </c>
      <c r="I88" s="1">
        <v>45823</v>
      </c>
      <c r="J88" t="s">
        <v>292</v>
      </c>
      <c r="K88" s="1">
        <v>45878</v>
      </c>
      <c r="N88" t="s">
        <v>53</v>
      </c>
      <c r="P88" t="s">
        <v>54</v>
      </c>
      <c r="Q88" t="str">
        <f t="shared" si="1"/>
        <v>ENGG_EngineeringTeam3_Senior Staff Engineer</v>
      </c>
      <c r="R88">
        <f>VLOOKUP(Q88,Roles!$A$2:$B$300,2,FALSE)</f>
        <v>72</v>
      </c>
    </row>
    <row r="89" spans="1:18">
      <c r="A89" t="s">
        <v>293</v>
      </c>
      <c r="B89" t="s">
        <v>48</v>
      </c>
      <c r="C89" t="s">
        <v>49</v>
      </c>
      <c r="D89" t="s">
        <v>141</v>
      </c>
      <c r="E89" t="s">
        <v>251</v>
      </c>
      <c r="F89" t="s">
        <v>251</v>
      </c>
      <c r="G89" t="str" cm="1">
        <f t="array" ref="G89">_xlfn.SWITCH(C89,
"SAM", "Salesforce",
"ITES","Jira",
"ENGG","Python",
"RND","Microsoft Platforms")</f>
        <v>Salesforce</v>
      </c>
      <c r="H89">
        <f>VLOOKUP(E89,Roles!$C$1:$D$197,2,FALSE)</f>
        <v>7</v>
      </c>
      <c r="I89" s="1">
        <v>45867</v>
      </c>
      <c r="J89" t="s">
        <v>294</v>
      </c>
      <c r="K89" s="1">
        <v>45936</v>
      </c>
      <c r="N89" t="s">
        <v>53</v>
      </c>
      <c r="P89" t="s">
        <v>54</v>
      </c>
      <c r="Q89" t="str">
        <f t="shared" si="1"/>
        <v>SAM_SalesTeam2_Product Marketing Manager</v>
      </c>
      <c r="R89">
        <f>VLOOKUP(Q89,Roles!$A$2:$B$300,2,FALSE)</f>
        <v>73</v>
      </c>
    </row>
    <row r="90" spans="1:18">
      <c r="A90" t="s">
        <v>295</v>
      </c>
      <c r="B90" t="s">
        <v>48</v>
      </c>
      <c r="C90" t="s">
        <v>49</v>
      </c>
      <c r="D90" t="s">
        <v>141</v>
      </c>
      <c r="E90" t="s">
        <v>99</v>
      </c>
      <c r="F90" t="s">
        <v>99</v>
      </c>
      <c r="G90" t="str" cm="1">
        <f t="array" ref="G90">_xlfn.SWITCH(C90,
"SAM", "Salesforce",
"ITES","Jira",
"ENGG","Python",
"RND","Microsoft Platforms")</f>
        <v>Salesforce</v>
      </c>
      <c r="H90">
        <f>VLOOKUP(E90,Roles!$C$1:$D$197,2,FALSE)</f>
        <v>10</v>
      </c>
      <c r="I90" s="1">
        <v>45882</v>
      </c>
      <c r="J90" t="s">
        <v>296</v>
      </c>
      <c r="K90" s="1">
        <v>45929</v>
      </c>
      <c r="N90" t="s">
        <v>53</v>
      </c>
      <c r="P90" t="s">
        <v>54</v>
      </c>
      <c r="Q90" t="str">
        <f t="shared" si="1"/>
        <v>SAM_SalesTeam2_Digital Marketing Specialist</v>
      </c>
      <c r="R90">
        <f>VLOOKUP(Q90,Roles!$A$2:$B$300,2,FALSE)</f>
        <v>26</v>
      </c>
    </row>
    <row r="91" spans="1:18">
      <c r="A91" t="s">
        <v>297</v>
      </c>
      <c r="B91" t="s">
        <v>48</v>
      </c>
      <c r="C91" t="s">
        <v>49</v>
      </c>
      <c r="D91" t="s">
        <v>185</v>
      </c>
      <c r="E91" t="s">
        <v>66</v>
      </c>
      <c r="F91" t="s">
        <v>66</v>
      </c>
      <c r="G91" t="str" cm="1">
        <f t="array" ref="G91">_xlfn.SWITCH(C91,
"SAM", "Salesforce",
"ITES","Jira",
"ENGG","Python",
"RND","Microsoft Platforms")</f>
        <v>Salesforce</v>
      </c>
      <c r="H91">
        <f>VLOOKUP(E91,Roles!$C$1:$D$197,2,FALSE)</f>
        <v>4</v>
      </c>
      <c r="I91" s="1">
        <v>45856</v>
      </c>
      <c r="J91" t="s">
        <v>298</v>
      </c>
      <c r="K91" s="1">
        <v>45903</v>
      </c>
      <c r="N91" t="s">
        <v>53</v>
      </c>
      <c r="P91" t="s">
        <v>54</v>
      </c>
      <c r="Q91" t="str">
        <f t="shared" si="1"/>
        <v>SAM_SalesTeam10_Sales Director</v>
      </c>
      <c r="R91">
        <f>VLOOKUP(Q91,Roles!$A$2:$B$300,2,FALSE)</f>
        <v>74</v>
      </c>
    </row>
    <row r="92" spans="1:18">
      <c r="A92" t="s">
        <v>299</v>
      </c>
      <c r="B92" t="s">
        <v>102</v>
      </c>
      <c r="C92" t="s">
        <v>103</v>
      </c>
      <c r="D92" t="s">
        <v>191</v>
      </c>
      <c r="E92" t="s">
        <v>300</v>
      </c>
      <c r="F92" t="s">
        <v>300</v>
      </c>
      <c r="G92" t="str" cm="1">
        <f t="array" ref="G92">_xlfn.SWITCH(C92,
"SAM", "Salesforce",
"ITES","Jira",
"ENGG","Python",
"RND","Microsoft Platforms")</f>
        <v>Microsoft Platforms</v>
      </c>
      <c r="H92">
        <f>VLOOKUP(E92,Roles!$C$1:$D$197,2,FALSE)</f>
        <v>8</v>
      </c>
      <c r="I92" s="1">
        <v>45817</v>
      </c>
      <c r="J92" t="s">
        <v>301</v>
      </c>
      <c r="K92" s="1">
        <v>45870</v>
      </c>
      <c r="N92" t="s">
        <v>53</v>
      </c>
      <c r="P92" t="s">
        <v>54</v>
      </c>
      <c r="Q92" t="str">
        <f t="shared" si="1"/>
        <v>RND_ResearchTeam10_Research Scientist</v>
      </c>
      <c r="R92">
        <f>VLOOKUP(Q92,Roles!$A$2:$B$300,2,FALSE)</f>
        <v>75</v>
      </c>
    </row>
    <row r="93" spans="1:18">
      <c r="A93" t="s">
        <v>302</v>
      </c>
      <c r="B93" t="s">
        <v>56</v>
      </c>
      <c r="C93" t="s">
        <v>57</v>
      </c>
      <c r="D93" t="s">
        <v>113</v>
      </c>
      <c r="E93" t="s">
        <v>59</v>
      </c>
      <c r="F93" t="s">
        <v>59</v>
      </c>
      <c r="G93" t="str" cm="1">
        <f t="array" ref="G93">_xlfn.SWITCH(C93,
"SAM", "Salesforce",
"ITES","Jira",
"ENGG","Python",
"RND","Microsoft Platforms")</f>
        <v>Jira</v>
      </c>
      <c r="H93">
        <f>VLOOKUP(E93,Roles!$C$1:$D$197,2,FALSE)</f>
        <v>9</v>
      </c>
      <c r="I93" s="1">
        <v>45858</v>
      </c>
      <c r="J93" t="s">
        <v>285</v>
      </c>
      <c r="K93" s="1">
        <v>45924</v>
      </c>
      <c r="L93" s="1">
        <v>45936</v>
      </c>
      <c r="M93" s="1">
        <v>45968</v>
      </c>
      <c r="N93" t="s">
        <v>53</v>
      </c>
      <c r="O93">
        <v>0</v>
      </c>
      <c r="P93" t="s">
        <v>61</v>
      </c>
      <c r="Q93" t="str">
        <f t="shared" si="1"/>
        <v>ITES_ITTeam3_System Administrator</v>
      </c>
      <c r="R93">
        <f>VLOOKUP(Q93,Roles!$A$2:$B$300,2,FALSE)</f>
        <v>76</v>
      </c>
    </row>
    <row r="94" spans="1:18">
      <c r="A94" t="s">
        <v>303</v>
      </c>
      <c r="B94" t="s">
        <v>56</v>
      </c>
      <c r="C94" t="s">
        <v>57</v>
      </c>
      <c r="D94" t="s">
        <v>110</v>
      </c>
      <c r="E94" t="s">
        <v>114</v>
      </c>
      <c r="F94" t="s">
        <v>114</v>
      </c>
      <c r="G94" t="str" cm="1">
        <f t="array" ref="G94">_xlfn.SWITCH(C94,
"SAM", "Salesforce",
"ITES","Jira",
"ENGG","Python",
"RND","Microsoft Platforms")</f>
        <v>Jira</v>
      </c>
      <c r="H94">
        <f>VLOOKUP(E94,Roles!$C$1:$D$197,2,FALSE)</f>
        <v>11</v>
      </c>
      <c r="I94" s="1">
        <v>45809</v>
      </c>
      <c r="J94" t="s">
        <v>304</v>
      </c>
      <c r="K94" s="1">
        <v>45869</v>
      </c>
      <c r="N94" t="s">
        <v>53</v>
      </c>
      <c r="P94" t="s">
        <v>54</v>
      </c>
      <c r="Q94" t="str">
        <f t="shared" si="1"/>
        <v>ITES_ITTeam9_Technical Support Analyst</v>
      </c>
      <c r="R94">
        <f>VLOOKUP(Q94,Roles!$A$2:$B$300,2,FALSE)</f>
        <v>77</v>
      </c>
    </row>
    <row r="95" spans="1:18">
      <c r="A95" t="s">
        <v>305</v>
      </c>
      <c r="B95" t="s">
        <v>48</v>
      </c>
      <c r="C95" t="s">
        <v>49</v>
      </c>
      <c r="D95" t="s">
        <v>92</v>
      </c>
      <c r="E95" t="s">
        <v>66</v>
      </c>
      <c r="F95" t="s">
        <v>66</v>
      </c>
      <c r="G95" t="str" cm="1">
        <f t="array" ref="G95">_xlfn.SWITCH(C95,
"SAM", "Salesforce",
"ITES","Jira",
"ENGG","Python",
"RND","Microsoft Platforms")</f>
        <v>Salesforce</v>
      </c>
      <c r="H95">
        <f>VLOOKUP(E95,Roles!$C$1:$D$197,2,FALSE)</f>
        <v>4</v>
      </c>
      <c r="I95" s="1">
        <v>45846</v>
      </c>
      <c r="J95" t="s">
        <v>306</v>
      </c>
      <c r="K95" s="1">
        <v>45901</v>
      </c>
      <c r="N95" t="s">
        <v>53</v>
      </c>
      <c r="P95" t="s">
        <v>54</v>
      </c>
      <c r="Q95" t="str">
        <f t="shared" si="1"/>
        <v>SAM_SalesTeam5_Sales Director</v>
      </c>
      <c r="R95">
        <f>VLOOKUP(Q95,Roles!$A$2:$B$300,2,FALSE)</f>
        <v>11</v>
      </c>
    </row>
    <row r="96" spans="1:18">
      <c r="A96" t="s">
        <v>307</v>
      </c>
      <c r="B96" t="s">
        <v>102</v>
      </c>
      <c r="C96" t="s">
        <v>103</v>
      </c>
      <c r="D96" t="s">
        <v>227</v>
      </c>
      <c r="E96" t="s">
        <v>206</v>
      </c>
      <c r="F96" t="s">
        <v>206</v>
      </c>
      <c r="G96" t="str" cm="1">
        <f t="array" ref="G96">_xlfn.SWITCH(C96,
"SAM", "Salesforce",
"ITES","Jira",
"ENGG","Python",
"RND","Microsoft Platforms")</f>
        <v>Microsoft Platforms</v>
      </c>
      <c r="H96">
        <f>VLOOKUP(E96,Roles!$C$1:$D$197,2,FALSE)</f>
        <v>8</v>
      </c>
      <c r="I96" s="1">
        <v>45918</v>
      </c>
      <c r="J96" t="s">
        <v>308</v>
      </c>
      <c r="K96" s="1">
        <v>45973</v>
      </c>
      <c r="N96" t="s">
        <v>53</v>
      </c>
      <c r="P96" t="s">
        <v>54</v>
      </c>
      <c r="Q96" t="str">
        <f t="shared" si="1"/>
        <v>RND_ResearchTeam5_R&amp;D Manager</v>
      </c>
      <c r="R96">
        <f>VLOOKUP(Q96,Roles!$A$2:$B$300,2,FALSE)</f>
        <v>78</v>
      </c>
    </row>
    <row r="97" spans="1:18">
      <c r="A97" t="s">
        <v>309</v>
      </c>
      <c r="B97" t="s">
        <v>56</v>
      </c>
      <c r="C97" t="s">
        <v>57</v>
      </c>
      <c r="D97" t="s">
        <v>95</v>
      </c>
      <c r="E97" t="s">
        <v>134</v>
      </c>
      <c r="F97" t="s">
        <v>134</v>
      </c>
      <c r="G97" t="str" cm="1">
        <f t="array" ref="G97">_xlfn.SWITCH(C97,
"SAM", "Salesforce",
"ITES","Jira",
"ENGG","Python",
"RND","Microsoft Platforms")</f>
        <v>Jira</v>
      </c>
      <c r="H97">
        <f>VLOOKUP(E97,Roles!$C$1:$D$197,2,FALSE)</f>
        <v>11</v>
      </c>
      <c r="I97" s="1">
        <v>45817</v>
      </c>
      <c r="J97" t="s">
        <v>310</v>
      </c>
      <c r="K97" s="1">
        <v>45879</v>
      </c>
      <c r="N97" t="s">
        <v>259</v>
      </c>
      <c r="P97" t="s">
        <v>54</v>
      </c>
      <c r="Q97" t="str">
        <f t="shared" si="1"/>
        <v>ITES_ITTeam6_Application Support Analyst</v>
      </c>
      <c r="R97">
        <f>VLOOKUP(Q97,Roles!$A$2:$B$300,2,FALSE)</f>
        <v>79</v>
      </c>
    </row>
    <row r="98" spans="1:18">
      <c r="A98" t="s">
        <v>311</v>
      </c>
      <c r="B98" t="s">
        <v>56</v>
      </c>
      <c r="C98" t="s">
        <v>57</v>
      </c>
      <c r="D98" t="s">
        <v>110</v>
      </c>
      <c r="E98" t="s">
        <v>114</v>
      </c>
      <c r="F98" t="s">
        <v>114</v>
      </c>
      <c r="G98" t="str" cm="1">
        <f t="array" ref="G98">_xlfn.SWITCH(C98,
"SAM", "Salesforce",
"ITES","Jira",
"ENGG","Python",
"RND","Microsoft Platforms")</f>
        <v>Jira</v>
      </c>
      <c r="H98">
        <f>VLOOKUP(E98,Roles!$C$1:$D$197,2,FALSE)</f>
        <v>11</v>
      </c>
      <c r="I98" s="1">
        <v>45863</v>
      </c>
      <c r="J98" t="s">
        <v>312</v>
      </c>
      <c r="K98" s="1">
        <v>45931</v>
      </c>
      <c r="L98" s="1">
        <v>45944</v>
      </c>
      <c r="M98" s="1">
        <v>45997</v>
      </c>
      <c r="N98" t="s">
        <v>53</v>
      </c>
      <c r="O98">
        <v>2</v>
      </c>
      <c r="P98" t="s">
        <v>61</v>
      </c>
      <c r="Q98" t="str">
        <f t="shared" si="1"/>
        <v>ITES_ITTeam9_Technical Support Analyst</v>
      </c>
      <c r="R98">
        <f>VLOOKUP(Q98,Roles!$A$2:$B$300,2,FALSE)</f>
        <v>77</v>
      </c>
    </row>
    <row r="99" spans="1:18">
      <c r="A99" t="s">
        <v>313</v>
      </c>
      <c r="B99" t="s">
        <v>102</v>
      </c>
      <c r="C99" t="s">
        <v>103</v>
      </c>
      <c r="D99" t="s">
        <v>314</v>
      </c>
      <c r="E99" t="s">
        <v>121</v>
      </c>
      <c r="F99" t="s">
        <v>121</v>
      </c>
      <c r="G99" t="str" cm="1">
        <f t="array" ref="G99">_xlfn.SWITCH(C99,
"SAM", "Salesforce",
"ITES","Jira",
"ENGG","Python",
"RND","Microsoft Platforms")</f>
        <v>Microsoft Platforms</v>
      </c>
      <c r="H99">
        <f>VLOOKUP(E99,Roles!$C$1:$D$197,2,FALSE)</f>
        <v>11</v>
      </c>
      <c r="I99" s="1">
        <v>45858</v>
      </c>
      <c r="J99" t="s">
        <v>315</v>
      </c>
      <c r="K99" s="1">
        <v>45907</v>
      </c>
      <c r="N99" t="s">
        <v>53</v>
      </c>
      <c r="P99" t="s">
        <v>54</v>
      </c>
      <c r="Q99" t="str">
        <f t="shared" si="1"/>
        <v>RND_ResearchTeam1_Research Analyst</v>
      </c>
      <c r="R99">
        <f>VLOOKUP(Q99,Roles!$A$2:$B$300,2,FALSE)</f>
        <v>80</v>
      </c>
    </row>
    <row r="100" spans="1:18">
      <c r="A100" t="s">
        <v>316</v>
      </c>
      <c r="B100" t="s">
        <v>69</v>
      </c>
      <c r="C100" t="s">
        <v>70</v>
      </c>
      <c r="D100" t="s">
        <v>164</v>
      </c>
      <c r="E100" t="s">
        <v>219</v>
      </c>
      <c r="F100" t="s">
        <v>219</v>
      </c>
      <c r="G100" t="str" cm="1">
        <f t="array" ref="G100">_xlfn.SWITCH(C100,
"SAM", "Salesforce",
"ITES","Jira",
"ENGG","Python",
"RND","Microsoft Platforms")</f>
        <v>Python</v>
      </c>
      <c r="H100">
        <f>VLOOKUP(E100,Roles!$C$1:$D$197,2,FALSE)</f>
        <v>9</v>
      </c>
      <c r="I100" s="1">
        <v>45928</v>
      </c>
      <c r="J100" t="s">
        <v>317</v>
      </c>
      <c r="K100" s="1">
        <v>45981</v>
      </c>
      <c r="N100" t="s">
        <v>53</v>
      </c>
      <c r="P100" t="s">
        <v>54</v>
      </c>
      <c r="Q100" t="str">
        <f t="shared" si="1"/>
        <v>ENGG_EngineeringTeam2_Senior Staff Engineer</v>
      </c>
      <c r="R100">
        <f>VLOOKUP(Q100,Roles!$A$2:$B$300,2,FALSE)</f>
        <v>81</v>
      </c>
    </row>
    <row r="101" spans="1:18">
      <c r="A101" t="s">
        <v>318</v>
      </c>
      <c r="B101" t="s">
        <v>48</v>
      </c>
      <c r="C101" t="s">
        <v>49</v>
      </c>
      <c r="D101" t="s">
        <v>89</v>
      </c>
      <c r="E101" t="s">
        <v>51</v>
      </c>
      <c r="F101" t="s">
        <v>51</v>
      </c>
      <c r="G101" t="str" cm="1">
        <f t="array" ref="G101">_xlfn.SWITCH(C101,
"SAM", "Salesforce",
"ITES","Jira",
"ENGG","Python",
"RND","Microsoft Platforms")</f>
        <v>Salesforce</v>
      </c>
      <c r="H101">
        <f>VLOOKUP(E101,Roles!$C$1:$D$197,2,FALSE)</f>
        <v>7</v>
      </c>
      <c r="I101" s="1">
        <v>45919</v>
      </c>
      <c r="J101" t="s">
        <v>319</v>
      </c>
      <c r="K101" s="1">
        <v>45971</v>
      </c>
      <c r="N101" t="s">
        <v>53</v>
      </c>
      <c r="P101" t="s">
        <v>54</v>
      </c>
      <c r="Q101" t="str">
        <f t="shared" si="1"/>
        <v>SAM_SalesTeam3_Brand Manager</v>
      </c>
      <c r="R101">
        <f>VLOOKUP(Q101,Roles!$A$2:$B$300,2,FALSE)</f>
        <v>82</v>
      </c>
    </row>
    <row r="102" spans="1:18">
      <c r="A102" t="s">
        <v>320</v>
      </c>
      <c r="B102" t="s">
        <v>102</v>
      </c>
      <c r="C102" t="s">
        <v>103</v>
      </c>
      <c r="D102" t="s">
        <v>321</v>
      </c>
      <c r="E102" t="s">
        <v>192</v>
      </c>
      <c r="F102" t="s">
        <v>192</v>
      </c>
      <c r="G102" t="str" cm="1">
        <f t="array" ref="G102">_xlfn.SWITCH(C102,
"SAM", "Salesforce",
"ITES","Jira",
"ENGG","Python",
"RND","Microsoft Platforms")</f>
        <v>Microsoft Platforms</v>
      </c>
      <c r="H102">
        <f>VLOOKUP(E102,Roles!$C$1:$D$197,2,FALSE)</f>
        <v>8</v>
      </c>
      <c r="I102" s="1">
        <v>45853</v>
      </c>
      <c r="J102" t="s">
        <v>246</v>
      </c>
      <c r="K102" s="1">
        <v>45923</v>
      </c>
      <c r="N102" t="s">
        <v>259</v>
      </c>
      <c r="P102" t="s">
        <v>54</v>
      </c>
      <c r="Q102" t="str">
        <f t="shared" si="1"/>
        <v>RND_ResearchTeam6_Principal Investigator</v>
      </c>
      <c r="R102">
        <f>VLOOKUP(Q102,Roles!$A$2:$B$300,2,FALSE)</f>
        <v>83</v>
      </c>
    </row>
    <row r="103" spans="1:18">
      <c r="A103" t="s">
        <v>322</v>
      </c>
      <c r="B103" t="s">
        <v>48</v>
      </c>
      <c r="C103" t="s">
        <v>49</v>
      </c>
      <c r="D103" t="s">
        <v>50</v>
      </c>
      <c r="E103" t="s">
        <v>251</v>
      </c>
      <c r="F103" t="s">
        <v>251</v>
      </c>
      <c r="G103" t="str" cm="1">
        <f t="array" ref="G103">_xlfn.SWITCH(C103,
"SAM", "Salesforce",
"ITES","Jira",
"ENGG","Python",
"RND","Microsoft Platforms")</f>
        <v>Salesforce</v>
      </c>
      <c r="H103">
        <f>VLOOKUP(E103,Roles!$C$1:$D$197,2,FALSE)</f>
        <v>7</v>
      </c>
      <c r="I103" s="1">
        <v>45908</v>
      </c>
      <c r="J103" t="s">
        <v>323</v>
      </c>
      <c r="K103" s="1">
        <v>45954</v>
      </c>
      <c r="L103" s="1">
        <v>45973</v>
      </c>
      <c r="M103" s="1">
        <v>46017</v>
      </c>
      <c r="N103" t="s">
        <v>53</v>
      </c>
      <c r="O103">
        <v>1</v>
      </c>
      <c r="P103" t="s">
        <v>61</v>
      </c>
      <c r="Q103" t="str">
        <f t="shared" si="1"/>
        <v>SAM_SalesTeam4_Product Marketing Manager</v>
      </c>
      <c r="R103">
        <f>VLOOKUP(Q103,Roles!$A$2:$B$300,2,FALSE)</f>
        <v>84</v>
      </c>
    </row>
    <row r="104" spans="1:18">
      <c r="A104" t="s">
        <v>324</v>
      </c>
      <c r="B104" t="s">
        <v>48</v>
      </c>
      <c r="C104" t="s">
        <v>49</v>
      </c>
      <c r="D104" t="s">
        <v>185</v>
      </c>
      <c r="E104" t="s">
        <v>66</v>
      </c>
      <c r="F104" t="s">
        <v>66</v>
      </c>
      <c r="G104" t="str" cm="1">
        <f t="array" ref="G104">_xlfn.SWITCH(C104,
"SAM", "Salesforce",
"ITES","Jira",
"ENGG","Python",
"RND","Microsoft Platforms")</f>
        <v>Salesforce</v>
      </c>
      <c r="H104">
        <f>VLOOKUP(E104,Roles!$C$1:$D$197,2,FALSE)</f>
        <v>4</v>
      </c>
      <c r="I104" s="1">
        <v>45875</v>
      </c>
      <c r="J104" t="s">
        <v>325</v>
      </c>
      <c r="K104" s="1">
        <v>45940</v>
      </c>
      <c r="L104" s="1">
        <v>45953</v>
      </c>
      <c r="M104" s="1">
        <v>46043</v>
      </c>
      <c r="N104" t="s">
        <v>53</v>
      </c>
      <c r="O104">
        <v>1</v>
      </c>
      <c r="P104" t="s">
        <v>61</v>
      </c>
      <c r="Q104" t="str">
        <f t="shared" si="1"/>
        <v>SAM_SalesTeam10_Sales Director</v>
      </c>
      <c r="R104">
        <f>VLOOKUP(Q104,Roles!$A$2:$B$300,2,FALSE)</f>
        <v>74</v>
      </c>
    </row>
    <row r="105" spans="1:18">
      <c r="A105" t="s">
        <v>326</v>
      </c>
      <c r="B105" t="s">
        <v>69</v>
      </c>
      <c r="C105" t="s">
        <v>70</v>
      </c>
      <c r="D105" t="s">
        <v>164</v>
      </c>
      <c r="E105" t="s">
        <v>165</v>
      </c>
      <c r="F105" t="s">
        <v>165</v>
      </c>
      <c r="G105" t="str" cm="1">
        <f t="array" ref="G105">_xlfn.SWITCH(C105,
"SAM", "Salesforce",
"ITES","Jira",
"ENGG","Python",
"RND","Microsoft Platforms")</f>
        <v>Python</v>
      </c>
      <c r="H105">
        <f>VLOOKUP(E105,Roles!$C$1:$D$197,2,FALSE)</f>
        <v>3</v>
      </c>
      <c r="I105" s="1">
        <v>45817</v>
      </c>
      <c r="J105" t="s">
        <v>108</v>
      </c>
      <c r="K105" s="1">
        <v>45864</v>
      </c>
      <c r="N105" t="s">
        <v>53</v>
      </c>
      <c r="P105" t="s">
        <v>54</v>
      </c>
      <c r="Q105" t="str">
        <f t="shared" si="1"/>
        <v>ENGG_EngineeringTeam2_VP Engineering</v>
      </c>
      <c r="R105">
        <f>VLOOKUP(Q105,Roles!$A$2:$B$300,2,FALSE)</f>
        <v>31</v>
      </c>
    </row>
    <row r="106" spans="1:18">
      <c r="A106" t="s">
        <v>327</v>
      </c>
      <c r="B106" t="s">
        <v>56</v>
      </c>
      <c r="C106" t="s">
        <v>57</v>
      </c>
      <c r="D106" t="s">
        <v>117</v>
      </c>
      <c r="E106" t="s">
        <v>59</v>
      </c>
      <c r="F106" t="s">
        <v>59</v>
      </c>
      <c r="G106" t="str" cm="1">
        <f t="array" ref="G106">_xlfn.SWITCH(C106,
"SAM", "Salesforce",
"ITES","Jira",
"ENGG","Python",
"RND","Microsoft Platforms")</f>
        <v>Jira</v>
      </c>
      <c r="H106">
        <f>VLOOKUP(E106,Roles!$C$1:$D$197,2,FALSE)</f>
        <v>9</v>
      </c>
      <c r="I106" s="1">
        <v>45873</v>
      </c>
      <c r="J106" t="s">
        <v>328</v>
      </c>
      <c r="K106" s="1">
        <v>45946</v>
      </c>
      <c r="N106" t="s">
        <v>53</v>
      </c>
      <c r="P106" t="s">
        <v>54</v>
      </c>
      <c r="Q106" t="str">
        <f t="shared" si="1"/>
        <v>ITES_ITTeam10_System Administrator</v>
      </c>
      <c r="R106">
        <f>VLOOKUP(Q106,Roles!$A$2:$B$300,2,FALSE)</f>
        <v>85</v>
      </c>
    </row>
    <row r="107" spans="1:18">
      <c r="A107" t="s">
        <v>329</v>
      </c>
      <c r="B107" t="s">
        <v>102</v>
      </c>
      <c r="C107" t="s">
        <v>103</v>
      </c>
      <c r="D107" t="s">
        <v>104</v>
      </c>
      <c r="E107" t="s">
        <v>261</v>
      </c>
      <c r="F107" t="s">
        <v>261</v>
      </c>
      <c r="G107" t="str" cm="1">
        <f t="array" ref="G107">_xlfn.SWITCH(C107,
"SAM", "Salesforce",
"ITES","Jira",
"ENGG","Python",
"RND","Microsoft Platforms")</f>
        <v>Microsoft Platforms</v>
      </c>
      <c r="H107">
        <f>VLOOKUP(E107,Roles!$C$1:$D$197,2,FALSE)</f>
        <v>5</v>
      </c>
      <c r="I107" s="1">
        <v>45822</v>
      </c>
      <c r="J107" t="s">
        <v>330</v>
      </c>
      <c r="K107" s="1">
        <v>45887</v>
      </c>
      <c r="L107" s="1">
        <v>45902</v>
      </c>
      <c r="M107" s="1">
        <v>45971</v>
      </c>
      <c r="N107" t="s">
        <v>53</v>
      </c>
      <c r="O107">
        <v>2</v>
      </c>
      <c r="P107" t="s">
        <v>61</v>
      </c>
      <c r="Q107" t="str">
        <f t="shared" si="1"/>
        <v>RND_ResearchTeam8_R&amp;D Project Lead</v>
      </c>
      <c r="R107">
        <f>VLOOKUP(Q107,Roles!$A$2:$B$300,2,FALSE)</f>
        <v>86</v>
      </c>
    </row>
    <row r="108" spans="1:18">
      <c r="A108" t="s">
        <v>331</v>
      </c>
      <c r="B108" t="s">
        <v>102</v>
      </c>
      <c r="C108" t="s">
        <v>103</v>
      </c>
      <c r="D108" t="s">
        <v>124</v>
      </c>
      <c r="E108" t="s">
        <v>121</v>
      </c>
      <c r="F108" t="s">
        <v>121</v>
      </c>
      <c r="G108" t="str" cm="1">
        <f t="array" ref="G108">_xlfn.SWITCH(C108,
"SAM", "Salesforce",
"ITES","Jira",
"ENGG","Python",
"RND","Microsoft Platforms")</f>
        <v>Microsoft Platforms</v>
      </c>
      <c r="H108">
        <f>VLOOKUP(E108,Roles!$C$1:$D$197,2,FALSE)</f>
        <v>11</v>
      </c>
      <c r="I108" s="1">
        <v>45883</v>
      </c>
      <c r="J108" t="s">
        <v>332</v>
      </c>
      <c r="K108" s="1">
        <v>45950</v>
      </c>
      <c r="N108" t="s">
        <v>53</v>
      </c>
      <c r="P108" t="s">
        <v>54</v>
      </c>
      <c r="Q108" t="str">
        <f t="shared" si="1"/>
        <v>RND_ResearchTeam7_Research Analyst</v>
      </c>
      <c r="R108">
        <f>VLOOKUP(Q108,Roles!$A$2:$B$300,2,FALSE)</f>
        <v>20</v>
      </c>
    </row>
    <row r="109" spans="1:18">
      <c r="A109" t="s">
        <v>333</v>
      </c>
      <c r="B109" t="s">
        <v>56</v>
      </c>
      <c r="C109" t="s">
        <v>57</v>
      </c>
      <c r="D109" t="s">
        <v>110</v>
      </c>
      <c r="E109" t="s">
        <v>114</v>
      </c>
      <c r="F109" t="s">
        <v>114</v>
      </c>
      <c r="G109" t="str" cm="1">
        <f t="array" ref="G109">_xlfn.SWITCH(C109,
"SAM", "Salesforce",
"ITES","Jira",
"ENGG","Python",
"RND","Microsoft Platforms")</f>
        <v>Jira</v>
      </c>
      <c r="H109">
        <f>VLOOKUP(E109,Roles!$C$1:$D$197,2,FALSE)</f>
        <v>11</v>
      </c>
      <c r="I109" s="1">
        <v>45908</v>
      </c>
      <c r="J109" t="s">
        <v>334</v>
      </c>
      <c r="K109" s="1">
        <v>45973</v>
      </c>
      <c r="N109" t="s">
        <v>53</v>
      </c>
      <c r="P109" t="s">
        <v>54</v>
      </c>
      <c r="Q109" t="str">
        <f t="shared" si="1"/>
        <v>ITES_ITTeam9_Technical Support Analyst</v>
      </c>
      <c r="R109">
        <f>VLOOKUP(Q109,Roles!$A$2:$B$300,2,FALSE)</f>
        <v>77</v>
      </c>
    </row>
    <row r="110" spans="1:18">
      <c r="A110" t="s">
        <v>335</v>
      </c>
      <c r="B110" t="s">
        <v>56</v>
      </c>
      <c r="C110" t="s">
        <v>57</v>
      </c>
      <c r="D110" t="s">
        <v>58</v>
      </c>
      <c r="E110" t="s">
        <v>63</v>
      </c>
      <c r="F110" t="s">
        <v>63</v>
      </c>
      <c r="G110" t="str" cm="1">
        <f t="array" ref="G110">_xlfn.SWITCH(C110,
"SAM", "Salesforce",
"ITES","Jira",
"ENGG","Python",
"RND","Microsoft Platforms")</f>
        <v>Jira</v>
      </c>
      <c r="H110">
        <f>VLOOKUP(E110,Roles!$C$1:$D$197,2,FALSE)</f>
        <v>9</v>
      </c>
      <c r="I110" s="1">
        <v>45916</v>
      </c>
      <c r="J110" t="s">
        <v>336</v>
      </c>
      <c r="K110" s="1">
        <v>45982</v>
      </c>
      <c r="N110" t="s">
        <v>53</v>
      </c>
      <c r="P110" t="s">
        <v>54</v>
      </c>
      <c r="Q110" t="str">
        <f t="shared" si="1"/>
        <v>ITES_ITTeam5_IT Support Specialist</v>
      </c>
      <c r="R110">
        <f>VLOOKUP(Q110,Roles!$A$2:$B$300,2,FALSE)</f>
        <v>3</v>
      </c>
    </row>
    <row r="111" spans="1:18">
      <c r="A111" t="s">
        <v>337</v>
      </c>
      <c r="B111" t="s">
        <v>69</v>
      </c>
      <c r="C111" t="s">
        <v>70</v>
      </c>
      <c r="D111" t="s">
        <v>171</v>
      </c>
      <c r="E111" t="s">
        <v>289</v>
      </c>
      <c r="F111" t="s">
        <v>289</v>
      </c>
      <c r="G111" t="str" cm="1">
        <f t="array" ref="G111">_xlfn.SWITCH(C111,
"SAM", "Salesforce",
"ITES","Jira",
"ENGG","Python",
"RND","Microsoft Platforms")</f>
        <v>Python</v>
      </c>
      <c r="H111">
        <f>VLOOKUP(E111,Roles!$C$1:$D$197,2,FALSE)</f>
        <v>6</v>
      </c>
      <c r="I111" s="1">
        <v>45915</v>
      </c>
      <c r="J111" t="s">
        <v>338</v>
      </c>
      <c r="K111" s="1">
        <v>45979</v>
      </c>
      <c r="N111" t="s">
        <v>53</v>
      </c>
      <c r="P111" t="s">
        <v>54</v>
      </c>
      <c r="Q111" t="str">
        <f t="shared" si="1"/>
        <v>ENGG_EngineeringTeam7_Principal Engineer</v>
      </c>
      <c r="R111">
        <f>VLOOKUP(Q111,Roles!$A$2:$B$300,2,FALSE)</f>
        <v>87</v>
      </c>
    </row>
    <row r="112" spans="1:18">
      <c r="A112" t="s">
        <v>339</v>
      </c>
      <c r="B112" t="s">
        <v>56</v>
      </c>
      <c r="C112" t="s">
        <v>57</v>
      </c>
      <c r="D112" t="s">
        <v>95</v>
      </c>
      <c r="E112" t="s">
        <v>340</v>
      </c>
      <c r="F112" t="s">
        <v>340</v>
      </c>
      <c r="G112" t="str" cm="1">
        <f t="array" ref="G112">_xlfn.SWITCH(C112,
"SAM", "Salesforce",
"ITES","Jira",
"ENGG","Python",
"RND","Microsoft Platforms")</f>
        <v>Jira</v>
      </c>
      <c r="H112">
        <f>VLOOKUP(E112,Roles!$C$1:$D$197,2,FALSE)</f>
        <v>10</v>
      </c>
      <c r="I112" s="1">
        <v>45875</v>
      </c>
      <c r="J112" t="s">
        <v>341</v>
      </c>
      <c r="K112" s="1">
        <v>45929</v>
      </c>
      <c r="N112" t="s">
        <v>53</v>
      </c>
      <c r="P112" t="s">
        <v>54</v>
      </c>
      <c r="Q112" t="str">
        <f t="shared" si="1"/>
        <v>ITES_ITTeam6_Desktop Support Specialist</v>
      </c>
      <c r="R112">
        <f>VLOOKUP(Q112,Roles!$A$2:$B$300,2,FALSE)</f>
        <v>88</v>
      </c>
    </row>
    <row r="113" spans="1:18">
      <c r="A113" t="s">
        <v>342</v>
      </c>
      <c r="B113" t="s">
        <v>56</v>
      </c>
      <c r="C113" t="s">
        <v>57</v>
      </c>
      <c r="D113" t="s">
        <v>158</v>
      </c>
      <c r="E113" t="s">
        <v>114</v>
      </c>
      <c r="F113" t="s">
        <v>114</v>
      </c>
      <c r="G113" t="str" cm="1">
        <f t="array" ref="G113">_xlfn.SWITCH(C113,
"SAM", "Salesforce",
"ITES","Jira",
"ENGG","Python",
"RND","Microsoft Platforms")</f>
        <v>Jira</v>
      </c>
      <c r="H113">
        <f>VLOOKUP(E113,Roles!$C$1:$D$197,2,FALSE)</f>
        <v>11</v>
      </c>
      <c r="I113" s="1">
        <v>45840</v>
      </c>
      <c r="J113" t="s">
        <v>343</v>
      </c>
      <c r="K113" s="1">
        <v>45892</v>
      </c>
      <c r="L113" s="1">
        <v>45911</v>
      </c>
      <c r="M113" s="1">
        <v>45952</v>
      </c>
      <c r="N113" t="s">
        <v>53</v>
      </c>
      <c r="O113">
        <v>0</v>
      </c>
      <c r="P113" t="s">
        <v>61</v>
      </c>
      <c r="Q113" t="str">
        <f t="shared" si="1"/>
        <v>ITES_ITTeam7_Technical Support Analyst</v>
      </c>
      <c r="R113">
        <f>VLOOKUP(Q113,Roles!$A$2:$B$300,2,FALSE)</f>
        <v>45</v>
      </c>
    </row>
    <row r="114" spans="1:18">
      <c r="A114" t="s">
        <v>344</v>
      </c>
      <c r="B114" t="s">
        <v>69</v>
      </c>
      <c r="C114" t="s">
        <v>70</v>
      </c>
      <c r="D114" t="s">
        <v>345</v>
      </c>
      <c r="E114" t="s">
        <v>346</v>
      </c>
      <c r="F114" t="s">
        <v>346</v>
      </c>
      <c r="G114" t="str" cm="1">
        <f t="array" ref="G114">_xlfn.SWITCH(C114,
"SAM", "Salesforce",
"ITES","Jira",
"ENGG","Python",
"RND","Microsoft Platforms")</f>
        <v>Python</v>
      </c>
      <c r="H114">
        <f>VLOOKUP(E114,Roles!$C$1:$D$197,2,FALSE)</f>
        <v>9</v>
      </c>
      <c r="I114" s="1">
        <v>45822</v>
      </c>
      <c r="J114" t="s">
        <v>347</v>
      </c>
      <c r="K114" s="1">
        <v>45886</v>
      </c>
      <c r="L114" s="1">
        <v>45906</v>
      </c>
      <c r="M114" s="1">
        <v>45974</v>
      </c>
      <c r="N114" t="s">
        <v>53</v>
      </c>
      <c r="O114">
        <v>2</v>
      </c>
      <c r="P114" t="s">
        <v>61</v>
      </c>
      <c r="Q114" t="str">
        <f t="shared" si="1"/>
        <v>ENGG_EngineeringTeam6_Software Developer 2</v>
      </c>
      <c r="R114">
        <f>VLOOKUP(Q114,Roles!$A$2:$B$300,2,FALSE)</f>
        <v>89</v>
      </c>
    </row>
    <row r="115" spans="1:18">
      <c r="A115" t="s">
        <v>348</v>
      </c>
      <c r="B115" t="s">
        <v>48</v>
      </c>
      <c r="C115" t="s">
        <v>49</v>
      </c>
      <c r="D115" t="s">
        <v>98</v>
      </c>
      <c r="E115" t="s">
        <v>99</v>
      </c>
      <c r="F115" t="s">
        <v>99</v>
      </c>
      <c r="G115" t="str" cm="1">
        <f t="array" ref="G115">_xlfn.SWITCH(C115,
"SAM", "Salesforce",
"ITES","Jira",
"ENGG","Python",
"RND","Microsoft Platforms")</f>
        <v>Salesforce</v>
      </c>
      <c r="H115">
        <f>VLOOKUP(E115,Roles!$C$1:$D$197,2,FALSE)</f>
        <v>10</v>
      </c>
      <c r="I115" s="1">
        <v>45869</v>
      </c>
      <c r="J115" t="s">
        <v>349</v>
      </c>
      <c r="K115" s="1">
        <v>45934</v>
      </c>
      <c r="N115" t="s">
        <v>53</v>
      </c>
      <c r="P115" t="s">
        <v>54</v>
      </c>
      <c r="Q115" t="str">
        <f t="shared" si="1"/>
        <v>SAM_SalesTeam8_Digital Marketing Specialist</v>
      </c>
      <c r="R115">
        <f>VLOOKUP(Q115,Roles!$A$2:$B$300,2,FALSE)</f>
        <v>13</v>
      </c>
    </row>
    <row r="116" spans="1:18">
      <c r="A116" t="s">
        <v>350</v>
      </c>
      <c r="B116" t="s">
        <v>48</v>
      </c>
      <c r="C116" t="s">
        <v>49</v>
      </c>
      <c r="D116" t="s">
        <v>209</v>
      </c>
      <c r="E116" t="s">
        <v>188</v>
      </c>
      <c r="F116" t="s">
        <v>188</v>
      </c>
      <c r="G116" t="str" cm="1">
        <f t="array" ref="G116">_xlfn.SWITCH(C116,
"SAM", "Salesforce",
"ITES","Jira",
"ENGG","Python",
"RND","Microsoft Platforms")</f>
        <v>Salesforce</v>
      </c>
      <c r="H116">
        <f>VLOOKUP(E116,Roles!$C$1:$D$197,2,FALSE)</f>
        <v>10</v>
      </c>
      <c r="I116" s="1">
        <v>45907</v>
      </c>
      <c r="J116" t="s">
        <v>351</v>
      </c>
      <c r="K116" s="1">
        <v>45972</v>
      </c>
      <c r="N116" t="s">
        <v>53</v>
      </c>
      <c r="P116" t="s">
        <v>54</v>
      </c>
      <c r="Q116" t="str">
        <f t="shared" si="1"/>
        <v>SAM_SalesTeam7_Customer Support Specialist</v>
      </c>
      <c r="R116">
        <f>VLOOKUP(Q116,Roles!$A$2:$B$300,2,FALSE)</f>
        <v>90</v>
      </c>
    </row>
    <row r="117" spans="1:18">
      <c r="A117" t="s">
        <v>352</v>
      </c>
      <c r="B117" t="s">
        <v>48</v>
      </c>
      <c r="C117" t="s">
        <v>49</v>
      </c>
      <c r="D117" t="s">
        <v>50</v>
      </c>
      <c r="E117" t="s">
        <v>51</v>
      </c>
      <c r="F117" t="s">
        <v>51</v>
      </c>
      <c r="G117" t="str" cm="1">
        <f t="array" ref="G117">_xlfn.SWITCH(C117,
"SAM", "Salesforce",
"ITES","Jira",
"ENGG","Python",
"RND","Microsoft Platforms")</f>
        <v>Salesforce</v>
      </c>
      <c r="H117">
        <f>VLOOKUP(E117,Roles!$C$1:$D$197,2,FALSE)</f>
        <v>7</v>
      </c>
      <c r="I117" s="1">
        <v>45819</v>
      </c>
      <c r="J117" t="s">
        <v>353</v>
      </c>
      <c r="K117" s="1">
        <v>45882</v>
      </c>
      <c r="N117" t="s">
        <v>53</v>
      </c>
      <c r="P117" t="s">
        <v>54</v>
      </c>
      <c r="Q117" t="str">
        <f t="shared" si="1"/>
        <v>SAM_SalesTeam4_Brand Manager</v>
      </c>
      <c r="R117">
        <f>VLOOKUP(Q117,Roles!$A$2:$B$300,2,FALSE)</f>
        <v>1</v>
      </c>
    </row>
    <row r="118" spans="1:18">
      <c r="A118" t="s">
        <v>354</v>
      </c>
      <c r="B118" t="s">
        <v>102</v>
      </c>
      <c r="C118" t="s">
        <v>103</v>
      </c>
      <c r="D118" t="s">
        <v>104</v>
      </c>
      <c r="E118" t="s">
        <v>228</v>
      </c>
      <c r="F118" t="s">
        <v>228</v>
      </c>
      <c r="G118" t="str" cm="1">
        <f t="array" ref="G118">_xlfn.SWITCH(C118,
"SAM", "Salesforce",
"ITES","Jira",
"ENGG","Python",
"RND","Microsoft Platforms")</f>
        <v>Microsoft Platforms</v>
      </c>
      <c r="H118">
        <f>VLOOKUP(E118,Roles!$C$1:$D$197,2,FALSE)</f>
        <v>10</v>
      </c>
      <c r="I118" s="1">
        <v>45918</v>
      </c>
      <c r="J118" t="s">
        <v>355</v>
      </c>
      <c r="K118" s="1">
        <v>45981</v>
      </c>
      <c r="N118" t="s">
        <v>53</v>
      </c>
      <c r="P118" t="s">
        <v>54</v>
      </c>
      <c r="Q118" t="str">
        <f t="shared" si="1"/>
        <v>RND_ResearchTeam8_R&amp;D Engineer</v>
      </c>
      <c r="R118">
        <f>VLOOKUP(Q118,Roles!$A$2:$B$300,2,FALSE)</f>
        <v>91</v>
      </c>
    </row>
    <row r="119" spans="1:18">
      <c r="A119" t="s">
        <v>356</v>
      </c>
      <c r="B119" t="s">
        <v>56</v>
      </c>
      <c r="C119" t="s">
        <v>57</v>
      </c>
      <c r="D119" t="s">
        <v>58</v>
      </c>
      <c r="E119" t="s">
        <v>114</v>
      </c>
      <c r="F119" t="s">
        <v>114</v>
      </c>
      <c r="G119" t="str" cm="1">
        <f t="array" ref="G119">_xlfn.SWITCH(C119,
"SAM", "Salesforce",
"ITES","Jira",
"ENGG","Python",
"RND","Microsoft Platforms")</f>
        <v>Jira</v>
      </c>
      <c r="H119">
        <f>VLOOKUP(E119,Roles!$C$1:$D$197,2,FALSE)</f>
        <v>11</v>
      </c>
      <c r="I119" s="1">
        <v>45918</v>
      </c>
      <c r="J119" t="s">
        <v>357</v>
      </c>
      <c r="K119" s="1">
        <v>45969</v>
      </c>
      <c r="N119" t="s">
        <v>53</v>
      </c>
      <c r="P119" t="s">
        <v>54</v>
      </c>
      <c r="Q119" t="str">
        <f t="shared" si="1"/>
        <v>ITES_ITTeam5_Technical Support Analyst</v>
      </c>
      <c r="R119">
        <f>VLOOKUP(Q119,Roles!$A$2:$B$300,2,FALSE)</f>
        <v>92</v>
      </c>
    </row>
    <row r="120" spans="1:18">
      <c r="A120" t="s">
        <v>358</v>
      </c>
      <c r="B120" t="s">
        <v>48</v>
      </c>
      <c r="C120" t="s">
        <v>49</v>
      </c>
      <c r="D120" t="s">
        <v>168</v>
      </c>
      <c r="E120" t="s">
        <v>251</v>
      </c>
      <c r="F120" t="s">
        <v>251</v>
      </c>
      <c r="G120" t="str" cm="1">
        <f t="array" ref="G120">_xlfn.SWITCH(C120,
"SAM", "Salesforce",
"ITES","Jira",
"ENGG","Python",
"RND","Microsoft Platforms")</f>
        <v>Salesforce</v>
      </c>
      <c r="H120">
        <f>VLOOKUP(E120,Roles!$C$1:$D$197,2,FALSE)</f>
        <v>7</v>
      </c>
      <c r="I120" s="1">
        <v>45899</v>
      </c>
      <c r="J120" t="s">
        <v>359</v>
      </c>
      <c r="K120" s="1">
        <v>45945</v>
      </c>
      <c r="N120" t="s">
        <v>53</v>
      </c>
      <c r="P120" t="s">
        <v>54</v>
      </c>
      <c r="Q120" t="str">
        <f t="shared" si="1"/>
        <v>SAM_SalesTeam1_Product Marketing Manager</v>
      </c>
      <c r="R120">
        <f>VLOOKUP(Q120,Roles!$A$2:$B$300,2,FALSE)</f>
        <v>93</v>
      </c>
    </row>
    <row r="121" spans="1:18">
      <c r="A121" t="s">
        <v>360</v>
      </c>
      <c r="B121" t="s">
        <v>48</v>
      </c>
      <c r="C121" t="s">
        <v>49</v>
      </c>
      <c r="D121" t="s">
        <v>141</v>
      </c>
      <c r="E121" t="s">
        <v>51</v>
      </c>
      <c r="F121" t="s">
        <v>51</v>
      </c>
      <c r="G121" t="str" cm="1">
        <f t="array" ref="G121">_xlfn.SWITCH(C121,
"SAM", "Salesforce",
"ITES","Jira",
"ENGG","Python",
"RND","Microsoft Platforms")</f>
        <v>Salesforce</v>
      </c>
      <c r="H121">
        <f>VLOOKUP(E121,Roles!$C$1:$D$197,2,FALSE)</f>
        <v>7</v>
      </c>
      <c r="I121" s="1">
        <v>45897</v>
      </c>
      <c r="J121" t="s">
        <v>361</v>
      </c>
      <c r="K121" s="1">
        <v>45965</v>
      </c>
      <c r="L121" s="1">
        <v>45981</v>
      </c>
      <c r="M121" s="1">
        <v>46022</v>
      </c>
      <c r="N121" t="s">
        <v>53</v>
      </c>
      <c r="O121">
        <v>0</v>
      </c>
      <c r="P121" t="s">
        <v>61</v>
      </c>
      <c r="Q121" t="str">
        <f t="shared" si="1"/>
        <v>SAM_SalesTeam2_Brand Manager</v>
      </c>
      <c r="R121">
        <f>VLOOKUP(Q121,Roles!$A$2:$B$300,2,FALSE)</f>
        <v>94</v>
      </c>
    </row>
    <row r="122" spans="1:18">
      <c r="A122" t="s">
        <v>362</v>
      </c>
      <c r="B122" t="s">
        <v>102</v>
      </c>
      <c r="C122" t="s">
        <v>103</v>
      </c>
      <c r="D122" t="s">
        <v>314</v>
      </c>
      <c r="E122" t="s">
        <v>261</v>
      </c>
      <c r="F122" t="s">
        <v>261</v>
      </c>
      <c r="G122" t="str" cm="1">
        <f t="array" ref="G122">_xlfn.SWITCH(C122,
"SAM", "Salesforce",
"ITES","Jira",
"ENGG","Python",
"RND","Microsoft Platforms")</f>
        <v>Microsoft Platforms</v>
      </c>
      <c r="H122">
        <f>VLOOKUP(E122,Roles!$C$1:$D$197,2,FALSE)</f>
        <v>5</v>
      </c>
      <c r="I122" s="1">
        <v>45919</v>
      </c>
      <c r="J122" t="s">
        <v>363</v>
      </c>
      <c r="K122" s="1">
        <v>45970</v>
      </c>
      <c r="L122" s="1">
        <v>45990</v>
      </c>
      <c r="M122" s="1">
        <v>46049</v>
      </c>
      <c r="N122" t="s">
        <v>53</v>
      </c>
      <c r="O122">
        <v>1</v>
      </c>
      <c r="P122" t="s">
        <v>61</v>
      </c>
      <c r="Q122" t="str">
        <f t="shared" si="1"/>
        <v>RND_ResearchTeam1_R&amp;D Project Lead</v>
      </c>
      <c r="R122">
        <f>VLOOKUP(Q122,Roles!$A$2:$B$300,2,FALSE)</f>
        <v>95</v>
      </c>
    </row>
    <row r="123" spans="1:18">
      <c r="A123" t="s">
        <v>364</v>
      </c>
      <c r="B123" t="s">
        <v>56</v>
      </c>
      <c r="C123" t="s">
        <v>57</v>
      </c>
      <c r="D123" t="s">
        <v>110</v>
      </c>
      <c r="E123" t="s">
        <v>114</v>
      </c>
      <c r="F123" t="s">
        <v>114</v>
      </c>
      <c r="G123" t="str" cm="1">
        <f t="array" ref="G123">_xlfn.SWITCH(C123,
"SAM", "Salesforce",
"ITES","Jira",
"ENGG","Python",
"RND","Microsoft Platforms")</f>
        <v>Jira</v>
      </c>
      <c r="H123">
        <f>VLOOKUP(E123,Roles!$C$1:$D$197,2,FALSE)</f>
        <v>11</v>
      </c>
      <c r="I123" s="1">
        <v>45820</v>
      </c>
      <c r="J123" t="s">
        <v>365</v>
      </c>
      <c r="K123" s="1">
        <v>45890</v>
      </c>
      <c r="N123" t="s">
        <v>53</v>
      </c>
      <c r="P123" t="s">
        <v>54</v>
      </c>
      <c r="Q123" t="str">
        <f t="shared" si="1"/>
        <v>ITES_ITTeam9_Technical Support Analyst</v>
      </c>
      <c r="R123">
        <f>VLOOKUP(Q123,Roles!$A$2:$B$300,2,FALSE)</f>
        <v>77</v>
      </c>
    </row>
    <row r="124" spans="1:18">
      <c r="A124" t="s">
        <v>366</v>
      </c>
      <c r="B124" t="s">
        <v>69</v>
      </c>
      <c r="C124" t="s">
        <v>70</v>
      </c>
      <c r="D124" t="s">
        <v>171</v>
      </c>
      <c r="E124" t="s">
        <v>72</v>
      </c>
      <c r="F124" t="s">
        <v>72</v>
      </c>
      <c r="G124" t="str" cm="1">
        <f t="array" ref="G124">_xlfn.SWITCH(C124,
"SAM", "Salesforce",
"ITES","Jira",
"ENGG","Python",
"RND","Microsoft Platforms")</f>
        <v>Python</v>
      </c>
      <c r="H124">
        <f>VLOOKUP(E124,Roles!$C$1:$D$197,2,FALSE)</f>
        <v>5</v>
      </c>
      <c r="I124" s="1">
        <v>45846</v>
      </c>
      <c r="J124" t="s">
        <v>367</v>
      </c>
      <c r="K124" s="1">
        <v>45908</v>
      </c>
      <c r="N124" t="s">
        <v>259</v>
      </c>
      <c r="P124" t="s">
        <v>54</v>
      </c>
      <c r="Q124" t="str">
        <f t="shared" si="1"/>
        <v>ENGG_EngineeringTeam7_Platform Delivery Lead</v>
      </c>
      <c r="R124">
        <f>VLOOKUP(Q124,Roles!$A$2:$B$300,2,FALSE)</f>
        <v>96</v>
      </c>
    </row>
    <row r="125" spans="1:18">
      <c r="A125" t="s">
        <v>368</v>
      </c>
      <c r="B125" t="s">
        <v>102</v>
      </c>
      <c r="C125" t="s">
        <v>103</v>
      </c>
      <c r="D125" t="s">
        <v>124</v>
      </c>
      <c r="E125" t="s">
        <v>261</v>
      </c>
      <c r="F125" t="s">
        <v>261</v>
      </c>
      <c r="G125" t="str" cm="1">
        <f t="array" ref="G125">_xlfn.SWITCH(C125,
"SAM", "Salesforce",
"ITES","Jira",
"ENGG","Python",
"RND","Microsoft Platforms")</f>
        <v>Microsoft Platforms</v>
      </c>
      <c r="H125">
        <f>VLOOKUP(E125,Roles!$C$1:$D$197,2,FALSE)</f>
        <v>5</v>
      </c>
      <c r="I125" s="1">
        <v>45920</v>
      </c>
      <c r="J125" t="s">
        <v>369</v>
      </c>
      <c r="K125" s="1">
        <v>45981</v>
      </c>
      <c r="N125" t="s">
        <v>53</v>
      </c>
      <c r="P125" t="s">
        <v>54</v>
      </c>
      <c r="Q125" t="str">
        <f t="shared" si="1"/>
        <v>RND_ResearchTeam7_R&amp;D Project Lead</v>
      </c>
      <c r="R125">
        <f>VLOOKUP(Q125,Roles!$A$2:$B$300,2,FALSE)</f>
        <v>97</v>
      </c>
    </row>
    <row r="126" spans="1:18">
      <c r="A126" t="s">
        <v>370</v>
      </c>
      <c r="B126" t="s">
        <v>102</v>
      </c>
      <c r="C126" t="s">
        <v>103</v>
      </c>
      <c r="D126" t="s">
        <v>120</v>
      </c>
      <c r="E126" t="s">
        <v>206</v>
      </c>
      <c r="F126" t="s">
        <v>206</v>
      </c>
      <c r="G126" t="str" cm="1">
        <f t="array" ref="G126">_xlfn.SWITCH(C126,
"SAM", "Salesforce",
"ITES","Jira",
"ENGG","Python",
"RND","Microsoft Platforms")</f>
        <v>Microsoft Platforms</v>
      </c>
      <c r="H126">
        <f>VLOOKUP(E126,Roles!$C$1:$D$197,2,FALSE)</f>
        <v>8</v>
      </c>
      <c r="I126" s="1">
        <v>45824</v>
      </c>
      <c r="J126" t="s">
        <v>371</v>
      </c>
      <c r="K126" s="1">
        <v>45892</v>
      </c>
      <c r="L126" s="1">
        <v>45907</v>
      </c>
      <c r="M126" s="1">
        <v>45959</v>
      </c>
      <c r="N126" t="s">
        <v>53</v>
      </c>
      <c r="O126">
        <v>0</v>
      </c>
      <c r="P126" t="s">
        <v>61</v>
      </c>
      <c r="Q126" t="str">
        <f t="shared" si="1"/>
        <v>RND_ResearchTeam9_R&amp;D Manager</v>
      </c>
      <c r="R126">
        <f>VLOOKUP(Q126,Roles!$A$2:$B$300,2,FALSE)</f>
        <v>98</v>
      </c>
    </row>
    <row r="127" spans="1:18">
      <c r="A127" t="s">
        <v>372</v>
      </c>
      <c r="B127" t="s">
        <v>56</v>
      </c>
      <c r="C127" t="s">
        <v>57</v>
      </c>
      <c r="D127" t="s">
        <v>158</v>
      </c>
      <c r="E127" t="s">
        <v>273</v>
      </c>
      <c r="F127" t="s">
        <v>273</v>
      </c>
      <c r="G127" t="str" cm="1">
        <f t="array" ref="G127">_xlfn.SWITCH(C127,
"SAM", "Salesforce",
"ITES","Jira",
"ENGG","Python",
"RND","Microsoft Platforms")</f>
        <v>Jira</v>
      </c>
      <c r="H127">
        <f>VLOOKUP(E127,Roles!$C$1:$D$197,2,FALSE)</f>
        <v>76</v>
      </c>
      <c r="I127" s="1">
        <v>45818</v>
      </c>
      <c r="J127" t="s">
        <v>330</v>
      </c>
      <c r="K127" s="1">
        <v>45865</v>
      </c>
      <c r="N127" t="s">
        <v>259</v>
      </c>
      <c r="P127" t="s">
        <v>54</v>
      </c>
      <c r="Q127" t="str">
        <f t="shared" si="1"/>
        <v>ITES_ITTeam7_IT Manager</v>
      </c>
      <c r="R127">
        <f>VLOOKUP(Q127,Roles!$A$2:$B$300,2,FALSE)</f>
        <v>99</v>
      </c>
    </row>
    <row r="128" spans="1:18">
      <c r="A128" t="s">
        <v>373</v>
      </c>
      <c r="B128" t="s">
        <v>102</v>
      </c>
      <c r="C128" t="s">
        <v>103</v>
      </c>
      <c r="D128" t="s">
        <v>321</v>
      </c>
      <c r="E128" t="s">
        <v>105</v>
      </c>
      <c r="F128" t="s">
        <v>105</v>
      </c>
      <c r="G128" t="str" cm="1">
        <f t="array" ref="G128">_xlfn.SWITCH(C128,
"SAM", "Salesforce",
"ITES","Jira",
"ENGG","Python",
"RND","Microsoft Platforms")</f>
        <v>Microsoft Platforms</v>
      </c>
      <c r="H128">
        <f>VLOOKUP(E128,Roles!$C$1:$D$197,2,FALSE)</f>
        <v>8</v>
      </c>
      <c r="I128" s="1">
        <v>45879</v>
      </c>
      <c r="J128" t="s">
        <v>374</v>
      </c>
      <c r="K128" s="1">
        <v>45934</v>
      </c>
      <c r="L128" s="1">
        <v>45951</v>
      </c>
      <c r="M128" s="1">
        <v>46025</v>
      </c>
      <c r="N128" t="s">
        <v>53</v>
      </c>
      <c r="O128">
        <v>2</v>
      </c>
      <c r="P128" t="s">
        <v>61</v>
      </c>
      <c r="Q128" t="str">
        <f t="shared" si="1"/>
        <v>RND_ResearchTeam6_Innovation Manager</v>
      </c>
      <c r="R128">
        <f>VLOOKUP(Q128,Roles!$A$2:$B$300,2,FALSE)</f>
        <v>100</v>
      </c>
    </row>
    <row r="129" spans="1:18">
      <c r="A129" t="s">
        <v>375</v>
      </c>
      <c r="B129" t="s">
        <v>102</v>
      </c>
      <c r="C129" t="s">
        <v>103</v>
      </c>
      <c r="D129" t="s">
        <v>376</v>
      </c>
      <c r="E129" t="s">
        <v>248</v>
      </c>
      <c r="F129" t="s">
        <v>248</v>
      </c>
      <c r="G129" t="str" cm="1">
        <f t="array" ref="G129">_xlfn.SWITCH(C129,
"SAM", "Salesforce",
"ITES","Jira",
"ENGG","Python",
"RND","Microsoft Platforms")</f>
        <v>Microsoft Platforms</v>
      </c>
      <c r="H129">
        <f>VLOOKUP(E129,Roles!$C$1:$D$197,2,FALSE)</f>
        <v>5</v>
      </c>
      <c r="I129" s="1">
        <v>45858</v>
      </c>
      <c r="J129" t="s">
        <v>377</v>
      </c>
      <c r="K129" s="1">
        <v>45916</v>
      </c>
      <c r="N129" t="s">
        <v>53</v>
      </c>
      <c r="P129" t="s">
        <v>54</v>
      </c>
      <c r="Q129" t="str">
        <f t="shared" si="1"/>
        <v>RND_ResearchTeam4_Senior R&amp;D Manager</v>
      </c>
      <c r="R129">
        <f>VLOOKUP(Q129,Roles!$A$2:$B$300,2,FALSE)</f>
        <v>101</v>
      </c>
    </row>
    <row r="130" spans="1:18">
      <c r="A130" t="s">
        <v>378</v>
      </c>
      <c r="B130" t="s">
        <v>48</v>
      </c>
      <c r="C130" t="s">
        <v>49</v>
      </c>
      <c r="D130" t="s">
        <v>141</v>
      </c>
      <c r="E130" t="s">
        <v>188</v>
      </c>
      <c r="F130" t="s">
        <v>188</v>
      </c>
      <c r="G130" t="str" cm="1">
        <f t="array" ref="G130">_xlfn.SWITCH(C130,
"SAM", "Salesforce",
"ITES","Jira",
"ENGG","Python",
"RND","Microsoft Platforms")</f>
        <v>Salesforce</v>
      </c>
      <c r="H130">
        <f>VLOOKUP(E130,Roles!$C$1:$D$197,2,FALSE)</f>
        <v>10</v>
      </c>
      <c r="I130" s="1">
        <v>45909</v>
      </c>
      <c r="J130" t="s">
        <v>379</v>
      </c>
      <c r="K130" s="1">
        <v>45976</v>
      </c>
      <c r="L130" s="1">
        <v>45990</v>
      </c>
      <c r="M130" s="1">
        <v>46064</v>
      </c>
      <c r="N130" t="s">
        <v>53</v>
      </c>
      <c r="O130">
        <v>2</v>
      </c>
      <c r="P130" t="s">
        <v>61</v>
      </c>
      <c r="Q130" t="str">
        <f t="shared" si="1"/>
        <v>SAM_SalesTeam2_Customer Support Specialist</v>
      </c>
      <c r="R130">
        <f>VLOOKUP(Q130,Roles!$A$2:$B$300,2,FALSE)</f>
        <v>102</v>
      </c>
    </row>
    <row r="131" spans="1:18">
      <c r="A131" t="s">
        <v>380</v>
      </c>
      <c r="B131" t="s">
        <v>102</v>
      </c>
      <c r="C131" t="s">
        <v>103</v>
      </c>
      <c r="D131" t="s">
        <v>227</v>
      </c>
      <c r="E131" t="s">
        <v>228</v>
      </c>
      <c r="F131" t="s">
        <v>228</v>
      </c>
      <c r="G131" t="str" cm="1">
        <f t="array" ref="G131">_xlfn.SWITCH(C131,
"SAM", "Salesforce",
"ITES","Jira",
"ENGG","Python",
"RND","Microsoft Platforms")</f>
        <v>Microsoft Platforms</v>
      </c>
      <c r="H131">
        <f>VLOOKUP(E131,Roles!$C$1:$D$197,2,FALSE)</f>
        <v>10</v>
      </c>
      <c r="I131" s="1">
        <v>45870</v>
      </c>
      <c r="J131" t="s">
        <v>381</v>
      </c>
      <c r="K131" s="1">
        <v>45936</v>
      </c>
      <c r="N131" t="s">
        <v>53</v>
      </c>
      <c r="P131" t="s">
        <v>54</v>
      </c>
      <c r="Q131" t="str">
        <f t="shared" ref="Q131:Q194" si="2">CONCATENATE(C131,"_",D131,"_",E131)</f>
        <v>RND_ResearchTeam5_R&amp;D Engineer</v>
      </c>
      <c r="R131">
        <f>VLOOKUP(Q131,Roles!$A$2:$B$300,2,FALSE)</f>
        <v>49</v>
      </c>
    </row>
    <row r="132" spans="1:18">
      <c r="A132" t="s">
        <v>382</v>
      </c>
      <c r="B132" t="s">
        <v>48</v>
      </c>
      <c r="C132" t="s">
        <v>49</v>
      </c>
      <c r="D132" t="s">
        <v>127</v>
      </c>
      <c r="E132" t="s">
        <v>251</v>
      </c>
      <c r="F132" t="s">
        <v>251</v>
      </c>
      <c r="G132" t="str" cm="1">
        <f t="array" ref="G132">_xlfn.SWITCH(C132,
"SAM", "Salesforce",
"ITES","Jira",
"ENGG","Python",
"RND","Microsoft Platforms")</f>
        <v>Salesforce</v>
      </c>
      <c r="H132">
        <f>VLOOKUP(E132,Roles!$C$1:$D$197,2,FALSE)</f>
        <v>7</v>
      </c>
      <c r="I132" s="1">
        <v>45814</v>
      </c>
      <c r="J132" t="s">
        <v>383</v>
      </c>
      <c r="K132" s="1">
        <v>45878</v>
      </c>
      <c r="L132" s="1">
        <v>45895</v>
      </c>
      <c r="M132" s="1">
        <v>45917</v>
      </c>
      <c r="N132" t="s">
        <v>53</v>
      </c>
      <c r="O132">
        <v>0</v>
      </c>
      <c r="P132" t="s">
        <v>61</v>
      </c>
      <c r="Q132" t="str">
        <f t="shared" si="2"/>
        <v>SAM_SalesTeam6_Product Marketing Manager</v>
      </c>
      <c r="R132">
        <f>VLOOKUP(Q132,Roles!$A$2:$B$300,2,FALSE)</f>
        <v>57</v>
      </c>
    </row>
    <row r="133" spans="1:18">
      <c r="A133" t="s">
        <v>384</v>
      </c>
      <c r="B133" t="s">
        <v>69</v>
      </c>
      <c r="C133" t="s">
        <v>70</v>
      </c>
      <c r="D133" t="s">
        <v>75</v>
      </c>
      <c r="E133" t="s">
        <v>138</v>
      </c>
      <c r="F133" t="s">
        <v>138</v>
      </c>
      <c r="G133" t="str" cm="1">
        <f t="array" ref="G133">_xlfn.SWITCH(C133,
"SAM", "Salesforce",
"ITES","Jira",
"ENGG","Python",
"RND","Microsoft Platforms")</f>
        <v>Python</v>
      </c>
      <c r="H133">
        <f>VLOOKUP(E133,Roles!$C$1:$D$197,2,FALSE)</f>
        <v>7</v>
      </c>
      <c r="I133" s="1">
        <v>45900</v>
      </c>
      <c r="J133" t="s">
        <v>385</v>
      </c>
      <c r="K133" s="1">
        <v>45967</v>
      </c>
      <c r="L133" s="1">
        <v>45987</v>
      </c>
      <c r="M133" s="1">
        <v>46017</v>
      </c>
      <c r="N133" t="s">
        <v>53</v>
      </c>
      <c r="O133">
        <v>0</v>
      </c>
      <c r="P133" t="s">
        <v>61</v>
      </c>
      <c r="Q133" t="str">
        <f t="shared" si="2"/>
        <v>ENGG_EngineeringTeam10_Engineering Manager</v>
      </c>
      <c r="R133">
        <f>VLOOKUP(Q133,Roles!$A$2:$B$300,2,FALSE)</f>
        <v>103</v>
      </c>
    </row>
    <row r="134" spans="1:18">
      <c r="A134" t="s">
        <v>386</v>
      </c>
      <c r="B134" t="s">
        <v>69</v>
      </c>
      <c r="C134" t="s">
        <v>70</v>
      </c>
      <c r="D134" t="s">
        <v>75</v>
      </c>
      <c r="E134" t="s">
        <v>172</v>
      </c>
      <c r="F134" t="s">
        <v>172</v>
      </c>
      <c r="G134" t="str" cm="1">
        <f t="array" ref="G134">_xlfn.SWITCH(C134,
"SAM", "Salesforce",
"ITES","Jira",
"ENGG","Python",
"RND","Microsoft Platforms")</f>
        <v>Python</v>
      </c>
      <c r="H134">
        <f>VLOOKUP(E134,Roles!$C$1:$D$197,2,FALSE)</f>
        <v>9</v>
      </c>
      <c r="I134" s="1">
        <v>45879</v>
      </c>
      <c r="J134" t="s">
        <v>387</v>
      </c>
      <c r="K134" s="1">
        <v>45931</v>
      </c>
      <c r="L134" s="1">
        <v>45951</v>
      </c>
      <c r="M134" s="1">
        <v>45960</v>
      </c>
      <c r="N134" t="s">
        <v>53</v>
      </c>
      <c r="O134">
        <v>2</v>
      </c>
      <c r="P134" t="s">
        <v>61</v>
      </c>
      <c r="Q134" t="str">
        <f t="shared" si="2"/>
        <v>ENGG_EngineeringTeam10_Senior SDE</v>
      </c>
      <c r="R134">
        <f>VLOOKUP(Q134,Roles!$A$2:$B$300,2,FALSE)</f>
        <v>104</v>
      </c>
    </row>
    <row r="135" spans="1:18">
      <c r="A135" t="s">
        <v>388</v>
      </c>
      <c r="B135" t="s">
        <v>69</v>
      </c>
      <c r="C135" t="s">
        <v>70</v>
      </c>
      <c r="D135" t="s">
        <v>164</v>
      </c>
      <c r="E135" t="s">
        <v>219</v>
      </c>
      <c r="F135" t="s">
        <v>219</v>
      </c>
      <c r="G135" t="str" cm="1">
        <f t="array" ref="G135">_xlfn.SWITCH(C135,
"SAM", "Salesforce",
"ITES","Jira",
"ENGG","Python",
"RND","Microsoft Platforms")</f>
        <v>Python</v>
      </c>
      <c r="H135">
        <f>VLOOKUP(E135,Roles!$C$1:$D$197,2,FALSE)</f>
        <v>9</v>
      </c>
      <c r="I135" s="1">
        <v>45881</v>
      </c>
      <c r="J135" t="s">
        <v>389</v>
      </c>
      <c r="K135" s="1">
        <v>45944</v>
      </c>
      <c r="L135" s="1">
        <v>45959</v>
      </c>
      <c r="M135" s="1">
        <v>45973</v>
      </c>
      <c r="N135" t="s">
        <v>53</v>
      </c>
      <c r="O135">
        <v>2</v>
      </c>
      <c r="P135" t="s">
        <v>61</v>
      </c>
      <c r="Q135" t="str">
        <f t="shared" si="2"/>
        <v>ENGG_EngineeringTeam2_Senior Staff Engineer</v>
      </c>
      <c r="R135">
        <f>VLOOKUP(Q135,Roles!$A$2:$B$300,2,FALSE)</f>
        <v>81</v>
      </c>
    </row>
    <row r="136" spans="1:18">
      <c r="A136" t="s">
        <v>390</v>
      </c>
      <c r="B136" t="s">
        <v>56</v>
      </c>
      <c r="C136" t="s">
        <v>57</v>
      </c>
      <c r="D136" t="s">
        <v>95</v>
      </c>
      <c r="E136" t="s">
        <v>134</v>
      </c>
      <c r="F136" t="s">
        <v>134</v>
      </c>
      <c r="G136" t="str" cm="1">
        <f t="array" ref="G136">_xlfn.SWITCH(C136,
"SAM", "Salesforce",
"ITES","Jira",
"ENGG","Python",
"RND","Microsoft Platforms")</f>
        <v>Jira</v>
      </c>
      <c r="H136">
        <f>VLOOKUP(E136,Roles!$C$1:$D$197,2,FALSE)</f>
        <v>11</v>
      </c>
      <c r="I136" s="1">
        <v>45909</v>
      </c>
      <c r="J136" t="s">
        <v>391</v>
      </c>
      <c r="K136" s="1">
        <v>45964</v>
      </c>
      <c r="N136" t="s">
        <v>53</v>
      </c>
      <c r="P136" t="s">
        <v>54</v>
      </c>
      <c r="Q136" t="str">
        <f t="shared" si="2"/>
        <v>ITES_ITTeam6_Application Support Analyst</v>
      </c>
      <c r="R136">
        <f>VLOOKUP(Q136,Roles!$A$2:$B$300,2,FALSE)</f>
        <v>79</v>
      </c>
    </row>
    <row r="137" spans="1:18">
      <c r="A137" t="s">
        <v>392</v>
      </c>
      <c r="B137" t="s">
        <v>56</v>
      </c>
      <c r="C137" t="s">
        <v>57</v>
      </c>
      <c r="D137" t="s">
        <v>158</v>
      </c>
      <c r="E137" t="s">
        <v>134</v>
      </c>
      <c r="F137" t="s">
        <v>134</v>
      </c>
      <c r="G137" t="str" cm="1">
        <f t="array" ref="G137">_xlfn.SWITCH(C137,
"SAM", "Salesforce",
"ITES","Jira",
"ENGG","Python",
"RND","Microsoft Platforms")</f>
        <v>Jira</v>
      </c>
      <c r="H137">
        <f>VLOOKUP(E137,Roles!$C$1:$D$197,2,FALSE)</f>
        <v>11</v>
      </c>
      <c r="I137" s="1">
        <v>45883</v>
      </c>
      <c r="J137" t="s">
        <v>393</v>
      </c>
      <c r="K137" s="1">
        <v>45952</v>
      </c>
      <c r="N137" t="s">
        <v>53</v>
      </c>
      <c r="P137" t="s">
        <v>54</v>
      </c>
      <c r="Q137" t="str">
        <f t="shared" si="2"/>
        <v>ITES_ITTeam7_Application Support Analyst</v>
      </c>
      <c r="R137">
        <f>VLOOKUP(Q137,Roles!$A$2:$B$300,2,FALSE)</f>
        <v>105</v>
      </c>
    </row>
    <row r="138" spans="1:18">
      <c r="A138" t="s">
        <v>394</v>
      </c>
      <c r="B138" t="s">
        <v>102</v>
      </c>
      <c r="C138" t="s">
        <v>103</v>
      </c>
      <c r="D138" t="s">
        <v>314</v>
      </c>
      <c r="E138" t="s">
        <v>105</v>
      </c>
      <c r="F138" t="s">
        <v>105</v>
      </c>
      <c r="G138" t="str" cm="1">
        <f t="array" ref="G138">_xlfn.SWITCH(C138,
"SAM", "Salesforce",
"ITES","Jira",
"ENGG","Python",
"RND","Microsoft Platforms")</f>
        <v>Microsoft Platforms</v>
      </c>
      <c r="H138">
        <f>VLOOKUP(E138,Roles!$C$1:$D$197,2,FALSE)</f>
        <v>8</v>
      </c>
      <c r="I138" s="1">
        <v>45853</v>
      </c>
      <c r="J138" t="s">
        <v>395</v>
      </c>
      <c r="K138" s="1">
        <v>45921</v>
      </c>
      <c r="N138" t="s">
        <v>53</v>
      </c>
      <c r="P138" t="s">
        <v>54</v>
      </c>
      <c r="Q138" t="str">
        <f t="shared" si="2"/>
        <v>RND_ResearchTeam1_Innovation Manager</v>
      </c>
      <c r="R138">
        <f>VLOOKUP(Q138,Roles!$A$2:$B$300,2,FALSE)</f>
        <v>106</v>
      </c>
    </row>
    <row r="139" spans="1:18">
      <c r="A139" t="s">
        <v>396</v>
      </c>
      <c r="B139" t="s">
        <v>69</v>
      </c>
      <c r="C139" t="s">
        <v>70</v>
      </c>
      <c r="D139" t="s">
        <v>137</v>
      </c>
      <c r="E139" t="s">
        <v>219</v>
      </c>
      <c r="F139" t="s">
        <v>219</v>
      </c>
      <c r="G139" t="str" cm="1">
        <f t="array" ref="G139">_xlfn.SWITCH(C139,
"SAM", "Salesforce",
"ITES","Jira",
"ENGG","Python",
"RND","Microsoft Platforms")</f>
        <v>Python</v>
      </c>
      <c r="H139">
        <f>VLOOKUP(E139,Roles!$C$1:$D$197,2,FALSE)</f>
        <v>9</v>
      </c>
      <c r="I139" s="1">
        <v>45888</v>
      </c>
      <c r="J139" t="s">
        <v>397</v>
      </c>
      <c r="K139" s="1">
        <v>45946</v>
      </c>
      <c r="N139" t="s">
        <v>53</v>
      </c>
      <c r="P139" t="s">
        <v>54</v>
      </c>
      <c r="Q139" t="str">
        <f t="shared" si="2"/>
        <v>ENGG_EngineeringTeam5_Senior Staff Engineer</v>
      </c>
      <c r="R139">
        <f>VLOOKUP(Q139,Roles!$A$2:$B$300,2,FALSE)</f>
        <v>107</v>
      </c>
    </row>
    <row r="140" spans="1:18">
      <c r="A140" t="s">
        <v>398</v>
      </c>
      <c r="B140" t="s">
        <v>56</v>
      </c>
      <c r="C140" t="s">
        <v>57</v>
      </c>
      <c r="D140" t="s">
        <v>117</v>
      </c>
      <c r="E140" t="s">
        <v>200</v>
      </c>
      <c r="F140" t="s">
        <v>200</v>
      </c>
      <c r="G140" t="str" cm="1">
        <f t="array" ref="G140">_xlfn.SWITCH(C140,
"SAM", "Salesforce",
"ITES","Jira",
"ENGG","Python",
"RND","Microsoft Platforms")</f>
        <v>Jira</v>
      </c>
      <c r="H140">
        <f>VLOOKUP(E140,Roles!$C$1:$D$197,2,FALSE)</f>
        <v>10</v>
      </c>
      <c r="I140" s="1">
        <v>45907</v>
      </c>
      <c r="J140" t="s">
        <v>399</v>
      </c>
      <c r="K140" s="1">
        <v>45968</v>
      </c>
      <c r="L140" s="1">
        <v>45986</v>
      </c>
      <c r="M140" s="1">
        <v>46017</v>
      </c>
      <c r="N140" t="s">
        <v>53</v>
      </c>
      <c r="O140">
        <v>0</v>
      </c>
      <c r="P140" t="s">
        <v>61</v>
      </c>
      <c r="Q140" t="str">
        <f t="shared" si="2"/>
        <v>ITES_ITTeam10_Field Service Technician</v>
      </c>
      <c r="R140">
        <f>VLOOKUP(Q140,Roles!$A$2:$B$300,2,FALSE)</f>
        <v>108</v>
      </c>
    </row>
    <row r="141" spans="1:18">
      <c r="A141" t="s">
        <v>400</v>
      </c>
      <c r="B141" t="s">
        <v>56</v>
      </c>
      <c r="C141" t="s">
        <v>57</v>
      </c>
      <c r="D141" t="s">
        <v>182</v>
      </c>
      <c r="E141" t="s">
        <v>200</v>
      </c>
      <c r="F141" t="s">
        <v>200</v>
      </c>
      <c r="G141" t="str" cm="1">
        <f t="array" ref="G141">_xlfn.SWITCH(C141,
"SAM", "Salesforce",
"ITES","Jira",
"ENGG","Python",
"RND","Microsoft Platforms")</f>
        <v>Jira</v>
      </c>
      <c r="H141">
        <f>VLOOKUP(E141,Roles!$C$1:$D$197,2,FALSE)</f>
        <v>10</v>
      </c>
      <c r="I141" s="1">
        <v>45820</v>
      </c>
      <c r="J141" t="s">
        <v>401</v>
      </c>
      <c r="K141" s="1">
        <v>45881</v>
      </c>
      <c r="N141" t="s">
        <v>53</v>
      </c>
      <c r="P141" t="s">
        <v>54</v>
      </c>
      <c r="Q141" t="str">
        <f t="shared" si="2"/>
        <v>ITES_ITTeam8_Field Service Technician</v>
      </c>
      <c r="R141">
        <f>VLOOKUP(Q141,Roles!$A$2:$B$300,2,FALSE)</f>
        <v>109</v>
      </c>
    </row>
    <row r="142" spans="1:18">
      <c r="A142" t="s">
        <v>402</v>
      </c>
      <c r="B142" t="s">
        <v>102</v>
      </c>
      <c r="C142" t="s">
        <v>103</v>
      </c>
      <c r="D142" t="s">
        <v>124</v>
      </c>
      <c r="E142" t="s">
        <v>105</v>
      </c>
      <c r="F142" t="s">
        <v>105</v>
      </c>
      <c r="G142" t="str" cm="1">
        <f t="array" ref="G142">_xlfn.SWITCH(C142,
"SAM", "Salesforce",
"ITES","Jira",
"ENGG","Python",
"RND","Microsoft Platforms")</f>
        <v>Microsoft Platforms</v>
      </c>
      <c r="H142">
        <f>VLOOKUP(E142,Roles!$C$1:$D$197,2,FALSE)</f>
        <v>8</v>
      </c>
      <c r="I142" s="1">
        <v>45842</v>
      </c>
      <c r="J142" t="s">
        <v>403</v>
      </c>
      <c r="K142" s="1">
        <v>45899</v>
      </c>
      <c r="L142" s="1">
        <v>45915</v>
      </c>
      <c r="M142" s="1">
        <v>45977</v>
      </c>
      <c r="N142" t="s">
        <v>53</v>
      </c>
      <c r="O142">
        <v>2</v>
      </c>
      <c r="P142" t="s">
        <v>61</v>
      </c>
      <c r="Q142" t="str">
        <f t="shared" si="2"/>
        <v>RND_ResearchTeam7_Innovation Manager</v>
      </c>
      <c r="R142">
        <f>VLOOKUP(Q142,Roles!$A$2:$B$300,2,FALSE)</f>
        <v>110</v>
      </c>
    </row>
    <row r="143" spans="1:18">
      <c r="A143" t="s">
        <v>404</v>
      </c>
      <c r="B143" t="s">
        <v>48</v>
      </c>
      <c r="C143" t="s">
        <v>49</v>
      </c>
      <c r="D143" t="s">
        <v>50</v>
      </c>
      <c r="E143" t="s">
        <v>142</v>
      </c>
      <c r="F143" t="s">
        <v>142</v>
      </c>
      <c r="G143" t="str" cm="1">
        <f t="array" ref="G143">_xlfn.SWITCH(C143,
"SAM", "Salesforce",
"ITES","Jira",
"ENGG","Python",
"RND","Microsoft Platforms")</f>
        <v>Salesforce</v>
      </c>
      <c r="H143">
        <f>VLOOKUP(E143,Roles!$C$1:$D$197,2,FALSE)</f>
        <v>7</v>
      </c>
      <c r="I143" s="1">
        <v>45826</v>
      </c>
      <c r="J143" t="s">
        <v>405</v>
      </c>
      <c r="K143" s="1">
        <v>45887</v>
      </c>
      <c r="N143" t="s">
        <v>259</v>
      </c>
      <c r="P143" t="s">
        <v>54</v>
      </c>
      <c r="Q143" t="str">
        <f t="shared" si="2"/>
        <v>SAM_SalesTeam4_Sales Manager</v>
      </c>
      <c r="R143">
        <f>VLOOKUP(Q143,Roles!$A$2:$B$300,2,FALSE)</f>
        <v>111</v>
      </c>
    </row>
    <row r="144" spans="1:18">
      <c r="A144" t="s">
        <v>406</v>
      </c>
      <c r="B144" t="s">
        <v>102</v>
      </c>
      <c r="C144" t="s">
        <v>103</v>
      </c>
      <c r="D144" t="s">
        <v>227</v>
      </c>
      <c r="E144" t="s">
        <v>261</v>
      </c>
      <c r="F144" t="s">
        <v>261</v>
      </c>
      <c r="G144" t="str" cm="1">
        <f t="array" ref="G144">_xlfn.SWITCH(C144,
"SAM", "Salesforce",
"ITES","Jira",
"ENGG","Python",
"RND","Microsoft Platforms")</f>
        <v>Microsoft Platforms</v>
      </c>
      <c r="H144">
        <f>VLOOKUP(E144,Roles!$C$1:$D$197,2,FALSE)</f>
        <v>5</v>
      </c>
      <c r="I144" s="1">
        <v>45822</v>
      </c>
      <c r="J144" t="s">
        <v>407</v>
      </c>
      <c r="K144" s="1">
        <v>45889</v>
      </c>
      <c r="N144" t="s">
        <v>53</v>
      </c>
      <c r="P144" t="s">
        <v>54</v>
      </c>
      <c r="Q144" t="str">
        <f t="shared" si="2"/>
        <v>RND_ResearchTeam5_R&amp;D Project Lead</v>
      </c>
      <c r="R144">
        <f>VLOOKUP(Q144,Roles!$A$2:$B$300,2,FALSE)</f>
        <v>112</v>
      </c>
    </row>
    <row r="145" spans="1:18">
      <c r="A145" t="s">
        <v>408</v>
      </c>
      <c r="B145" t="s">
        <v>69</v>
      </c>
      <c r="C145" t="s">
        <v>70</v>
      </c>
      <c r="D145" t="s">
        <v>151</v>
      </c>
      <c r="E145" t="s">
        <v>289</v>
      </c>
      <c r="F145" t="s">
        <v>289</v>
      </c>
      <c r="G145" t="str" cm="1">
        <f t="array" ref="G145">_xlfn.SWITCH(C145,
"SAM", "Salesforce",
"ITES","Jira",
"ENGG","Python",
"RND","Microsoft Platforms")</f>
        <v>Python</v>
      </c>
      <c r="H145">
        <f>VLOOKUP(E145,Roles!$C$1:$D$197,2,FALSE)</f>
        <v>6</v>
      </c>
      <c r="I145" s="1">
        <v>45867</v>
      </c>
      <c r="J145" t="s">
        <v>409</v>
      </c>
      <c r="K145" s="1">
        <v>45915</v>
      </c>
      <c r="N145" t="s">
        <v>259</v>
      </c>
      <c r="P145" t="s">
        <v>54</v>
      </c>
      <c r="Q145" t="str">
        <f t="shared" si="2"/>
        <v>ENGG_EngineeringTeam8_Principal Engineer</v>
      </c>
      <c r="R145">
        <f>VLOOKUP(Q145,Roles!$A$2:$B$300,2,FALSE)</f>
        <v>113</v>
      </c>
    </row>
    <row r="146" spans="1:18">
      <c r="A146" t="s">
        <v>410</v>
      </c>
      <c r="B146" t="s">
        <v>48</v>
      </c>
      <c r="C146" t="s">
        <v>49</v>
      </c>
      <c r="D146" t="s">
        <v>98</v>
      </c>
      <c r="E146" t="s">
        <v>188</v>
      </c>
      <c r="F146" t="s">
        <v>188</v>
      </c>
      <c r="G146" t="str" cm="1">
        <f t="array" ref="G146">_xlfn.SWITCH(C146,
"SAM", "Salesforce",
"ITES","Jira",
"ENGG","Python",
"RND","Microsoft Platforms")</f>
        <v>Salesforce</v>
      </c>
      <c r="H146">
        <f>VLOOKUP(E146,Roles!$C$1:$D$197,2,FALSE)</f>
        <v>10</v>
      </c>
      <c r="I146" s="1">
        <v>45856</v>
      </c>
      <c r="J146" t="s">
        <v>411</v>
      </c>
      <c r="K146" s="1">
        <v>45915</v>
      </c>
      <c r="N146" t="s">
        <v>53</v>
      </c>
      <c r="P146" t="s">
        <v>54</v>
      </c>
      <c r="Q146" t="str">
        <f t="shared" si="2"/>
        <v>SAM_SalesTeam8_Customer Support Specialist</v>
      </c>
      <c r="R146">
        <f>VLOOKUP(Q146,Roles!$A$2:$B$300,2,FALSE)</f>
        <v>114</v>
      </c>
    </row>
    <row r="147" spans="1:18">
      <c r="A147" t="s">
        <v>412</v>
      </c>
      <c r="B147" t="s">
        <v>69</v>
      </c>
      <c r="C147" t="s">
        <v>70</v>
      </c>
      <c r="D147" t="s">
        <v>71</v>
      </c>
      <c r="E147" t="s">
        <v>86</v>
      </c>
      <c r="F147" t="s">
        <v>86</v>
      </c>
      <c r="G147" t="str" cm="1">
        <f t="array" ref="G147">_xlfn.SWITCH(C147,
"SAM", "Salesforce",
"ITES","Jira",
"ENGG","Python",
"RND","Microsoft Platforms")</f>
        <v>Python</v>
      </c>
      <c r="H147">
        <f>VLOOKUP(E147,Roles!$C$1:$D$197,2,FALSE)</f>
        <v>11</v>
      </c>
      <c r="I147" s="1">
        <v>45845</v>
      </c>
      <c r="J147" t="s">
        <v>413</v>
      </c>
      <c r="K147" s="1">
        <v>45908</v>
      </c>
      <c r="N147" t="s">
        <v>53</v>
      </c>
      <c r="P147" t="s">
        <v>54</v>
      </c>
      <c r="Q147" t="str">
        <f t="shared" si="2"/>
        <v>ENGG_EngineeringTeam1_Software Developer 1</v>
      </c>
      <c r="R147">
        <f>VLOOKUP(Q147,Roles!$A$2:$B$300,2,FALSE)</f>
        <v>9</v>
      </c>
    </row>
    <row r="148" spans="1:18">
      <c r="A148" t="s">
        <v>414</v>
      </c>
      <c r="B148" t="s">
        <v>102</v>
      </c>
      <c r="C148" t="s">
        <v>103</v>
      </c>
      <c r="D148" t="s">
        <v>120</v>
      </c>
      <c r="E148" t="s">
        <v>206</v>
      </c>
      <c r="F148" t="s">
        <v>206</v>
      </c>
      <c r="G148" t="str" cm="1">
        <f t="array" ref="G148">_xlfn.SWITCH(C148,
"SAM", "Salesforce",
"ITES","Jira",
"ENGG","Python",
"RND","Microsoft Platforms")</f>
        <v>Microsoft Platforms</v>
      </c>
      <c r="H148">
        <f>VLOOKUP(E148,Roles!$C$1:$D$197,2,FALSE)</f>
        <v>8</v>
      </c>
      <c r="I148" s="1">
        <v>45849</v>
      </c>
      <c r="J148" t="s">
        <v>415</v>
      </c>
      <c r="K148" s="1">
        <v>45898</v>
      </c>
      <c r="L148" s="1">
        <v>45910</v>
      </c>
      <c r="M148" s="1">
        <v>45973</v>
      </c>
      <c r="N148" t="s">
        <v>53</v>
      </c>
      <c r="O148">
        <v>2</v>
      </c>
      <c r="P148" t="s">
        <v>61</v>
      </c>
      <c r="Q148" t="str">
        <f t="shared" si="2"/>
        <v>RND_ResearchTeam9_R&amp;D Manager</v>
      </c>
      <c r="R148">
        <f>VLOOKUP(Q148,Roles!$A$2:$B$300,2,FALSE)</f>
        <v>98</v>
      </c>
    </row>
    <row r="149" spans="1:18">
      <c r="A149" t="s">
        <v>416</v>
      </c>
      <c r="B149" t="s">
        <v>69</v>
      </c>
      <c r="C149" t="s">
        <v>70</v>
      </c>
      <c r="D149" t="s">
        <v>175</v>
      </c>
      <c r="E149" t="s">
        <v>86</v>
      </c>
      <c r="F149" t="s">
        <v>86</v>
      </c>
      <c r="G149" t="str" cm="1">
        <f t="array" ref="G149">_xlfn.SWITCH(C149,
"SAM", "Salesforce",
"ITES","Jira",
"ENGG","Python",
"RND","Microsoft Platforms")</f>
        <v>Python</v>
      </c>
      <c r="H149">
        <f>VLOOKUP(E149,Roles!$C$1:$D$197,2,FALSE)</f>
        <v>11</v>
      </c>
      <c r="I149" s="1">
        <v>45834</v>
      </c>
      <c r="J149" t="s">
        <v>417</v>
      </c>
      <c r="K149" s="1">
        <v>45898</v>
      </c>
      <c r="N149" t="s">
        <v>53</v>
      </c>
      <c r="P149" t="s">
        <v>54</v>
      </c>
      <c r="Q149" t="str">
        <f t="shared" si="2"/>
        <v>ENGG_EngineeringTeam3_Software Developer 1</v>
      </c>
      <c r="R149">
        <f>VLOOKUP(Q149,Roles!$A$2:$B$300,2,FALSE)</f>
        <v>34</v>
      </c>
    </row>
    <row r="150" spans="1:18">
      <c r="A150" t="s">
        <v>418</v>
      </c>
      <c r="B150" t="s">
        <v>102</v>
      </c>
      <c r="C150" t="s">
        <v>103</v>
      </c>
      <c r="D150" t="s">
        <v>124</v>
      </c>
      <c r="E150" t="s">
        <v>121</v>
      </c>
      <c r="F150" t="s">
        <v>121</v>
      </c>
      <c r="G150" t="str" cm="1">
        <f t="array" ref="G150">_xlfn.SWITCH(C150,
"SAM", "Salesforce",
"ITES","Jira",
"ENGG","Python",
"RND","Microsoft Platforms")</f>
        <v>Microsoft Platforms</v>
      </c>
      <c r="H150">
        <f>VLOOKUP(E150,Roles!$C$1:$D$197,2,FALSE)</f>
        <v>11</v>
      </c>
      <c r="I150" s="1">
        <v>45876</v>
      </c>
      <c r="J150" t="s">
        <v>298</v>
      </c>
      <c r="K150" s="1">
        <v>45935</v>
      </c>
      <c r="N150" t="s">
        <v>53</v>
      </c>
      <c r="P150" t="s">
        <v>54</v>
      </c>
      <c r="Q150" t="str">
        <f t="shared" si="2"/>
        <v>RND_ResearchTeam7_Research Analyst</v>
      </c>
      <c r="R150">
        <f>VLOOKUP(Q150,Roles!$A$2:$B$300,2,FALSE)</f>
        <v>20</v>
      </c>
    </row>
    <row r="151" spans="1:18">
      <c r="A151" t="s">
        <v>419</v>
      </c>
      <c r="B151" t="s">
        <v>56</v>
      </c>
      <c r="C151" t="s">
        <v>57</v>
      </c>
      <c r="D151" t="s">
        <v>113</v>
      </c>
      <c r="E151" t="s">
        <v>134</v>
      </c>
      <c r="F151" t="s">
        <v>134</v>
      </c>
      <c r="G151" t="str" cm="1">
        <f t="array" ref="G151">_xlfn.SWITCH(C151,
"SAM", "Salesforce",
"ITES","Jira",
"ENGG","Python",
"RND","Microsoft Platforms")</f>
        <v>Jira</v>
      </c>
      <c r="H151">
        <f>VLOOKUP(E151,Roles!$C$1:$D$197,2,FALSE)</f>
        <v>11</v>
      </c>
      <c r="I151" s="1">
        <v>45830</v>
      </c>
      <c r="J151" t="s">
        <v>420</v>
      </c>
      <c r="K151" s="1">
        <v>45891</v>
      </c>
      <c r="N151" t="s">
        <v>53</v>
      </c>
      <c r="P151" t="s">
        <v>54</v>
      </c>
      <c r="Q151" t="str">
        <f t="shared" si="2"/>
        <v>ITES_ITTeam3_Application Support Analyst</v>
      </c>
      <c r="R151">
        <f>VLOOKUP(Q151,Roles!$A$2:$B$300,2,FALSE)</f>
        <v>115</v>
      </c>
    </row>
    <row r="152" spans="1:18">
      <c r="A152" t="s">
        <v>421</v>
      </c>
      <c r="B152" t="s">
        <v>102</v>
      </c>
      <c r="C152" t="s">
        <v>103</v>
      </c>
      <c r="D152" t="s">
        <v>314</v>
      </c>
      <c r="E152" t="s">
        <v>192</v>
      </c>
      <c r="F152" t="s">
        <v>192</v>
      </c>
      <c r="G152" t="str" cm="1">
        <f t="array" ref="G152">_xlfn.SWITCH(C152,
"SAM", "Salesforce",
"ITES","Jira",
"ENGG","Python",
"RND","Microsoft Platforms")</f>
        <v>Microsoft Platforms</v>
      </c>
      <c r="H152">
        <f>VLOOKUP(E152,Roles!$C$1:$D$197,2,FALSE)</f>
        <v>8</v>
      </c>
      <c r="I152" s="1">
        <v>45902</v>
      </c>
      <c r="J152" t="s">
        <v>422</v>
      </c>
      <c r="K152" s="1">
        <v>45952</v>
      </c>
      <c r="N152" t="s">
        <v>53</v>
      </c>
      <c r="P152" t="s">
        <v>54</v>
      </c>
      <c r="Q152" t="str">
        <f t="shared" si="2"/>
        <v>RND_ResearchTeam1_Principal Investigator</v>
      </c>
      <c r="R152">
        <f>VLOOKUP(Q152,Roles!$A$2:$B$300,2,FALSE)</f>
        <v>116</v>
      </c>
    </row>
    <row r="153" spans="1:18">
      <c r="A153" t="s">
        <v>423</v>
      </c>
      <c r="B153" t="s">
        <v>48</v>
      </c>
      <c r="C153" t="s">
        <v>49</v>
      </c>
      <c r="D153" t="s">
        <v>89</v>
      </c>
      <c r="E153" t="s">
        <v>66</v>
      </c>
      <c r="F153" t="s">
        <v>66</v>
      </c>
      <c r="G153" t="str" cm="1">
        <f t="array" ref="G153">_xlfn.SWITCH(C153,
"SAM", "Salesforce",
"ITES","Jira",
"ENGG","Python",
"RND","Microsoft Platforms")</f>
        <v>Salesforce</v>
      </c>
      <c r="H153">
        <f>VLOOKUP(E153,Roles!$C$1:$D$197,2,FALSE)</f>
        <v>4</v>
      </c>
      <c r="I153" s="1">
        <v>45863</v>
      </c>
      <c r="J153" t="s">
        <v>424</v>
      </c>
      <c r="K153" s="1">
        <v>45931</v>
      </c>
      <c r="L153" s="1">
        <v>45946</v>
      </c>
      <c r="M153" s="1">
        <v>46000</v>
      </c>
      <c r="N153" t="s">
        <v>53</v>
      </c>
      <c r="O153">
        <v>2</v>
      </c>
      <c r="P153" t="s">
        <v>61</v>
      </c>
      <c r="Q153" t="str">
        <f t="shared" si="2"/>
        <v>SAM_SalesTeam3_Sales Director</v>
      </c>
      <c r="R153">
        <f>VLOOKUP(Q153,Roles!$A$2:$B$300,2,FALSE)</f>
        <v>10</v>
      </c>
    </row>
    <row r="154" spans="1:18">
      <c r="A154" t="s">
        <v>425</v>
      </c>
      <c r="B154" t="s">
        <v>102</v>
      </c>
      <c r="C154" t="s">
        <v>103</v>
      </c>
      <c r="D154" t="s">
        <v>130</v>
      </c>
      <c r="E154" t="s">
        <v>105</v>
      </c>
      <c r="F154" t="s">
        <v>105</v>
      </c>
      <c r="G154" t="str" cm="1">
        <f t="array" ref="G154">_xlfn.SWITCH(C154,
"SAM", "Salesforce",
"ITES","Jira",
"ENGG","Python",
"RND","Microsoft Platforms")</f>
        <v>Microsoft Platforms</v>
      </c>
      <c r="H154">
        <f>VLOOKUP(E154,Roles!$C$1:$D$197,2,FALSE)</f>
        <v>8</v>
      </c>
      <c r="I154" s="1">
        <v>45889</v>
      </c>
      <c r="J154" t="s">
        <v>426</v>
      </c>
      <c r="K154" s="1">
        <v>45949</v>
      </c>
      <c r="N154" t="s">
        <v>53</v>
      </c>
      <c r="P154" t="s">
        <v>54</v>
      </c>
      <c r="Q154" t="str">
        <f t="shared" si="2"/>
        <v>RND_ResearchTeam3_Innovation Manager</v>
      </c>
      <c r="R154">
        <f>VLOOKUP(Q154,Roles!$A$2:$B$300,2,FALSE)</f>
        <v>69</v>
      </c>
    </row>
    <row r="155" spans="1:18">
      <c r="A155" t="s">
        <v>427</v>
      </c>
      <c r="B155" t="s">
        <v>56</v>
      </c>
      <c r="C155" t="s">
        <v>57</v>
      </c>
      <c r="D155" t="s">
        <v>158</v>
      </c>
      <c r="E155" t="s">
        <v>114</v>
      </c>
      <c r="F155" t="s">
        <v>114</v>
      </c>
      <c r="G155" t="str" cm="1">
        <f t="array" ref="G155">_xlfn.SWITCH(C155,
"SAM", "Salesforce",
"ITES","Jira",
"ENGG","Python",
"RND","Microsoft Platforms")</f>
        <v>Jira</v>
      </c>
      <c r="H155">
        <f>VLOOKUP(E155,Roles!$C$1:$D$197,2,FALSE)</f>
        <v>11</v>
      </c>
      <c r="I155" s="1">
        <v>45890</v>
      </c>
      <c r="J155" t="s">
        <v>428</v>
      </c>
      <c r="K155" s="1">
        <v>45952</v>
      </c>
      <c r="L155" s="1">
        <v>45968</v>
      </c>
      <c r="M155" s="1">
        <v>46037</v>
      </c>
      <c r="N155" t="s">
        <v>53</v>
      </c>
      <c r="O155">
        <v>0</v>
      </c>
      <c r="P155" t="s">
        <v>61</v>
      </c>
      <c r="Q155" t="str">
        <f t="shared" si="2"/>
        <v>ITES_ITTeam7_Technical Support Analyst</v>
      </c>
      <c r="R155">
        <f>VLOOKUP(Q155,Roles!$A$2:$B$300,2,FALSE)</f>
        <v>45</v>
      </c>
    </row>
    <row r="156" spans="1:18">
      <c r="A156" t="s">
        <v>429</v>
      </c>
      <c r="B156" t="s">
        <v>102</v>
      </c>
      <c r="C156" t="s">
        <v>103</v>
      </c>
      <c r="D156" t="s">
        <v>205</v>
      </c>
      <c r="E156" t="s">
        <v>228</v>
      </c>
      <c r="F156" t="s">
        <v>228</v>
      </c>
      <c r="G156" t="str" cm="1">
        <f t="array" ref="G156">_xlfn.SWITCH(C156,
"SAM", "Salesforce",
"ITES","Jira",
"ENGG","Python",
"RND","Microsoft Platforms")</f>
        <v>Microsoft Platforms</v>
      </c>
      <c r="H156">
        <f>VLOOKUP(E156,Roles!$C$1:$D$197,2,FALSE)</f>
        <v>10</v>
      </c>
      <c r="I156" s="1">
        <v>45907</v>
      </c>
      <c r="J156" t="s">
        <v>430</v>
      </c>
      <c r="K156" s="1">
        <v>45967</v>
      </c>
      <c r="L156" s="1">
        <v>45977</v>
      </c>
      <c r="M156" s="1">
        <v>46040</v>
      </c>
      <c r="N156" t="s">
        <v>259</v>
      </c>
      <c r="O156">
        <v>1</v>
      </c>
      <c r="P156" t="s">
        <v>61</v>
      </c>
      <c r="Q156" t="str">
        <f t="shared" si="2"/>
        <v>RND_ResearchTeam2_R&amp;D Engineer</v>
      </c>
      <c r="R156">
        <f>VLOOKUP(Q156,Roles!$A$2:$B$300,2,FALSE)</f>
        <v>117</v>
      </c>
    </row>
    <row r="157" spans="1:18">
      <c r="A157" t="s">
        <v>431</v>
      </c>
      <c r="B157" t="s">
        <v>48</v>
      </c>
      <c r="C157" t="s">
        <v>49</v>
      </c>
      <c r="D157" t="s">
        <v>432</v>
      </c>
      <c r="E157" t="s">
        <v>66</v>
      </c>
      <c r="F157" t="s">
        <v>66</v>
      </c>
      <c r="G157" t="str" cm="1">
        <f t="array" ref="G157">_xlfn.SWITCH(C157,
"SAM", "Salesforce",
"ITES","Jira",
"ENGG","Python",
"RND","Microsoft Platforms")</f>
        <v>Salesforce</v>
      </c>
      <c r="H157">
        <f>VLOOKUP(E157,Roles!$C$1:$D$197,2,FALSE)</f>
        <v>4</v>
      </c>
      <c r="I157" s="1">
        <v>45915</v>
      </c>
      <c r="J157" t="s">
        <v>433</v>
      </c>
      <c r="K157" s="1">
        <v>45960</v>
      </c>
      <c r="L157" s="1">
        <v>45979</v>
      </c>
      <c r="M157" s="1">
        <v>45997</v>
      </c>
      <c r="N157" t="s">
        <v>53</v>
      </c>
      <c r="O157">
        <v>0</v>
      </c>
      <c r="P157" t="s">
        <v>61</v>
      </c>
      <c r="Q157" t="str">
        <f t="shared" si="2"/>
        <v>SAM_SalesTeam9_Sales Director</v>
      </c>
      <c r="R157">
        <f>VLOOKUP(Q157,Roles!$A$2:$B$300,2,FALSE)</f>
        <v>118</v>
      </c>
    </row>
    <row r="158" spans="1:18">
      <c r="A158" t="s">
        <v>434</v>
      </c>
      <c r="B158" t="s">
        <v>69</v>
      </c>
      <c r="C158" t="s">
        <v>70</v>
      </c>
      <c r="D158" t="s">
        <v>175</v>
      </c>
      <c r="E158" t="s">
        <v>346</v>
      </c>
      <c r="F158" t="s">
        <v>346</v>
      </c>
      <c r="G158" t="str" cm="1">
        <f t="array" ref="G158">_xlfn.SWITCH(C158,
"SAM", "Salesforce",
"ITES","Jira",
"ENGG","Python",
"RND","Microsoft Platforms")</f>
        <v>Python</v>
      </c>
      <c r="H158">
        <f>VLOOKUP(E158,Roles!$C$1:$D$197,2,FALSE)</f>
        <v>9</v>
      </c>
      <c r="I158" s="1">
        <v>45922</v>
      </c>
      <c r="J158" t="s">
        <v>435</v>
      </c>
      <c r="K158" s="1">
        <v>45990</v>
      </c>
      <c r="L158" s="1">
        <v>46010</v>
      </c>
      <c r="M158" s="1">
        <v>46080</v>
      </c>
      <c r="N158" t="s">
        <v>53</v>
      </c>
      <c r="O158">
        <v>2</v>
      </c>
      <c r="P158" t="s">
        <v>61</v>
      </c>
      <c r="Q158" t="str">
        <f t="shared" si="2"/>
        <v>ENGG_EngineeringTeam3_Software Developer 2</v>
      </c>
      <c r="R158">
        <f>VLOOKUP(Q158,Roles!$A$2:$B$300,2,FALSE)</f>
        <v>119</v>
      </c>
    </row>
    <row r="159" spans="1:18">
      <c r="A159" t="s">
        <v>436</v>
      </c>
      <c r="B159" t="s">
        <v>69</v>
      </c>
      <c r="C159" t="s">
        <v>70</v>
      </c>
      <c r="D159" t="s">
        <v>175</v>
      </c>
      <c r="E159" t="s">
        <v>346</v>
      </c>
      <c r="F159" t="s">
        <v>346</v>
      </c>
      <c r="G159" t="str" cm="1">
        <f t="array" ref="G159">_xlfn.SWITCH(C159,
"SAM", "Salesforce",
"ITES","Jira",
"ENGG","Python",
"RND","Microsoft Platforms")</f>
        <v>Python</v>
      </c>
      <c r="H159">
        <f>VLOOKUP(E159,Roles!$C$1:$D$197,2,FALSE)</f>
        <v>9</v>
      </c>
      <c r="I159" s="1">
        <v>45906</v>
      </c>
      <c r="J159" t="s">
        <v>437</v>
      </c>
      <c r="K159" s="1">
        <v>45961</v>
      </c>
      <c r="L159" s="1">
        <v>45974</v>
      </c>
      <c r="M159" s="1">
        <v>46002</v>
      </c>
      <c r="N159" t="s">
        <v>53</v>
      </c>
      <c r="O159">
        <v>2</v>
      </c>
      <c r="P159" t="s">
        <v>61</v>
      </c>
      <c r="Q159" t="str">
        <f t="shared" si="2"/>
        <v>ENGG_EngineeringTeam3_Software Developer 2</v>
      </c>
      <c r="R159">
        <f>VLOOKUP(Q159,Roles!$A$2:$B$300,2,FALSE)</f>
        <v>119</v>
      </c>
    </row>
    <row r="160" spans="1:18">
      <c r="A160" t="s">
        <v>438</v>
      </c>
      <c r="B160" t="s">
        <v>102</v>
      </c>
      <c r="C160" t="s">
        <v>103</v>
      </c>
      <c r="D160" t="s">
        <v>205</v>
      </c>
      <c r="E160" t="s">
        <v>261</v>
      </c>
      <c r="F160" t="s">
        <v>261</v>
      </c>
      <c r="G160" t="str" cm="1">
        <f t="array" ref="G160">_xlfn.SWITCH(C160,
"SAM", "Salesforce",
"ITES","Jira",
"ENGG","Python",
"RND","Microsoft Platforms")</f>
        <v>Microsoft Platforms</v>
      </c>
      <c r="H160">
        <f>VLOOKUP(E160,Roles!$C$1:$D$197,2,FALSE)</f>
        <v>5</v>
      </c>
      <c r="I160" s="1">
        <v>45848</v>
      </c>
      <c r="J160" t="s">
        <v>439</v>
      </c>
      <c r="K160" s="1">
        <v>45914</v>
      </c>
      <c r="N160" t="s">
        <v>53</v>
      </c>
      <c r="P160" t="s">
        <v>54</v>
      </c>
      <c r="Q160" t="str">
        <f t="shared" si="2"/>
        <v>RND_ResearchTeam2_R&amp;D Project Lead</v>
      </c>
      <c r="R160">
        <f>VLOOKUP(Q160,Roles!$A$2:$B$300,2,FALSE)</f>
        <v>120</v>
      </c>
    </row>
    <row r="161" spans="1:18">
      <c r="A161" t="s">
        <v>440</v>
      </c>
      <c r="B161" t="s">
        <v>56</v>
      </c>
      <c r="C161" t="s">
        <v>57</v>
      </c>
      <c r="D161" t="s">
        <v>158</v>
      </c>
      <c r="E161" t="s">
        <v>63</v>
      </c>
      <c r="F161" t="s">
        <v>63</v>
      </c>
      <c r="G161" t="str" cm="1">
        <f t="array" ref="G161">_xlfn.SWITCH(C161,
"SAM", "Salesforce",
"ITES","Jira",
"ENGG","Python",
"RND","Microsoft Platforms")</f>
        <v>Jira</v>
      </c>
      <c r="H161">
        <f>VLOOKUP(E161,Roles!$C$1:$D$197,2,FALSE)</f>
        <v>9</v>
      </c>
      <c r="I161" s="1">
        <v>45862</v>
      </c>
      <c r="J161" t="s">
        <v>441</v>
      </c>
      <c r="K161" s="1">
        <v>45924</v>
      </c>
      <c r="N161" t="s">
        <v>53</v>
      </c>
      <c r="P161" t="s">
        <v>54</v>
      </c>
      <c r="Q161" t="str">
        <f t="shared" si="2"/>
        <v>ITES_ITTeam7_IT Support Specialist</v>
      </c>
      <c r="R161">
        <f>VLOOKUP(Q161,Roles!$A$2:$B$300,2,FALSE)</f>
        <v>121</v>
      </c>
    </row>
    <row r="162" spans="1:18">
      <c r="A162" t="s">
        <v>442</v>
      </c>
      <c r="B162" t="s">
        <v>102</v>
      </c>
      <c r="C162" t="s">
        <v>103</v>
      </c>
      <c r="D162" t="s">
        <v>130</v>
      </c>
      <c r="E162" t="s">
        <v>228</v>
      </c>
      <c r="F162" t="s">
        <v>228</v>
      </c>
      <c r="G162" t="str" cm="1">
        <f t="array" ref="G162">_xlfn.SWITCH(C162,
"SAM", "Salesforce",
"ITES","Jira",
"ENGG","Python",
"RND","Microsoft Platforms")</f>
        <v>Microsoft Platforms</v>
      </c>
      <c r="H162">
        <f>VLOOKUP(E162,Roles!$C$1:$D$197,2,FALSE)</f>
        <v>10</v>
      </c>
      <c r="I162" s="1">
        <v>45845</v>
      </c>
      <c r="J162" t="s">
        <v>443</v>
      </c>
      <c r="K162" s="1">
        <v>45919</v>
      </c>
      <c r="N162" t="s">
        <v>53</v>
      </c>
      <c r="P162" t="s">
        <v>54</v>
      </c>
      <c r="Q162" t="str">
        <f t="shared" si="2"/>
        <v>RND_ResearchTeam3_R&amp;D Engineer</v>
      </c>
      <c r="R162">
        <f>VLOOKUP(Q162,Roles!$A$2:$B$300,2,FALSE)</f>
        <v>122</v>
      </c>
    </row>
    <row r="163" spans="1:18">
      <c r="A163" t="s">
        <v>444</v>
      </c>
      <c r="B163" t="s">
        <v>69</v>
      </c>
      <c r="C163" t="s">
        <v>70</v>
      </c>
      <c r="D163" t="s">
        <v>75</v>
      </c>
      <c r="E163" t="s">
        <v>346</v>
      </c>
      <c r="F163" t="s">
        <v>346</v>
      </c>
      <c r="G163" t="str" cm="1">
        <f t="array" ref="G163">_xlfn.SWITCH(C163,
"SAM", "Salesforce",
"ITES","Jira",
"ENGG","Python",
"RND","Microsoft Platforms")</f>
        <v>Python</v>
      </c>
      <c r="H163">
        <f>VLOOKUP(E163,Roles!$C$1:$D$197,2,FALSE)</f>
        <v>9</v>
      </c>
      <c r="I163" s="1">
        <v>45881</v>
      </c>
      <c r="J163" t="s">
        <v>445</v>
      </c>
      <c r="K163" s="1">
        <v>45946</v>
      </c>
      <c r="N163" t="s">
        <v>53</v>
      </c>
      <c r="P163" t="s">
        <v>54</v>
      </c>
      <c r="Q163" t="str">
        <f t="shared" si="2"/>
        <v>ENGG_EngineeringTeam10_Software Developer 2</v>
      </c>
      <c r="R163">
        <f>VLOOKUP(Q163,Roles!$A$2:$B$300,2,FALSE)</f>
        <v>123</v>
      </c>
    </row>
    <row r="164" spans="1:18">
      <c r="A164" t="s">
        <v>446</v>
      </c>
      <c r="B164" t="s">
        <v>69</v>
      </c>
      <c r="C164" t="s">
        <v>70</v>
      </c>
      <c r="D164" t="s">
        <v>235</v>
      </c>
      <c r="E164" t="s">
        <v>86</v>
      </c>
      <c r="F164" t="s">
        <v>86</v>
      </c>
      <c r="G164" t="str" cm="1">
        <f t="array" ref="G164">_xlfn.SWITCH(C164,
"SAM", "Salesforce",
"ITES","Jira",
"ENGG","Python",
"RND","Microsoft Platforms")</f>
        <v>Python</v>
      </c>
      <c r="H164">
        <f>VLOOKUP(E164,Roles!$C$1:$D$197,2,FALSE)</f>
        <v>11</v>
      </c>
      <c r="I164" s="1">
        <v>45920</v>
      </c>
      <c r="J164" t="s">
        <v>447</v>
      </c>
      <c r="K164" s="1">
        <v>45973</v>
      </c>
      <c r="L164" s="1">
        <v>45991</v>
      </c>
      <c r="M164" s="1">
        <v>46039</v>
      </c>
      <c r="N164" t="s">
        <v>53</v>
      </c>
      <c r="O164">
        <v>0</v>
      </c>
      <c r="P164" t="s">
        <v>61</v>
      </c>
      <c r="Q164" t="str">
        <f t="shared" si="2"/>
        <v>ENGG_EngineeringTeam4_Software Developer 1</v>
      </c>
      <c r="R164">
        <f>VLOOKUP(Q164,Roles!$A$2:$B$300,2,FALSE)</f>
        <v>124</v>
      </c>
    </row>
    <row r="165" spans="1:18">
      <c r="A165" t="s">
        <v>448</v>
      </c>
      <c r="B165" t="s">
        <v>48</v>
      </c>
      <c r="C165" t="s">
        <v>49</v>
      </c>
      <c r="D165" t="s">
        <v>92</v>
      </c>
      <c r="E165" t="s">
        <v>251</v>
      </c>
      <c r="F165" t="s">
        <v>251</v>
      </c>
      <c r="G165" t="str" cm="1">
        <f t="array" ref="G165">_xlfn.SWITCH(C165,
"SAM", "Salesforce",
"ITES","Jira",
"ENGG","Python",
"RND","Microsoft Platforms")</f>
        <v>Salesforce</v>
      </c>
      <c r="H165">
        <f>VLOOKUP(E165,Roles!$C$1:$D$197,2,FALSE)</f>
        <v>7</v>
      </c>
      <c r="I165" s="1">
        <v>45852</v>
      </c>
      <c r="J165" t="s">
        <v>449</v>
      </c>
      <c r="K165" s="1">
        <v>45910</v>
      </c>
      <c r="N165" t="s">
        <v>53</v>
      </c>
      <c r="P165" t="s">
        <v>54</v>
      </c>
      <c r="Q165" t="str">
        <f t="shared" si="2"/>
        <v>SAM_SalesTeam5_Product Marketing Manager</v>
      </c>
      <c r="R165">
        <f>VLOOKUP(Q165,Roles!$A$2:$B$300,2,FALSE)</f>
        <v>125</v>
      </c>
    </row>
    <row r="166" spans="1:18">
      <c r="A166" t="s">
        <v>450</v>
      </c>
      <c r="B166" t="s">
        <v>102</v>
      </c>
      <c r="C166" t="s">
        <v>103</v>
      </c>
      <c r="D166" t="s">
        <v>120</v>
      </c>
      <c r="E166" t="s">
        <v>192</v>
      </c>
      <c r="F166" t="s">
        <v>192</v>
      </c>
      <c r="G166" t="str" cm="1">
        <f t="array" ref="G166">_xlfn.SWITCH(C166,
"SAM", "Salesforce",
"ITES","Jira",
"ENGG","Python",
"RND","Microsoft Platforms")</f>
        <v>Microsoft Platforms</v>
      </c>
      <c r="H166">
        <f>VLOOKUP(E166,Roles!$C$1:$D$197,2,FALSE)</f>
        <v>8</v>
      </c>
      <c r="I166" s="1">
        <v>45867</v>
      </c>
      <c r="J166" t="s">
        <v>433</v>
      </c>
      <c r="K166" s="1">
        <v>45940</v>
      </c>
      <c r="N166" t="s">
        <v>259</v>
      </c>
      <c r="P166" t="s">
        <v>54</v>
      </c>
      <c r="Q166" t="str">
        <f t="shared" si="2"/>
        <v>RND_ResearchTeam9_Principal Investigator</v>
      </c>
      <c r="R166">
        <f>VLOOKUP(Q166,Roles!$A$2:$B$300,2,FALSE)</f>
        <v>126</v>
      </c>
    </row>
    <row r="167" spans="1:18">
      <c r="A167" t="s">
        <v>451</v>
      </c>
      <c r="B167" t="s">
        <v>48</v>
      </c>
      <c r="C167" t="s">
        <v>49</v>
      </c>
      <c r="D167" t="s">
        <v>92</v>
      </c>
      <c r="E167" t="s">
        <v>51</v>
      </c>
      <c r="F167" t="s">
        <v>51</v>
      </c>
      <c r="G167" t="str" cm="1">
        <f t="array" ref="G167">_xlfn.SWITCH(C167,
"SAM", "Salesforce",
"ITES","Jira",
"ENGG","Python",
"RND","Microsoft Platforms")</f>
        <v>Salesforce</v>
      </c>
      <c r="H167">
        <f>VLOOKUP(E167,Roles!$C$1:$D$197,2,FALSE)</f>
        <v>7</v>
      </c>
      <c r="I167" s="1">
        <v>45822</v>
      </c>
      <c r="J167" t="s">
        <v>452</v>
      </c>
      <c r="K167" s="1">
        <v>45879</v>
      </c>
      <c r="N167" t="s">
        <v>53</v>
      </c>
      <c r="P167" t="s">
        <v>54</v>
      </c>
      <c r="Q167" t="str">
        <f t="shared" si="2"/>
        <v>SAM_SalesTeam5_Brand Manager</v>
      </c>
      <c r="R167">
        <f>VLOOKUP(Q167,Roles!$A$2:$B$300,2,FALSE)</f>
        <v>15</v>
      </c>
    </row>
    <row r="168" spans="1:18">
      <c r="A168" t="s">
        <v>453</v>
      </c>
      <c r="B168" t="s">
        <v>56</v>
      </c>
      <c r="C168" t="s">
        <v>57</v>
      </c>
      <c r="D168" t="s">
        <v>83</v>
      </c>
      <c r="E168" t="s">
        <v>63</v>
      </c>
      <c r="F168" t="s">
        <v>63</v>
      </c>
      <c r="G168" t="str" cm="1">
        <f t="array" ref="G168">_xlfn.SWITCH(C168,
"SAM", "Salesforce",
"ITES","Jira",
"ENGG","Python",
"RND","Microsoft Platforms")</f>
        <v>Jira</v>
      </c>
      <c r="H168">
        <f>VLOOKUP(E168,Roles!$C$1:$D$197,2,FALSE)</f>
        <v>9</v>
      </c>
      <c r="I168" s="1">
        <v>45903</v>
      </c>
      <c r="J168" t="s">
        <v>454</v>
      </c>
      <c r="K168" s="1">
        <v>45951</v>
      </c>
      <c r="L168" s="1">
        <v>45971</v>
      </c>
      <c r="M168" s="1">
        <v>46052</v>
      </c>
      <c r="N168" t="s">
        <v>53</v>
      </c>
      <c r="O168">
        <v>2</v>
      </c>
      <c r="P168" t="s">
        <v>61</v>
      </c>
      <c r="Q168" t="str">
        <f t="shared" si="2"/>
        <v>ITES_ITTeam1_IT Support Specialist</v>
      </c>
      <c r="R168">
        <f>VLOOKUP(Q168,Roles!$A$2:$B$300,2,FALSE)</f>
        <v>127</v>
      </c>
    </row>
    <row r="169" spans="1:18">
      <c r="A169" t="s">
        <v>455</v>
      </c>
      <c r="B169" t="s">
        <v>56</v>
      </c>
      <c r="C169" t="s">
        <v>57</v>
      </c>
      <c r="D169" t="s">
        <v>182</v>
      </c>
      <c r="E169" t="s">
        <v>114</v>
      </c>
      <c r="F169" t="s">
        <v>114</v>
      </c>
      <c r="G169" t="str" cm="1">
        <f t="array" ref="G169">_xlfn.SWITCH(C169,
"SAM", "Salesforce",
"ITES","Jira",
"ENGG","Python",
"RND","Microsoft Platforms")</f>
        <v>Jira</v>
      </c>
      <c r="H169">
        <f>VLOOKUP(E169,Roles!$C$1:$D$197,2,FALSE)</f>
        <v>11</v>
      </c>
      <c r="I169" s="1">
        <v>45903</v>
      </c>
      <c r="J169" t="s">
        <v>456</v>
      </c>
      <c r="K169" s="1">
        <v>45974</v>
      </c>
      <c r="L169" s="1">
        <v>45988</v>
      </c>
      <c r="M169" s="1">
        <v>46048</v>
      </c>
      <c r="N169" t="s">
        <v>53</v>
      </c>
      <c r="O169">
        <v>0</v>
      </c>
      <c r="P169" t="s">
        <v>61</v>
      </c>
      <c r="Q169" t="str">
        <f t="shared" si="2"/>
        <v>ITES_ITTeam8_Technical Support Analyst</v>
      </c>
      <c r="R169">
        <f>VLOOKUP(Q169,Roles!$A$2:$B$300,2,FALSE)</f>
        <v>128</v>
      </c>
    </row>
    <row r="170" spans="1:18">
      <c r="A170" t="s">
        <v>457</v>
      </c>
      <c r="B170" t="s">
        <v>56</v>
      </c>
      <c r="C170" t="s">
        <v>57</v>
      </c>
      <c r="D170" t="s">
        <v>83</v>
      </c>
      <c r="E170" t="s">
        <v>59</v>
      </c>
      <c r="F170" t="s">
        <v>59</v>
      </c>
      <c r="G170" t="str" cm="1">
        <f t="array" ref="G170">_xlfn.SWITCH(C170,
"SAM", "Salesforce",
"ITES","Jira",
"ENGG","Python",
"RND","Microsoft Platforms")</f>
        <v>Jira</v>
      </c>
      <c r="H170">
        <f>VLOOKUP(E170,Roles!$C$1:$D$197,2,FALSE)</f>
        <v>9</v>
      </c>
      <c r="I170" s="1">
        <v>45888</v>
      </c>
      <c r="J170" t="s">
        <v>458</v>
      </c>
      <c r="K170" s="1">
        <v>45939</v>
      </c>
      <c r="N170" t="s">
        <v>53</v>
      </c>
      <c r="P170" t="s">
        <v>54</v>
      </c>
      <c r="Q170" t="str">
        <f t="shared" si="2"/>
        <v>ITES_ITTeam1_System Administrator</v>
      </c>
      <c r="R170">
        <f>VLOOKUP(Q170,Roles!$A$2:$B$300,2,FALSE)</f>
        <v>8</v>
      </c>
    </row>
    <row r="171" spans="1:18">
      <c r="A171" t="s">
        <v>459</v>
      </c>
      <c r="B171" t="s">
        <v>56</v>
      </c>
      <c r="C171" t="s">
        <v>57</v>
      </c>
      <c r="D171" t="s">
        <v>133</v>
      </c>
      <c r="E171" t="s">
        <v>59</v>
      </c>
      <c r="F171" t="s">
        <v>59</v>
      </c>
      <c r="G171" t="str" cm="1">
        <f t="array" ref="G171">_xlfn.SWITCH(C171,
"SAM", "Salesforce",
"ITES","Jira",
"ENGG","Python",
"RND","Microsoft Platforms")</f>
        <v>Jira</v>
      </c>
      <c r="H171">
        <f>VLOOKUP(E171,Roles!$C$1:$D$197,2,FALSE)</f>
        <v>9</v>
      </c>
      <c r="I171" s="1">
        <v>45909</v>
      </c>
      <c r="J171" t="s">
        <v>460</v>
      </c>
      <c r="K171" s="1">
        <v>45971</v>
      </c>
      <c r="L171" s="1">
        <v>45984</v>
      </c>
      <c r="M171" s="1">
        <v>46023</v>
      </c>
      <c r="N171" t="s">
        <v>259</v>
      </c>
      <c r="O171">
        <v>1</v>
      </c>
      <c r="P171" t="s">
        <v>61</v>
      </c>
      <c r="Q171" t="str">
        <f t="shared" si="2"/>
        <v>ITES_ITTeam4_System Administrator</v>
      </c>
      <c r="R171">
        <f>VLOOKUP(Q171,Roles!$A$2:$B$300,2,FALSE)</f>
        <v>129</v>
      </c>
    </row>
    <row r="172" spans="1:18">
      <c r="A172" t="s">
        <v>461</v>
      </c>
      <c r="B172" t="s">
        <v>56</v>
      </c>
      <c r="C172" t="s">
        <v>57</v>
      </c>
      <c r="D172" t="s">
        <v>95</v>
      </c>
      <c r="E172" t="s">
        <v>134</v>
      </c>
      <c r="F172" t="s">
        <v>134</v>
      </c>
      <c r="G172" t="str" cm="1">
        <f t="array" ref="G172">_xlfn.SWITCH(C172,
"SAM", "Salesforce",
"ITES","Jira",
"ENGG","Python",
"RND","Microsoft Platforms")</f>
        <v>Jira</v>
      </c>
      <c r="H172">
        <f>VLOOKUP(E172,Roles!$C$1:$D$197,2,FALSE)</f>
        <v>11</v>
      </c>
      <c r="I172" s="1">
        <v>45915</v>
      </c>
      <c r="J172" t="s">
        <v>193</v>
      </c>
      <c r="K172" s="1">
        <v>45972</v>
      </c>
      <c r="N172" t="s">
        <v>53</v>
      </c>
      <c r="P172" t="s">
        <v>54</v>
      </c>
      <c r="Q172" t="str">
        <f t="shared" si="2"/>
        <v>ITES_ITTeam6_Application Support Analyst</v>
      </c>
      <c r="R172">
        <f>VLOOKUP(Q172,Roles!$A$2:$B$300,2,FALSE)</f>
        <v>79</v>
      </c>
    </row>
    <row r="173" spans="1:18">
      <c r="A173" t="s">
        <v>462</v>
      </c>
      <c r="B173" t="s">
        <v>56</v>
      </c>
      <c r="C173" t="s">
        <v>57</v>
      </c>
      <c r="D173" t="s">
        <v>83</v>
      </c>
      <c r="E173" t="s">
        <v>273</v>
      </c>
      <c r="F173" t="s">
        <v>273</v>
      </c>
      <c r="G173" t="str" cm="1">
        <f t="array" ref="G173">_xlfn.SWITCH(C173,
"SAM", "Salesforce",
"ITES","Jira",
"ENGG","Python",
"RND","Microsoft Platforms")</f>
        <v>Jira</v>
      </c>
      <c r="H173">
        <f>VLOOKUP(E173,Roles!$C$1:$D$197,2,FALSE)</f>
        <v>76</v>
      </c>
      <c r="I173" s="1">
        <v>45916</v>
      </c>
      <c r="J173" t="s">
        <v>463</v>
      </c>
      <c r="K173" s="1">
        <v>45985</v>
      </c>
      <c r="N173" t="s">
        <v>53</v>
      </c>
      <c r="P173" t="s">
        <v>54</v>
      </c>
      <c r="Q173" t="str">
        <f t="shared" si="2"/>
        <v>ITES_ITTeam1_IT Manager</v>
      </c>
      <c r="R173">
        <f>VLOOKUP(Q173,Roles!$A$2:$B$300,2,FALSE)</f>
        <v>130</v>
      </c>
    </row>
    <row r="174" spans="1:18">
      <c r="A174" t="s">
        <v>464</v>
      </c>
      <c r="B174" t="s">
        <v>102</v>
      </c>
      <c r="C174" t="s">
        <v>103</v>
      </c>
      <c r="D174" t="s">
        <v>205</v>
      </c>
      <c r="E174" t="s">
        <v>121</v>
      </c>
      <c r="F174" t="s">
        <v>121</v>
      </c>
      <c r="G174" t="str" cm="1">
        <f t="array" ref="G174">_xlfn.SWITCH(C174,
"SAM", "Salesforce",
"ITES","Jira",
"ENGG","Python",
"RND","Microsoft Platforms")</f>
        <v>Microsoft Platforms</v>
      </c>
      <c r="H174">
        <f>VLOOKUP(E174,Roles!$C$1:$D$197,2,FALSE)</f>
        <v>11</v>
      </c>
      <c r="I174" s="1">
        <v>45904</v>
      </c>
      <c r="J174" t="s">
        <v>465</v>
      </c>
      <c r="K174" s="1">
        <v>45967</v>
      </c>
      <c r="N174" t="s">
        <v>53</v>
      </c>
      <c r="P174" t="s">
        <v>54</v>
      </c>
      <c r="Q174" t="str">
        <f t="shared" si="2"/>
        <v>RND_ResearchTeam2_Research Analyst</v>
      </c>
      <c r="R174">
        <f>VLOOKUP(Q174,Roles!$A$2:$B$300,2,FALSE)</f>
        <v>58</v>
      </c>
    </row>
    <row r="175" spans="1:18">
      <c r="A175" t="s">
        <v>466</v>
      </c>
      <c r="B175" t="s">
        <v>102</v>
      </c>
      <c r="C175" t="s">
        <v>103</v>
      </c>
      <c r="D175" t="s">
        <v>205</v>
      </c>
      <c r="E175" t="s">
        <v>206</v>
      </c>
      <c r="F175" t="s">
        <v>206</v>
      </c>
      <c r="G175" t="str" cm="1">
        <f t="array" ref="G175">_xlfn.SWITCH(C175,
"SAM", "Salesforce",
"ITES","Jira",
"ENGG","Python",
"RND","Microsoft Platforms")</f>
        <v>Microsoft Platforms</v>
      </c>
      <c r="H175">
        <f>VLOOKUP(E175,Roles!$C$1:$D$197,2,FALSE)</f>
        <v>8</v>
      </c>
      <c r="I175" s="1">
        <v>45820</v>
      </c>
      <c r="J175" t="s">
        <v>405</v>
      </c>
      <c r="K175" s="1">
        <v>45876</v>
      </c>
      <c r="L175" s="1">
        <v>45894</v>
      </c>
      <c r="M175" s="1">
        <v>45945</v>
      </c>
      <c r="N175" t="s">
        <v>53</v>
      </c>
      <c r="O175">
        <v>1</v>
      </c>
      <c r="P175" t="s">
        <v>61</v>
      </c>
      <c r="Q175" t="str">
        <f t="shared" si="2"/>
        <v>RND_ResearchTeam2_R&amp;D Manager</v>
      </c>
      <c r="R175">
        <f>VLOOKUP(Q175,Roles!$A$2:$B$300,2,FALSE)</f>
        <v>43</v>
      </c>
    </row>
    <row r="176" spans="1:18">
      <c r="A176" t="s">
        <v>467</v>
      </c>
      <c r="B176" t="s">
        <v>69</v>
      </c>
      <c r="C176" t="s">
        <v>70</v>
      </c>
      <c r="D176" t="s">
        <v>137</v>
      </c>
      <c r="E176" t="s">
        <v>165</v>
      </c>
      <c r="F176" t="s">
        <v>165</v>
      </c>
      <c r="G176" t="str" cm="1">
        <f t="array" ref="G176">_xlfn.SWITCH(C176,
"SAM", "Salesforce",
"ITES","Jira",
"ENGG","Python",
"RND","Microsoft Platforms")</f>
        <v>Python</v>
      </c>
      <c r="H176">
        <f>VLOOKUP(E176,Roles!$C$1:$D$197,2,FALSE)</f>
        <v>3</v>
      </c>
      <c r="I176" s="1">
        <v>45916</v>
      </c>
      <c r="J176" t="s">
        <v>468</v>
      </c>
      <c r="K176" s="1">
        <v>45983</v>
      </c>
      <c r="L176" s="1">
        <v>46003</v>
      </c>
      <c r="M176" s="1">
        <v>46063</v>
      </c>
      <c r="N176" t="s">
        <v>53</v>
      </c>
      <c r="O176">
        <v>0</v>
      </c>
      <c r="P176" t="s">
        <v>61</v>
      </c>
      <c r="Q176" t="str">
        <f t="shared" si="2"/>
        <v>ENGG_EngineeringTeam5_VP Engineering</v>
      </c>
      <c r="R176">
        <f>VLOOKUP(Q176,Roles!$A$2:$B$300,2,FALSE)</f>
        <v>131</v>
      </c>
    </row>
    <row r="177" spans="1:18">
      <c r="A177" t="s">
        <v>469</v>
      </c>
      <c r="B177" t="s">
        <v>48</v>
      </c>
      <c r="C177" t="s">
        <v>49</v>
      </c>
      <c r="D177" t="s">
        <v>50</v>
      </c>
      <c r="E177" t="s">
        <v>51</v>
      </c>
      <c r="F177" t="s">
        <v>51</v>
      </c>
      <c r="G177" t="str" cm="1">
        <f t="array" ref="G177">_xlfn.SWITCH(C177,
"SAM", "Salesforce",
"ITES","Jira",
"ENGG","Python",
"RND","Microsoft Platforms")</f>
        <v>Salesforce</v>
      </c>
      <c r="H177">
        <f>VLOOKUP(E177,Roles!$C$1:$D$197,2,FALSE)</f>
        <v>7</v>
      </c>
      <c r="I177" s="1">
        <v>45839</v>
      </c>
      <c r="J177" t="s">
        <v>470</v>
      </c>
      <c r="K177" s="1">
        <v>45888</v>
      </c>
      <c r="N177" t="s">
        <v>53</v>
      </c>
      <c r="P177" t="s">
        <v>54</v>
      </c>
      <c r="Q177" t="str">
        <f t="shared" si="2"/>
        <v>SAM_SalesTeam4_Brand Manager</v>
      </c>
      <c r="R177">
        <f>VLOOKUP(Q177,Roles!$A$2:$B$300,2,FALSE)</f>
        <v>1</v>
      </c>
    </row>
    <row r="178" spans="1:18">
      <c r="A178" t="s">
        <v>471</v>
      </c>
      <c r="B178" t="s">
        <v>102</v>
      </c>
      <c r="C178" t="s">
        <v>103</v>
      </c>
      <c r="D178" t="s">
        <v>191</v>
      </c>
      <c r="E178" t="s">
        <v>261</v>
      </c>
      <c r="F178" t="s">
        <v>261</v>
      </c>
      <c r="G178" t="str" cm="1">
        <f t="array" ref="G178">_xlfn.SWITCH(C178,
"SAM", "Salesforce",
"ITES","Jira",
"ENGG","Python",
"RND","Microsoft Platforms")</f>
        <v>Microsoft Platforms</v>
      </c>
      <c r="H178">
        <f>VLOOKUP(E178,Roles!$C$1:$D$197,2,FALSE)</f>
        <v>5</v>
      </c>
      <c r="I178" s="1">
        <v>45925</v>
      </c>
      <c r="J178" t="s">
        <v>472</v>
      </c>
      <c r="K178" s="1">
        <v>45983</v>
      </c>
      <c r="N178" t="s">
        <v>53</v>
      </c>
      <c r="P178" t="s">
        <v>54</v>
      </c>
      <c r="Q178" t="str">
        <f t="shared" si="2"/>
        <v>RND_ResearchTeam10_R&amp;D Project Lead</v>
      </c>
      <c r="R178">
        <f>VLOOKUP(Q178,Roles!$A$2:$B$300,2,FALSE)</f>
        <v>132</v>
      </c>
    </row>
    <row r="179" spans="1:18">
      <c r="A179" t="s">
        <v>473</v>
      </c>
      <c r="B179" t="s">
        <v>69</v>
      </c>
      <c r="C179" t="s">
        <v>70</v>
      </c>
      <c r="D179" t="s">
        <v>75</v>
      </c>
      <c r="E179" t="s">
        <v>86</v>
      </c>
      <c r="F179" t="s">
        <v>86</v>
      </c>
      <c r="G179" t="str" cm="1">
        <f t="array" ref="G179">_xlfn.SWITCH(C179,
"SAM", "Salesforce",
"ITES","Jira",
"ENGG","Python",
"RND","Microsoft Platforms")</f>
        <v>Python</v>
      </c>
      <c r="H179">
        <f>VLOOKUP(E179,Roles!$C$1:$D$197,2,FALSE)</f>
        <v>11</v>
      </c>
      <c r="I179" s="1">
        <v>45833</v>
      </c>
      <c r="J179" t="s">
        <v>474</v>
      </c>
      <c r="K179" s="1">
        <v>45898</v>
      </c>
      <c r="N179" t="s">
        <v>53</v>
      </c>
      <c r="P179" t="s">
        <v>54</v>
      </c>
      <c r="Q179" t="str">
        <f t="shared" si="2"/>
        <v>ENGG_EngineeringTeam10_Software Developer 1</v>
      </c>
      <c r="R179">
        <f>VLOOKUP(Q179,Roles!$A$2:$B$300,2,FALSE)</f>
        <v>133</v>
      </c>
    </row>
    <row r="180" spans="1:18">
      <c r="A180" t="s">
        <v>475</v>
      </c>
      <c r="B180" t="s">
        <v>48</v>
      </c>
      <c r="C180" t="s">
        <v>49</v>
      </c>
      <c r="D180" t="s">
        <v>127</v>
      </c>
      <c r="E180" t="s">
        <v>251</v>
      </c>
      <c r="F180" t="s">
        <v>251</v>
      </c>
      <c r="G180" t="str" cm="1">
        <f t="array" ref="G180">_xlfn.SWITCH(C180,
"SAM", "Salesforce",
"ITES","Jira",
"ENGG","Python",
"RND","Microsoft Platforms")</f>
        <v>Salesforce</v>
      </c>
      <c r="H180">
        <f>VLOOKUP(E180,Roles!$C$1:$D$197,2,FALSE)</f>
        <v>7</v>
      </c>
      <c r="I180" s="1">
        <v>45910</v>
      </c>
      <c r="J180" t="s">
        <v>476</v>
      </c>
      <c r="K180" s="1">
        <v>45976</v>
      </c>
      <c r="N180" t="s">
        <v>53</v>
      </c>
      <c r="P180" t="s">
        <v>54</v>
      </c>
      <c r="Q180" t="str">
        <f t="shared" si="2"/>
        <v>SAM_SalesTeam6_Product Marketing Manager</v>
      </c>
      <c r="R180">
        <f>VLOOKUP(Q180,Roles!$A$2:$B$300,2,FALSE)</f>
        <v>57</v>
      </c>
    </row>
    <row r="181" spans="1:18">
      <c r="A181" t="s">
        <v>477</v>
      </c>
      <c r="B181" t="s">
        <v>102</v>
      </c>
      <c r="C181" t="s">
        <v>103</v>
      </c>
      <c r="D181" t="s">
        <v>314</v>
      </c>
      <c r="E181" t="s">
        <v>228</v>
      </c>
      <c r="F181" t="s">
        <v>228</v>
      </c>
      <c r="G181" t="str" cm="1">
        <f t="array" ref="G181">_xlfn.SWITCH(C181,
"SAM", "Salesforce",
"ITES","Jira",
"ENGG","Python",
"RND","Microsoft Platforms")</f>
        <v>Microsoft Platforms</v>
      </c>
      <c r="H181">
        <f>VLOOKUP(E181,Roles!$C$1:$D$197,2,FALSE)</f>
        <v>10</v>
      </c>
      <c r="I181" s="1">
        <v>45861</v>
      </c>
      <c r="J181" t="s">
        <v>395</v>
      </c>
      <c r="K181" s="1">
        <v>45917</v>
      </c>
      <c r="N181" t="s">
        <v>53</v>
      </c>
      <c r="P181" t="s">
        <v>54</v>
      </c>
      <c r="Q181" t="str">
        <f t="shared" si="2"/>
        <v>RND_ResearchTeam1_R&amp;D Engineer</v>
      </c>
      <c r="R181">
        <f>VLOOKUP(Q181,Roles!$A$2:$B$300,2,FALSE)</f>
        <v>134</v>
      </c>
    </row>
    <row r="182" spans="1:18">
      <c r="A182" t="s">
        <v>478</v>
      </c>
      <c r="B182" t="s">
        <v>102</v>
      </c>
      <c r="C182" t="s">
        <v>103</v>
      </c>
      <c r="D182" t="s">
        <v>104</v>
      </c>
      <c r="E182" t="s">
        <v>248</v>
      </c>
      <c r="F182" t="s">
        <v>248</v>
      </c>
      <c r="G182" t="str" cm="1">
        <f t="array" ref="G182">_xlfn.SWITCH(C182,
"SAM", "Salesforce",
"ITES","Jira",
"ENGG","Python",
"RND","Microsoft Platforms")</f>
        <v>Microsoft Platforms</v>
      </c>
      <c r="H182">
        <f>VLOOKUP(E182,Roles!$C$1:$D$197,2,FALSE)</f>
        <v>5</v>
      </c>
      <c r="I182" s="1">
        <v>45820</v>
      </c>
      <c r="J182" t="s">
        <v>233</v>
      </c>
      <c r="K182" s="1">
        <v>45878</v>
      </c>
      <c r="L182" s="1">
        <v>45891</v>
      </c>
      <c r="M182" s="1">
        <v>45979</v>
      </c>
      <c r="N182" t="s">
        <v>53</v>
      </c>
      <c r="O182">
        <v>0</v>
      </c>
      <c r="P182" t="s">
        <v>61</v>
      </c>
      <c r="Q182" t="str">
        <f t="shared" si="2"/>
        <v>RND_ResearchTeam8_Senior R&amp;D Manager</v>
      </c>
      <c r="R182">
        <f>VLOOKUP(Q182,Roles!$A$2:$B$300,2,FALSE)</f>
        <v>135</v>
      </c>
    </row>
    <row r="183" spans="1:18">
      <c r="A183" t="s">
        <v>479</v>
      </c>
      <c r="B183" t="s">
        <v>69</v>
      </c>
      <c r="C183" t="s">
        <v>70</v>
      </c>
      <c r="D183" t="s">
        <v>151</v>
      </c>
      <c r="E183" t="s">
        <v>346</v>
      </c>
      <c r="F183" t="s">
        <v>346</v>
      </c>
      <c r="G183" t="str" cm="1">
        <f t="array" ref="G183">_xlfn.SWITCH(C183,
"SAM", "Salesforce",
"ITES","Jira",
"ENGG","Python",
"RND","Microsoft Platforms")</f>
        <v>Python</v>
      </c>
      <c r="H183">
        <f>VLOOKUP(E183,Roles!$C$1:$D$197,2,FALSE)</f>
        <v>9</v>
      </c>
      <c r="I183" s="1">
        <v>45837</v>
      </c>
      <c r="J183" t="s">
        <v>480</v>
      </c>
      <c r="K183" s="1">
        <v>45905</v>
      </c>
      <c r="N183" t="s">
        <v>259</v>
      </c>
      <c r="P183" t="s">
        <v>54</v>
      </c>
      <c r="Q183" t="str">
        <f t="shared" si="2"/>
        <v>ENGG_EngineeringTeam8_Software Developer 2</v>
      </c>
      <c r="R183">
        <f>VLOOKUP(Q183,Roles!$A$2:$B$300,2,FALSE)</f>
        <v>136</v>
      </c>
    </row>
    <row r="184" spans="1:18">
      <c r="A184" t="s">
        <v>481</v>
      </c>
      <c r="B184" t="s">
        <v>56</v>
      </c>
      <c r="C184" t="s">
        <v>57</v>
      </c>
      <c r="D184" t="s">
        <v>133</v>
      </c>
      <c r="E184" t="s">
        <v>80</v>
      </c>
      <c r="F184" t="s">
        <v>80</v>
      </c>
      <c r="G184" t="str" cm="1">
        <f t="array" ref="G184">_xlfn.SWITCH(C184,
"SAM", "Salesforce",
"ITES","Jira",
"ENGG","Python",
"RND","Microsoft Platforms")</f>
        <v>Jira</v>
      </c>
      <c r="H184">
        <f>VLOOKUP(E184,Roles!$C$1:$D$197,2,FALSE)</f>
        <v>9</v>
      </c>
      <c r="I184" s="1">
        <v>45834</v>
      </c>
      <c r="J184" t="s">
        <v>482</v>
      </c>
      <c r="K184" s="1">
        <v>45887</v>
      </c>
      <c r="L184" s="1">
        <v>45901</v>
      </c>
      <c r="M184" s="1">
        <v>45953</v>
      </c>
      <c r="N184" t="s">
        <v>53</v>
      </c>
      <c r="O184">
        <v>2</v>
      </c>
      <c r="P184" t="s">
        <v>61</v>
      </c>
      <c r="Q184" t="str">
        <f t="shared" si="2"/>
        <v>ITES_ITTeam4_Network Administrator</v>
      </c>
      <c r="R184">
        <f>VLOOKUP(Q184,Roles!$A$2:$B$300,2,FALSE)</f>
        <v>137</v>
      </c>
    </row>
    <row r="185" spans="1:18">
      <c r="A185" t="s">
        <v>483</v>
      </c>
      <c r="B185" t="s">
        <v>48</v>
      </c>
      <c r="C185" t="s">
        <v>49</v>
      </c>
      <c r="D185" t="s">
        <v>92</v>
      </c>
      <c r="E185" t="s">
        <v>142</v>
      </c>
      <c r="F185" t="s">
        <v>142</v>
      </c>
      <c r="G185" t="str" cm="1">
        <f t="array" ref="G185">_xlfn.SWITCH(C185,
"SAM", "Salesforce",
"ITES","Jira",
"ENGG","Python",
"RND","Microsoft Platforms")</f>
        <v>Salesforce</v>
      </c>
      <c r="H185">
        <f>VLOOKUP(E185,Roles!$C$1:$D$197,2,FALSE)</f>
        <v>7</v>
      </c>
      <c r="I185" s="1">
        <v>45828</v>
      </c>
      <c r="J185" t="s">
        <v>484</v>
      </c>
      <c r="K185" s="1">
        <v>45900</v>
      </c>
      <c r="N185" t="s">
        <v>53</v>
      </c>
      <c r="P185" t="s">
        <v>54</v>
      </c>
      <c r="Q185" t="str">
        <f t="shared" si="2"/>
        <v>SAM_SalesTeam5_Sales Manager</v>
      </c>
      <c r="R185">
        <f>VLOOKUP(Q185,Roles!$A$2:$B$300,2,FALSE)</f>
        <v>138</v>
      </c>
    </row>
    <row r="186" spans="1:18">
      <c r="A186" t="s">
        <v>485</v>
      </c>
      <c r="B186" t="s">
        <v>56</v>
      </c>
      <c r="C186" t="s">
        <v>57</v>
      </c>
      <c r="D186" t="s">
        <v>110</v>
      </c>
      <c r="E186" t="s">
        <v>239</v>
      </c>
      <c r="F186" t="s">
        <v>239</v>
      </c>
      <c r="G186" t="str" cm="1">
        <f t="array" ref="G186">_xlfn.SWITCH(C186,
"SAM", "Salesforce",
"ITES","Jira",
"ENGG","Python",
"RND","Microsoft Platforms")</f>
        <v>Jira</v>
      </c>
      <c r="H186">
        <f>VLOOKUP(E186,Roles!$C$1:$D$197,2,FALSE)</f>
        <v>11</v>
      </c>
      <c r="I186" s="1">
        <v>45899</v>
      </c>
      <c r="J186" t="s">
        <v>486</v>
      </c>
      <c r="K186" s="1">
        <v>45950</v>
      </c>
      <c r="N186" t="s">
        <v>53</v>
      </c>
      <c r="P186" t="s">
        <v>54</v>
      </c>
      <c r="Q186" t="str">
        <f t="shared" si="2"/>
        <v>ITES_ITTeam9_Help Desk Technician</v>
      </c>
      <c r="R186">
        <f>VLOOKUP(Q186,Roles!$A$2:$B$300,2,FALSE)</f>
        <v>139</v>
      </c>
    </row>
    <row r="187" spans="1:18">
      <c r="A187" t="s">
        <v>487</v>
      </c>
      <c r="B187" t="s">
        <v>48</v>
      </c>
      <c r="C187" t="s">
        <v>49</v>
      </c>
      <c r="D187" t="s">
        <v>127</v>
      </c>
      <c r="E187" t="s">
        <v>51</v>
      </c>
      <c r="F187" t="s">
        <v>51</v>
      </c>
      <c r="G187" t="str" cm="1">
        <f t="array" ref="G187">_xlfn.SWITCH(C187,
"SAM", "Salesforce",
"ITES","Jira",
"ENGG","Python",
"RND","Microsoft Platforms")</f>
        <v>Salesforce</v>
      </c>
      <c r="H187">
        <f>VLOOKUP(E187,Roles!$C$1:$D$197,2,FALSE)</f>
        <v>7</v>
      </c>
      <c r="I187" s="1">
        <v>45857</v>
      </c>
      <c r="J187" t="s">
        <v>488</v>
      </c>
      <c r="K187" s="1">
        <v>45912</v>
      </c>
      <c r="N187" t="s">
        <v>53</v>
      </c>
      <c r="P187" t="s">
        <v>54</v>
      </c>
      <c r="Q187" t="str">
        <f t="shared" si="2"/>
        <v>SAM_SalesTeam6_Brand Manager</v>
      </c>
      <c r="R187">
        <f>VLOOKUP(Q187,Roles!$A$2:$B$300,2,FALSE)</f>
        <v>140</v>
      </c>
    </row>
    <row r="188" spans="1:18">
      <c r="A188" t="s">
        <v>489</v>
      </c>
      <c r="B188" t="s">
        <v>56</v>
      </c>
      <c r="C188" t="s">
        <v>57</v>
      </c>
      <c r="D188" t="s">
        <v>95</v>
      </c>
      <c r="E188" t="s">
        <v>490</v>
      </c>
      <c r="F188" t="s">
        <v>490</v>
      </c>
      <c r="G188" t="str" cm="1">
        <f t="array" ref="G188">_xlfn.SWITCH(C188,
"SAM", "Salesforce",
"ITES","Jira",
"ENGG","Python",
"RND","Microsoft Platforms")</f>
        <v>Jira</v>
      </c>
      <c r="H188">
        <f>VLOOKUP(E188,Roles!$C$1:$D$197,2,FALSE)</f>
        <v>8</v>
      </c>
      <c r="I188" s="1">
        <v>45864</v>
      </c>
      <c r="J188" t="s">
        <v>491</v>
      </c>
      <c r="K188" s="1">
        <v>45928</v>
      </c>
      <c r="N188" t="s">
        <v>53</v>
      </c>
      <c r="P188" t="s">
        <v>54</v>
      </c>
      <c r="Q188" t="str">
        <f t="shared" si="2"/>
        <v>ITES_ITTeam6_IT Coordinator</v>
      </c>
      <c r="R188">
        <f>VLOOKUP(Q188,Roles!$A$2:$B$300,2,FALSE)</f>
        <v>141</v>
      </c>
    </row>
    <row r="189" spans="1:18">
      <c r="A189" t="s">
        <v>492</v>
      </c>
      <c r="B189" t="s">
        <v>56</v>
      </c>
      <c r="C189" t="s">
        <v>57</v>
      </c>
      <c r="D189" t="s">
        <v>133</v>
      </c>
      <c r="E189" t="s">
        <v>273</v>
      </c>
      <c r="F189" t="s">
        <v>273</v>
      </c>
      <c r="G189" t="str" cm="1">
        <f t="array" ref="G189">_xlfn.SWITCH(C189,
"SAM", "Salesforce",
"ITES","Jira",
"ENGG","Python",
"RND","Microsoft Platforms")</f>
        <v>Jira</v>
      </c>
      <c r="H189">
        <f>VLOOKUP(E189,Roles!$C$1:$D$197,2,FALSE)</f>
        <v>76</v>
      </c>
      <c r="I189" s="1">
        <v>45917</v>
      </c>
      <c r="J189" t="s">
        <v>493</v>
      </c>
      <c r="K189" s="1">
        <v>45972</v>
      </c>
      <c r="N189" t="s">
        <v>53</v>
      </c>
      <c r="P189" t="s">
        <v>54</v>
      </c>
      <c r="Q189" t="str">
        <f t="shared" si="2"/>
        <v>ITES_ITTeam4_IT Manager</v>
      </c>
      <c r="R189">
        <f>VLOOKUP(Q189,Roles!$A$2:$B$300,2,FALSE)</f>
        <v>142</v>
      </c>
    </row>
    <row r="190" spans="1:18">
      <c r="A190" t="s">
        <v>494</v>
      </c>
      <c r="B190" t="s">
        <v>48</v>
      </c>
      <c r="C190" t="s">
        <v>49</v>
      </c>
      <c r="D190" t="s">
        <v>185</v>
      </c>
      <c r="E190" t="s">
        <v>66</v>
      </c>
      <c r="F190" t="s">
        <v>66</v>
      </c>
      <c r="G190" t="str" cm="1">
        <f t="array" ref="G190">_xlfn.SWITCH(C190,
"SAM", "Salesforce",
"ITES","Jira",
"ENGG","Python",
"RND","Microsoft Platforms")</f>
        <v>Salesforce</v>
      </c>
      <c r="H190">
        <f>VLOOKUP(E190,Roles!$C$1:$D$197,2,FALSE)</f>
        <v>4</v>
      </c>
      <c r="I190" s="1">
        <v>45873</v>
      </c>
      <c r="J190" t="s">
        <v>495</v>
      </c>
      <c r="K190" s="1">
        <v>45924</v>
      </c>
      <c r="L190" s="1">
        <v>45934</v>
      </c>
      <c r="M190" s="1">
        <v>45955</v>
      </c>
      <c r="N190" t="s">
        <v>53</v>
      </c>
      <c r="O190">
        <v>0</v>
      </c>
      <c r="P190" t="s">
        <v>61</v>
      </c>
      <c r="Q190" t="str">
        <f t="shared" si="2"/>
        <v>SAM_SalesTeam10_Sales Director</v>
      </c>
      <c r="R190">
        <f>VLOOKUP(Q190,Roles!$A$2:$B$300,2,FALSE)</f>
        <v>74</v>
      </c>
    </row>
    <row r="191" spans="1:18">
      <c r="A191" t="s">
        <v>496</v>
      </c>
      <c r="B191" t="s">
        <v>56</v>
      </c>
      <c r="C191" t="s">
        <v>57</v>
      </c>
      <c r="D191" t="s">
        <v>83</v>
      </c>
      <c r="E191" t="s">
        <v>134</v>
      </c>
      <c r="F191" t="s">
        <v>134</v>
      </c>
      <c r="G191" t="str" cm="1">
        <f t="array" ref="G191">_xlfn.SWITCH(C191,
"SAM", "Salesforce",
"ITES","Jira",
"ENGG","Python",
"RND","Microsoft Platforms")</f>
        <v>Jira</v>
      </c>
      <c r="H191">
        <f>VLOOKUP(E191,Roles!$C$1:$D$197,2,FALSE)</f>
        <v>11</v>
      </c>
      <c r="I191" s="1">
        <v>45880</v>
      </c>
      <c r="J191" t="s">
        <v>497</v>
      </c>
      <c r="K191" s="1">
        <v>45933</v>
      </c>
      <c r="L191" s="1">
        <v>45951</v>
      </c>
      <c r="M191" s="1">
        <v>45963</v>
      </c>
      <c r="N191" t="s">
        <v>259</v>
      </c>
      <c r="O191">
        <v>0</v>
      </c>
      <c r="P191" t="s">
        <v>61</v>
      </c>
      <c r="Q191" t="str">
        <f t="shared" si="2"/>
        <v>ITES_ITTeam1_Application Support Analyst</v>
      </c>
      <c r="R191">
        <f>VLOOKUP(Q191,Roles!$A$2:$B$300,2,FALSE)</f>
        <v>143</v>
      </c>
    </row>
    <row r="192" spans="1:18">
      <c r="A192" t="s">
        <v>498</v>
      </c>
      <c r="B192" t="s">
        <v>69</v>
      </c>
      <c r="C192" t="s">
        <v>70</v>
      </c>
      <c r="D192" t="s">
        <v>164</v>
      </c>
      <c r="E192" t="s">
        <v>165</v>
      </c>
      <c r="F192" t="s">
        <v>165</v>
      </c>
      <c r="G192" t="str" cm="1">
        <f t="array" ref="G192">_xlfn.SWITCH(C192,
"SAM", "Salesforce",
"ITES","Jira",
"ENGG","Python",
"RND","Microsoft Platforms")</f>
        <v>Python</v>
      </c>
      <c r="H192">
        <f>VLOOKUP(E192,Roles!$C$1:$D$197,2,FALSE)</f>
        <v>3</v>
      </c>
      <c r="I192" s="1">
        <v>45925</v>
      </c>
      <c r="J192" t="s">
        <v>499</v>
      </c>
      <c r="K192" s="1">
        <v>45989</v>
      </c>
      <c r="L192" s="1">
        <v>46002</v>
      </c>
      <c r="M192" s="1">
        <v>46016</v>
      </c>
      <c r="N192" t="s">
        <v>53</v>
      </c>
      <c r="O192">
        <v>0</v>
      </c>
      <c r="P192" t="s">
        <v>61</v>
      </c>
      <c r="Q192" t="str">
        <f t="shared" si="2"/>
        <v>ENGG_EngineeringTeam2_VP Engineering</v>
      </c>
      <c r="R192">
        <f>VLOOKUP(Q192,Roles!$A$2:$B$300,2,FALSE)</f>
        <v>31</v>
      </c>
    </row>
    <row r="193" spans="1:18">
      <c r="A193" t="s">
        <v>500</v>
      </c>
      <c r="B193" t="s">
        <v>102</v>
      </c>
      <c r="C193" t="s">
        <v>103</v>
      </c>
      <c r="D193" t="s">
        <v>205</v>
      </c>
      <c r="E193" t="s">
        <v>248</v>
      </c>
      <c r="F193" t="s">
        <v>248</v>
      </c>
      <c r="G193" t="str" cm="1">
        <f t="array" ref="G193">_xlfn.SWITCH(C193,
"SAM", "Salesforce",
"ITES","Jira",
"ENGG","Python",
"RND","Microsoft Platforms")</f>
        <v>Microsoft Platforms</v>
      </c>
      <c r="H193">
        <f>VLOOKUP(E193,Roles!$C$1:$D$197,2,FALSE)</f>
        <v>5</v>
      </c>
      <c r="I193" s="1">
        <v>45901</v>
      </c>
      <c r="J193" t="s">
        <v>501</v>
      </c>
      <c r="K193" s="1">
        <v>45955</v>
      </c>
      <c r="L193" s="1">
        <v>45969</v>
      </c>
      <c r="M193" s="1">
        <v>46017</v>
      </c>
      <c r="N193" t="s">
        <v>53</v>
      </c>
      <c r="O193">
        <v>1</v>
      </c>
      <c r="P193" t="s">
        <v>61</v>
      </c>
      <c r="Q193" t="str">
        <f t="shared" si="2"/>
        <v>RND_ResearchTeam2_Senior R&amp;D Manager</v>
      </c>
      <c r="R193">
        <f>VLOOKUP(Q193,Roles!$A$2:$B$300,2,FALSE)</f>
        <v>144</v>
      </c>
    </row>
    <row r="194" spans="1:18">
      <c r="A194" t="s">
        <v>502</v>
      </c>
      <c r="B194" t="s">
        <v>102</v>
      </c>
      <c r="C194" t="s">
        <v>103</v>
      </c>
      <c r="D194" t="s">
        <v>227</v>
      </c>
      <c r="E194" t="s">
        <v>228</v>
      </c>
      <c r="F194" t="s">
        <v>228</v>
      </c>
      <c r="G194" t="str" cm="1">
        <f t="array" ref="G194">_xlfn.SWITCH(C194,
"SAM", "Salesforce",
"ITES","Jira",
"ENGG","Python",
"RND","Microsoft Platforms")</f>
        <v>Microsoft Platforms</v>
      </c>
      <c r="H194">
        <f>VLOOKUP(E194,Roles!$C$1:$D$197,2,FALSE)</f>
        <v>10</v>
      </c>
      <c r="I194" s="1">
        <v>45927</v>
      </c>
      <c r="J194" t="s">
        <v>503</v>
      </c>
      <c r="K194" s="1">
        <v>46000</v>
      </c>
      <c r="N194" t="s">
        <v>53</v>
      </c>
      <c r="P194" t="s">
        <v>54</v>
      </c>
      <c r="Q194" t="str">
        <f t="shared" si="2"/>
        <v>RND_ResearchTeam5_R&amp;D Engineer</v>
      </c>
      <c r="R194">
        <f>VLOOKUP(Q194,Roles!$A$2:$B$300,2,FALSE)</f>
        <v>49</v>
      </c>
    </row>
    <row r="195" spans="1:18">
      <c r="A195" t="s">
        <v>504</v>
      </c>
      <c r="B195" t="s">
        <v>56</v>
      </c>
      <c r="C195" t="s">
        <v>57</v>
      </c>
      <c r="D195" t="s">
        <v>79</v>
      </c>
      <c r="E195" t="s">
        <v>63</v>
      </c>
      <c r="F195" t="s">
        <v>63</v>
      </c>
      <c r="G195" t="str" cm="1">
        <f t="array" ref="G195">_xlfn.SWITCH(C195,
"SAM", "Salesforce",
"ITES","Jira",
"ENGG","Python",
"RND","Microsoft Platforms")</f>
        <v>Jira</v>
      </c>
      <c r="H195">
        <f>VLOOKUP(E195,Roles!$C$1:$D$197,2,FALSE)</f>
        <v>9</v>
      </c>
      <c r="I195" s="1">
        <v>45825</v>
      </c>
      <c r="J195" t="s">
        <v>505</v>
      </c>
      <c r="K195" s="1">
        <v>45887</v>
      </c>
      <c r="N195" t="s">
        <v>53</v>
      </c>
      <c r="P195" t="s">
        <v>54</v>
      </c>
      <c r="Q195" t="str">
        <f t="shared" ref="Q195:Q258" si="3">CONCATENATE(C195,"_",D195,"_",E195)</f>
        <v>ITES_ITTeam2_IT Support Specialist</v>
      </c>
      <c r="R195">
        <f>VLOOKUP(Q195,Roles!$A$2:$B$300,2,FALSE)</f>
        <v>145</v>
      </c>
    </row>
    <row r="196" spans="1:18">
      <c r="A196" t="s">
        <v>506</v>
      </c>
      <c r="B196" t="s">
        <v>69</v>
      </c>
      <c r="C196" t="s">
        <v>70</v>
      </c>
      <c r="D196" t="s">
        <v>235</v>
      </c>
      <c r="E196" t="s">
        <v>86</v>
      </c>
      <c r="F196" t="s">
        <v>86</v>
      </c>
      <c r="G196" t="str" cm="1">
        <f t="array" ref="G196">_xlfn.SWITCH(C196,
"SAM", "Salesforce",
"ITES","Jira",
"ENGG","Python",
"RND","Microsoft Platforms")</f>
        <v>Python</v>
      </c>
      <c r="H196">
        <f>VLOOKUP(E196,Roles!$C$1:$D$197,2,FALSE)</f>
        <v>11</v>
      </c>
      <c r="I196" s="1">
        <v>45892</v>
      </c>
      <c r="J196" t="s">
        <v>507</v>
      </c>
      <c r="K196" s="1">
        <v>45944</v>
      </c>
      <c r="L196" s="1">
        <v>45955</v>
      </c>
      <c r="M196" s="1">
        <v>45961</v>
      </c>
      <c r="N196" t="s">
        <v>53</v>
      </c>
      <c r="O196">
        <v>1</v>
      </c>
      <c r="P196" t="s">
        <v>61</v>
      </c>
      <c r="Q196" t="str">
        <f t="shared" si="3"/>
        <v>ENGG_EngineeringTeam4_Software Developer 1</v>
      </c>
      <c r="R196">
        <f>VLOOKUP(Q196,Roles!$A$2:$B$300,2,FALSE)</f>
        <v>124</v>
      </c>
    </row>
    <row r="197" spans="1:18">
      <c r="A197" t="s">
        <v>508</v>
      </c>
      <c r="B197" t="s">
        <v>69</v>
      </c>
      <c r="C197" t="s">
        <v>70</v>
      </c>
      <c r="D197" t="s">
        <v>218</v>
      </c>
      <c r="E197" t="s">
        <v>86</v>
      </c>
      <c r="F197" t="s">
        <v>86</v>
      </c>
      <c r="G197" t="str" cm="1">
        <f t="array" ref="G197">_xlfn.SWITCH(C197,
"SAM", "Salesforce",
"ITES","Jira",
"ENGG","Python",
"RND","Microsoft Platforms")</f>
        <v>Python</v>
      </c>
      <c r="H197">
        <f>VLOOKUP(E197,Roles!$C$1:$D$197,2,FALSE)</f>
        <v>11</v>
      </c>
      <c r="I197" s="1">
        <v>45861</v>
      </c>
      <c r="J197" t="s">
        <v>509</v>
      </c>
      <c r="K197" s="1">
        <v>45927</v>
      </c>
      <c r="L197" s="1">
        <v>45939</v>
      </c>
      <c r="M197" s="1">
        <v>46013</v>
      </c>
      <c r="N197" t="s">
        <v>53</v>
      </c>
      <c r="O197">
        <v>2</v>
      </c>
      <c r="P197" t="s">
        <v>61</v>
      </c>
      <c r="Q197" t="str">
        <f t="shared" si="3"/>
        <v>ENGG_EngineeringTeam9_Software Developer 1</v>
      </c>
      <c r="R197">
        <f>VLOOKUP(Q197,Roles!$A$2:$B$300,2,FALSE)</f>
        <v>146</v>
      </c>
    </row>
    <row r="198" spans="1:18">
      <c r="A198" t="s">
        <v>510</v>
      </c>
      <c r="B198" t="s">
        <v>48</v>
      </c>
      <c r="C198" t="s">
        <v>49</v>
      </c>
      <c r="D198" t="s">
        <v>185</v>
      </c>
      <c r="E198" t="s">
        <v>66</v>
      </c>
      <c r="F198" t="s">
        <v>66</v>
      </c>
      <c r="G198" t="str" cm="1">
        <f t="array" ref="G198">_xlfn.SWITCH(C198,
"SAM", "Salesforce",
"ITES","Jira",
"ENGG","Python",
"RND","Microsoft Platforms")</f>
        <v>Salesforce</v>
      </c>
      <c r="H198">
        <f>VLOOKUP(E198,Roles!$C$1:$D$197,2,FALSE)</f>
        <v>4</v>
      </c>
      <c r="I198" s="1">
        <v>45847</v>
      </c>
      <c r="J198" t="s">
        <v>454</v>
      </c>
      <c r="K198" s="1">
        <v>45902</v>
      </c>
      <c r="N198" t="s">
        <v>53</v>
      </c>
      <c r="P198" t="s">
        <v>54</v>
      </c>
      <c r="Q198" t="str">
        <f t="shared" si="3"/>
        <v>SAM_SalesTeam10_Sales Director</v>
      </c>
      <c r="R198">
        <f>VLOOKUP(Q198,Roles!$A$2:$B$300,2,FALSE)</f>
        <v>74</v>
      </c>
    </row>
    <row r="199" spans="1:18">
      <c r="A199" t="s">
        <v>511</v>
      </c>
      <c r="B199" t="s">
        <v>69</v>
      </c>
      <c r="C199" t="s">
        <v>70</v>
      </c>
      <c r="D199" t="s">
        <v>151</v>
      </c>
      <c r="E199" t="s">
        <v>165</v>
      </c>
      <c r="F199" t="s">
        <v>165</v>
      </c>
      <c r="G199" t="str" cm="1">
        <f t="array" ref="G199">_xlfn.SWITCH(C199,
"SAM", "Salesforce",
"ITES","Jira",
"ENGG","Python",
"RND","Microsoft Platforms")</f>
        <v>Python</v>
      </c>
      <c r="H199">
        <f>VLOOKUP(E199,Roles!$C$1:$D$197,2,FALSE)</f>
        <v>3</v>
      </c>
      <c r="I199" s="1">
        <v>45833</v>
      </c>
      <c r="J199" t="s">
        <v>512</v>
      </c>
      <c r="K199" s="1">
        <v>45893</v>
      </c>
      <c r="L199" s="1">
        <v>45905</v>
      </c>
      <c r="M199" s="1">
        <v>45941</v>
      </c>
      <c r="N199" t="s">
        <v>53</v>
      </c>
      <c r="O199">
        <v>1</v>
      </c>
      <c r="P199" t="s">
        <v>61</v>
      </c>
      <c r="Q199" t="str">
        <f t="shared" si="3"/>
        <v>ENGG_EngineeringTeam8_VP Engineering</v>
      </c>
      <c r="R199">
        <f>VLOOKUP(Q199,Roles!$A$2:$B$300,2,FALSE)</f>
        <v>147</v>
      </c>
    </row>
    <row r="200" spans="1:18">
      <c r="A200" t="s">
        <v>513</v>
      </c>
      <c r="B200" t="s">
        <v>48</v>
      </c>
      <c r="C200" t="s">
        <v>49</v>
      </c>
      <c r="D200" t="s">
        <v>432</v>
      </c>
      <c r="E200" t="s">
        <v>66</v>
      </c>
      <c r="F200" t="s">
        <v>66</v>
      </c>
      <c r="G200" t="str" cm="1">
        <f t="array" ref="G200">_xlfn.SWITCH(C200,
"SAM", "Salesforce",
"ITES","Jira",
"ENGG","Python",
"RND","Microsoft Platforms")</f>
        <v>Salesforce</v>
      </c>
      <c r="H200">
        <f>VLOOKUP(E200,Roles!$C$1:$D$197,2,FALSE)</f>
        <v>4</v>
      </c>
      <c r="I200" s="1">
        <v>45842</v>
      </c>
      <c r="J200" t="s">
        <v>514</v>
      </c>
      <c r="K200" s="1">
        <v>45911</v>
      </c>
      <c r="N200" t="s">
        <v>53</v>
      </c>
      <c r="P200" t="s">
        <v>54</v>
      </c>
      <c r="Q200" t="str">
        <f t="shared" si="3"/>
        <v>SAM_SalesTeam9_Sales Director</v>
      </c>
      <c r="R200">
        <f>VLOOKUP(Q200,Roles!$A$2:$B$300,2,FALSE)</f>
        <v>118</v>
      </c>
    </row>
    <row r="201" spans="1:18">
      <c r="A201" t="s">
        <v>515</v>
      </c>
      <c r="B201" t="s">
        <v>48</v>
      </c>
      <c r="C201" t="s">
        <v>49</v>
      </c>
      <c r="D201" t="s">
        <v>89</v>
      </c>
      <c r="E201" t="s">
        <v>66</v>
      </c>
      <c r="F201" t="s">
        <v>66</v>
      </c>
      <c r="G201" t="str" cm="1">
        <f t="array" ref="G201">_xlfn.SWITCH(C201,
"SAM", "Salesforce",
"ITES","Jira",
"ENGG","Python",
"RND","Microsoft Platforms")</f>
        <v>Salesforce</v>
      </c>
      <c r="H201">
        <f>VLOOKUP(E201,Roles!$C$1:$D$197,2,FALSE)</f>
        <v>4</v>
      </c>
      <c r="I201" s="1">
        <v>45920</v>
      </c>
      <c r="J201" t="s">
        <v>516</v>
      </c>
      <c r="K201" s="1">
        <v>45984</v>
      </c>
      <c r="N201" t="s">
        <v>53</v>
      </c>
      <c r="P201" t="s">
        <v>54</v>
      </c>
      <c r="Q201" t="str">
        <f t="shared" si="3"/>
        <v>SAM_SalesTeam3_Sales Director</v>
      </c>
      <c r="R201">
        <f>VLOOKUP(Q201,Roles!$A$2:$B$300,2,FALSE)</f>
        <v>10</v>
      </c>
    </row>
    <row r="202" spans="1:18">
      <c r="A202" t="s">
        <v>517</v>
      </c>
      <c r="B202" t="s">
        <v>69</v>
      </c>
      <c r="C202" t="s">
        <v>70</v>
      </c>
      <c r="D202" t="s">
        <v>71</v>
      </c>
      <c r="E202" t="s">
        <v>346</v>
      </c>
      <c r="F202" t="s">
        <v>346</v>
      </c>
      <c r="G202" t="str" cm="1">
        <f t="array" ref="G202">_xlfn.SWITCH(C202,
"SAM", "Salesforce",
"ITES","Jira",
"ENGG","Python",
"RND","Microsoft Platforms")</f>
        <v>Python</v>
      </c>
      <c r="H202">
        <f>VLOOKUP(E202,Roles!$C$1:$D$197,2,FALSE)</f>
        <v>9</v>
      </c>
      <c r="I202" s="1">
        <v>45836</v>
      </c>
      <c r="J202" t="s">
        <v>518</v>
      </c>
      <c r="K202" s="1">
        <v>45904</v>
      </c>
      <c r="L202" s="1">
        <v>45923</v>
      </c>
      <c r="M202" s="1">
        <v>45991</v>
      </c>
      <c r="N202" t="s">
        <v>53</v>
      </c>
      <c r="O202">
        <v>2</v>
      </c>
      <c r="P202" t="s">
        <v>61</v>
      </c>
      <c r="Q202" t="str">
        <f t="shared" si="3"/>
        <v>ENGG_EngineeringTeam1_Software Developer 2</v>
      </c>
      <c r="R202">
        <f>VLOOKUP(Q202,Roles!$A$2:$B$300,2,FALSE)</f>
        <v>148</v>
      </c>
    </row>
    <row r="203" spans="1:18">
      <c r="A203" t="s">
        <v>519</v>
      </c>
      <c r="B203" t="s">
        <v>48</v>
      </c>
      <c r="C203" t="s">
        <v>49</v>
      </c>
      <c r="D203" t="s">
        <v>432</v>
      </c>
      <c r="E203" t="s">
        <v>142</v>
      </c>
      <c r="F203" t="s">
        <v>142</v>
      </c>
      <c r="G203" t="str" cm="1">
        <f t="array" ref="G203">_xlfn.SWITCH(C203,
"SAM", "Salesforce",
"ITES","Jira",
"ENGG","Python",
"RND","Microsoft Platforms")</f>
        <v>Salesforce</v>
      </c>
      <c r="H203">
        <f>VLOOKUP(E203,Roles!$C$1:$D$197,2,FALSE)</f>
        <v>7</v>
      </c>
      <c r="I203" s="1">
        <v>45822</v>
      </c>
      <c r="J203" t="s">
        <v>520</v>
      </c>
      <c r="K203" s="1">
        <v>45892</v>
      </c>
      <c r="N203" t="s">
        <v>259</v>
      </c>
      <c r="P203" t="s">
        <v>54</v>
      </c>
      <c r="Q203" t="str">
        <f t="shared" si="3"/>
        <v>SAM_SalesTeam9_Sales Manager</v>
      </c>
      <c r="R203">
        <f>VLOOKUP(Q203,Roles!$A$2:$B$300,2,FALSE)</f>
        <v>149</v>
      </c>
    </row>
    <row r="204" spans="1:18">
      <c r="A204" t="s">
        <v>521</v>
      </c>
      <c r="B204" t="s">
        <v>48</v>
      </c>
      <c r="C204" t="s">
        <v>49</v>
      </c>
      <c r="D204" t="s">
        <v>432</v>
      </c>
      <c r="E204" t="s">
        <v>66</v>
      </c>
      <c r="F204" t="s">
        <v>66</v>
      </c>
      <c r="G204" t="str" cm="1">
        <f t="array" ref="G204">_xlfn.SWITCH(C204,
"SAM", "Salesforce",
"ITES","Jira",
"ENGG","Python",
"RND","Microsoft Platforms")</f>
        <v>Salesforce</v>
      </c>
      <c r="H204">
        <f>VLOOKUP(E204,Roles!$C$1:$D$197,2,FALSE)</f>
        <v>4</v>
      </c>
      <c r="I204" s="1">
        <v>45865</v>
      </c>
      <c r="J204" t="s">
        <v>522</v>
      </c>
      <c r="K204" s="1">
        <v>45933</v>
      </c>
      <c r="L204" s="1">
        <v>45947</v>
      </c>
      <c r="M204" s="1">
        <v>46002</v>
      </c>
      <c r="N204" t="s">
        <v>53</v>
      </c>
      <c r="O204">
        <v>2</v>
      </c>
      <c r="P204" t="s">
        <v>61</v>
      </c>
      <c r="Q204" t="str">
        <f t="shared" si="3"/>
        <v>SAM_SalesTeam9_Sales Director</v>
      </c>
      <c r="R204">
        <f>VLOOKUP(Q204,Roles!$A$2:$B$300,2,FALSE)</f>
        <v>118</v>
      </c>
    </row>
    <row r="205" spans="1:18">
      <c r="A205" t="s">
        <v>523</v>
      </c>
      <c r="B205" t="s">
        <v>69</v>
      </c>
      <c r="C205" t="s">
        <v>70</v>
      </c>
      <c r="D205" t="s">
        <v>218</v>
      </c>
      <c r="E205" t="s">
        <v>172</v>
      </c>
      <c r="F205" t="s">
        <v>172</v>
      </c>
      <c r="G205" t="str" cm="1">
        <f t="array" ref="G205">_xlfn.SWITCH(C205,
"SAM", "Salesforce",
"ITES","Jira",
"ENGG","Python",
"RND","Microsoft Platforms")</f>
        <v>Python</v>
      </c>
      <c r="H205">
        <f>VLOOKUP(E205,Roles!$C$1:$D$197,2,FALSE)</f>
        <v>9</v>
      </c>
      <c r="I205" s="1">
        <v>45828</v>
      </c>
      <c r="J205" t="s">
        <v>524</v>
      </c>
      <c r="K205" s="1">
        <v>45882</v>
      </c>
      <c r="N205" t="s">
        <v>53</v>
      </c>
      <c r="P205" t="s">
        <v>54</v>
      </c>
      <c r="Q205" t="str">
        <f t="shared" si="3"/>
        <v>ENGG_EngineeringTeam9_Senior SDE</v>
      </c>
      <c r="R205">
        <f>VLOOKUP(Q205,Roles!$A$2:$B$300,2,FALSE)</f>
        <v>150</v>
      </c>
    </row>
    <row r="206" spans="1:18">
      <c r="A206" t="s">
        <v>525</v>
      </c>
      <c r="B206" t="s">
        <v>56</v>
      </c>
      <c r="C206" t="s">
        <v>57</v>
      </c>
      <c r="D206" t="s">
        <v>95</v>
      </c>
      <c r="E206" t="s">
        <v>340</v>
      </c>
      <c r="F206" t="s">
        <v>340</v>
      </c>
      <c r="G206" t="str" cm="1">
        <f t="array" ref="G206">_xlfn.SWITCH(C206,
"SAM", "Salesforce",
"ITES","Jira",
"ENGG","Python",
"RND","Microsoft Platforms")</f>
        <v>Jira</v>
      </c>
      <c r="H206">
        <f>VLOOKUP(E206,Roles!$C$1:$D$197,2,FALSE)</f>
        <v>10</v>
      </c>
      <c r="I206" s="1">
        <v>45821</v>
      </c>
      <c r="J206" t="s">
        <v>526</v>
      </c>
      <c r="K206" s="1">
        <v>45884</v>
      </c>
      <c r="N206" t="s">
        <v>53</v>
      </c>
      <c r="P206" t="s">
        <v>54</v>
      </c>
      <c r="Q206" t="str">
        <f t="shared" si="3"/>
        <v>ITES_ITTeam6_Desktop Support Specialist</v>
      </c>
      <c r="R206">
        <f>VLOOKUP(Q206,Roles!$A$2:$B$300,2,FALSE)</f>
        <v>88</v>
      </c>
    </row>
    <row r="207" spans="1:18">
      <c r="A207" t="s">
        <v>527</v>
      </c>
      <c r="B207" t="s">
        <v>102</v>
      </c>
      <c r="C207" t="s">
        <v>103</v>
      </c>
      <c r="D207" t="s">
        <v>227</v>
      </c>
      <c r="E207" t="s">
        <v>300</v>
      </c>
      <c r="F207" t="s">
        <v>300</v>
      </c>
      <c r="G207" t="str" cm="1">
        <f t="array" ref="G207">_xlfn.SWITCH(C207,
"SAM", "Salesforce",
"ITES","Jira",
"ENGG","Python",
"RND","Microsoft Platforms")</f>
        <v>Microsoft Platforms</v>
      </c>
      <c r="H207">
        <f>VLOOKUP(E207,Roles!$C$1:$D$197,2,FALSE)</f>
        <v>8</v>
      </c>
      <c r="I207" s="1">
        <v>45864</v>
      </c>
      <c r="J207" t="s">
        <v>528</v>
      </c>
      <c r="K207" s="1">
        <v>45909</v>
      </c>
      <c r="N207" t="s">
        <v>53</v>
      </c>
      <c r="P207" t="s">
        <v>54</v>
      </c>
      <c r="Q207" t="str">
        <f t="shared" si="3"/>
        <v>RND_ResearchTeam5_Research Scientist</v>
      </c>
      <c r="R207">
        <f>VLOOKUP(Q207,Roles!$A$2:$B$300,2,FALSE)</f>
        <v>151</v>
      </c>
    </row>
    <row r="208" spans="1:18">
      <c r="A208" t="s">
        <v>529</v>
      </c>
      <c r="B208" t="s">
        <v>48</v>
      </c>
      <c r="C208" t="s">
        <v>49</v>
      </c>
      <c r="D208" t="s">
        <v>432</v>
      </c>
      <c r="E208" t="s">
        <v>99</v>
      </c>
      <c r="F208" t="s">
        <v>99</v>
      </c>
      <c r="G208" t="str" cm="1">
        <f t="array" ref="G208">_xlfn.SWITCH(C208,
"SAM", "Salesforce",
"ITES","Jira",
"ENGG","Python",
"RND","Microsoft Platforms")</f>
        <v>Salesforce</v>
      </c>
      <c r="H208">
        <f>VLOOKUP(E208,Roles!$C$1:$D$197,2,FALSE)</f>
        <v>10</v>
      </c>
      <c r="I208" s="1">
        <v>45930</v>
      </c>
      <c r="J208" t="s">
        <v>530</v>
      </c>
      <c r="K208" s="1">
        <v>45998</v>
      </c>
      <c r="L208" s="1">
        <v>46017</v>
      </c>
      <c r="M208" s="1">
        <v>46036</v>
      </c>
      <c r="N208" t="s">
        <v>53</v>
      </c>
      <c r="O208">
        <v>2</v>
      </c>
      <c r="P208" t="s">
        <v>61</v>
      </c>
      <c r="Q208" t="str">
        <f t="shared" si="3"/>
        <v>SAM_SalesTeam9_Digital Marketing Specialist</v>
      </c>
      <c r="R208">
        <f>VLOOKUP(Q208,Roles!$A$2:$B$300,2,FALSE)</f>
        <v>152</v>
      </c>
    </row>
    <row r="209" spans="1:18">
      <c r="A209" t="s">
        <v>531</v>
      </c>
      <c r="B209" t="s">
        <v>56</v>
      </c>
      <c r="C209" t="s">
        <v>57</v>
      </c>
      <c r="D209" t="s">
        <v>58</v>
      </c>
      <c r="E209" t="s">
        <v>490</v>
      </c>
      <c r="F209" t="s">
        <v>490</v>
      </c>
      <c r="G209" t="str" cm="1">
        <f t="array" ref="G209">_xlfn.SWITCH(C209,
"SAM", "Salesforce",
"ITES","Jira",
"ENGG","Python",
"RND","Microsoft Platforms")</f>
        <v>Jira</v>
      </c>
      <c r="H209">
        <f>VLOOKUP(E209,Roles!$C$1:$D$197,2,FALSE)</f>
        <v>8</v>
      </c>
      <c r="I209" s="1">
        <v>45912</v>
      </c>
      <c r="J209" t="s">
        <v>532</v>
      </c>
      <c r="K209" s="1">
        <v>45977</v>
      </c>
      <c r="N209" t="s">
        <v>53</v>
      </c>
      <c r="P209" t="s">
        <v>54</v>
      </c>
      <c r="Q209" t="str">
        <f t="shared" si="3"/>
        <v>ITES_ITTeam5_IT Coordinator</v>
      </c>
      <c r="R209">
        <f>VLOOKUP(Q209,Roles!$A$2:$B$300,2,FALSE)</f>
        <v>153</v>
      </c>
    </row>
    <row r="210" spans="1:18">
      <c r="A210" t="s">
        <v>533</v>
      </c>
      <c r="B210" t="s">
        <v>48</v>
      </c>
      <c r="C210" t="s">
        <v>49</v>
      </c>
      <c r="D210" t="s">
        <v>209</v>
      </c>
      <c r="E210" t="s">
        <v>99</v>
      </c>
      <c r="F210" t="s">
        <v>99</v>
      </c>
      <c r="G210" t="str" cm="1">
        <f t="array" ref="G210">_xlfn.SWITCH(C210,
"SAM", "Salesforce",
"ITES","Jira",
"ENGG","Python",
"RND","Microsoft Platforms")</f>
        <v>Salesforce</v>
      </c>
      <c r="H210">
        <f>VLOOKUP(E210,Roles!$C$1:$D$197,2,FALSE)</f>
        <v>10</v>
      </c>
      <c r="I210" s="1">
        <v>45915</v>
      </c>
      <c r="J210" t="s">
        <v>534</v>
      </c>
      <c r="K210" s="1">
        <v>45983</v>
      </c>
      <c r="L210" s="1">
        <v>46002</v>
      </c>
      <c r="M210" s="1">
        <v>46051</v>
      </c>
      <c r="N210" t="s">
        <v>53</v>
      </c>
      <c r="O210">
        <v>1</v>
      </c>
      <c r="P210" t="s">
        <v>61</v>
      </c>
      <c r="Q210" t="str">
        <f t="shared" si="3"/>
        <v>SAM_SalesTeam7_Digital Marketing Specialist</v>
      </c>
      <c r="R210">
        <f>VLOOKUP(Q210,Roles!$A$2:$B$300,2,FALSE)</f>
        <v>154</v>
      </c>
    </row>
    <row r="211" spans="1:18">
      <c r="A211" t="s">
        <v>535</v>
      </c>
      <c r="B211" t="s">
        <v>102</v>
      </c>
      <c r="C211" t="s">
        <v>103</v>
      </c>
      <c r="D211" t="s">
        <v>205</v>
      </c>
      <c r="E211" t="s">
        <v>228</v>
      </c>
      <c r="F211" t="s">
        <v>228</v>
      </c>
      <c r="G211" t="str" cm="1">
        <f t="array" ref="G211">_xlfn.SWITCH(C211,
"SAM", "Salesforce",
"ITES","Jira",
"ENGG","Python",
"RND","Microsoft Platforms")</f>
        <v>Microsoft Platforms</v>
      </c>
      <c r="H211">
        <f>VLOOKUP(E211,Roles!$C$1:$D$197,2,FALSE)</f>
        <v>10</v>
      </c>
      <c r="I211" s="1">
        <v>45894</v>
      </c>
      <c r="J211" t="s">
        <v>536</v>
      </c>
      <c r="K211" s="1">
        <v>45969</v>
      </c>
      <c r="L211" s="1">
        <v>45981</v>
      </c>
      <c r="M211" s="1">
        <v>46021</v>
      </c>
      <c r="N211" t="s">
        <v>53</v>
      </c>
      <c r="O211">
        <v>1</v>
      </c>
      <c r="P211" t="s">
        <v>61</v>
      </c>
      <c r="Q211" t="str">
        <f t="shared" si="3"/>
        <v>RND_ResearchTeam2_R&amp;D Engineer</v>
      </c>
      <c r="R211">
        <f>VLOOKUP(Q211,Roles!$A$2:$B$300,2,FALSE)</f>
        <v>117</v>
      </c>
    </row>
    <row r="212" spans="1:18">
      <c r="A212" t="s">
        <v>537</v>
      </c>
      <c r="B212" t="s">
        <v>102</v>
      </c>
      <c r="C212" t="s">
        <v>103</v>
      </c>
      <c r="D212" t="s">
        <v>120</v>
      </c>
      <c r="E212" t="s">
        <v>105</v>
      </c>
      <c r="F212" t="s">
        <v>105</v>
      </c>
      <c r="G212" t="str" cm="1">
        <f t="array" ref="G212">_xlfn.SWITCH(C212,
"SAM", "Salesforce",
"ITES","Jira",
"ENGG","Python",
"RND","Microsoft Platforms")</f>
        <v>Microsoft Platforms</v>
      </c>
      <c r="H212">
        <f>VLOOKUP(E212,Roles!$C$1:$D$197,2,FALSE)</f>
        <v>8</v>
      </c>
      <c r="I212" s="1">
        <v>45841</v>
      </c>
      <c r="J212" t="s">
        <v>538</v>
      </c>
      <c r="K212" s="1">
        <v>45895</v>
      </c>
      <c r="N212" t="s">
        <v>53</v>
      </c>
      <c r="P212" t="s">
        <v>54</v>
      </c>
      <c r="Q212" t="str">
        <f t="shared" si="3"/>
        <v>RND_ResearchTeam9_Innovation Manager</v>
      </c>
      <c r="R212">
        <f>VLOOKUP(Q212,Roles!$A$2:$B$300,2,FALSE)</f>
        <v>155</v>
      </c>
    </row>
    <row r="213" spans="1:18">
      <c r="A213" t="s">
        <v>539</v>
      </c>
      <c r="B213" t="s">
        <v>56</v>
      </c>
      <c r="C213" t="s">
        <v>57</v>
      </c>
      <c r="D213" t="s">
        <v>133</v>
      </c>
      <c r="E213" t="s">
        <v>340</v>
      </c>
      <c r="F213" t="s">
        <v>340</v>
      </c>
      <c r="G213" t="str" cm="1">
        <f t="array" ref="G213">_xlfn.SWITCH(C213,
"SAM", "Salesforce",
"ITES","Jira",
"ENGG","Python",
"RND","Microsoft Platforms")</f>
        <v>Jira</v>
      </c>
      <c r="H213">
        <f>VLOOKUP(E213,Roles!$C$1:$D$197,2,FALSE)</f>
        <v>10</v>
      </c>
      <c r="I213" s="1">
        <v>45854</v>
      </c>
      <c r="J213" t="s">
        <v>493</v>
      </c>
      <c r="K213" s="1">
        <v>45907</v>
      </c>
      <c r="N213" t="s">
        <v>53</v>
      </c>
      <c r="P213" t="s">
        <v>54</v>
      </c>
      <c r="Q213" t="str">
        <f t="shared" si="3"/>
        <v>ITES_ITTeam4_Desktop Support Specialist</v>
      </c>
      <c r="R213">
        <f>VLOOKUP(Q213,Roles!$A$2:$B$300,2,FALSE)</f>
        <v>156</v>
      </c>
    </row>
    <row r="214" spans="1:18">
      <c r="A214" t="s">
        <v>540</v>
      </c>
      <c r="B214" t="s">
        <v>102</v>
      </c>
      <c r="C214" t="s">
        <v>103</v>
      </c>
      <c r="D214" t="s">
        <v>130</v>
      </c>
      <c r="E214" t="s">
        <v>206</v>
      </c>
      <c r="F214" t="s">
        <v>206</v>
      </c>
      <c r="G214" t="str" cm="1">
        <f t="array" ref="G214">_xlfn.SWITCH(C214,
"SAM", "Salesforce",
"ITES","Jira",
"ENGG","Python",
"RND","Microsoft Platforms")</f>
        <v>Microsoft Platforms</v>
      </c>
      <c r="H214">
        <f>VLOOKUP(E214,Roles!$C$1:$D$197,2,FALSE)</f>
        <v>8</v>
      </c>
      <c r="I214" s="1">
        <v>45922</v>
      </c>
      <c r="J214" t="s">
        <v>480</v>
      </c>
      <c r="K214" s="1">
        <v>45984</v>
      </c>
      <c r="L214" s="1">
        <v>46004</v>
      </c>
      <c r="M214" s="1">
        <v>46031</v>
      </c>
      <c r="N214" t="s">
        <v>53</v>
      </c>
      <c r="O214">
        <v>0</v>
      </c>
      <c r="P214" t="s">
        <v>61</v>
      </c>
      <c r="Q214" t="str">
        <f t="shared" si="3"/>
        <v>RND_ResearchTeam3_R&amp;D Manager</v>
      </c>
      <c r="R214">
        <f>VLOOKUP(Q214,Roles!$A$2:$B$300,2,FALSE)</f>
        <v>157</v>
      </c>
    </row>
    <row r="215" spans="1:18">
      <c r="A215" t="s">
        <v>541</v>
      </c>
      <c r="B215" t="s">
        <v>69</v>
      </c>
      <c r="C215" t="s">
        <v>70</v>
      </c>
      <c r="D215" t="s">
        <v>235</v>
      </c>
      <c r="E215" t="s">
        <v>346</v>
      </c>
      <c r="F215" t="s">
        <v>346</v>
      </c>
      <c r="G215" t="str" cm="1">
        <f t="array" ref="G215">_xlfn.SWITCH(C215,
"SAM", "Salesforce",
"ITES","Jira",
"ENGG","Python",
"RND","Microsoft Platforms")</f>
        <v>Python</v>
      </c>
      <c r="H215">
        <f>VLOOKUP(E215,Roles!$C$1:$D$197,2,FALSE)</f>
        <v>9</v>
      </c>
      <c r="I215" s="1">
        <v>45860</v>
      </c>
      <c r="J215" t="s">
        <v>542</v>
      </c>
      <c r="K215" s="1">
        <v>45935</v>
      </c>
      <c r="N215" t="s">
        <v>53</v>
      </c>
      <c r="P215" t="s">
        <v>54</v>
      </c>
      <c r="Q215" t="str">
        <f t="shared" si="3"/>
        <v>ENGG_EngineeringTeam4_Software Developer 2</v>
      </c>
      <c r="R215">
        <f>VLOOKUP(Q215,Roles!$A$2:$B$300,2,FALSE)</f>
        <v>158</v>
      </c>
    </row>
    <row r="216" spans="1:18">
      <c r="A216" t="s">
        <v>543</v>
      </c>
      <c r="B216" t="s">
        <v>69</v>
      </c>
      <c r="C216" t="s">
        <v>70</v>
      </c>
      <c r="D216" t="s">
        <v>71</v>
      </c>
      <c r="E216" t="s">
        <v>86</v>
      </c>
      <c r="F216" t="s">
        <v>86</v>
      </c>
      <c r="G216" t="str" cm="1">
        <f t="array" ref="G216">_xlfn.SWITCH(C216,
"SAM", "Salesforce",
"ITES","Jira",
"ENGG","Python",
"RND","Microsoft Platforms")</f>
        <v>Python</v>
      </c>
      <c r="H216">
        <f>VLOOKUP(E216,Roles!$C$1:$D$197,2,FALSE)</f>
        <v>11</v>
      </c>
      <c r="I216" s="1">
        <v>45854</v>
      </c>
      <c r="J216" t="s">
        <v>246</v>
      </c>
      <c r="K216" s="1">
        <v>45924</v>
      </c>
      <c r="N216" t="s">
        <v>53</v>
      </c>
      <c r="P216" t="s">
        <v>54</v>
      </c>
      <c r="Q216" t="str">
        <f t="shared" si="3"/>
        <v>ENGG_EngineeringTeam1_Software Developer 1</v>
      </c>
      <c r="R216">
        <f>VLOOKUP(Q216,Roles!$A$2:$B$300,2,FALSE)</f>
        <v>9</v>
      </c>
    </row>
    <row r="217" spans="1:18">
      <c r="A217" t="s">
        <v>544</v>
      </c>
      <c r="B217" t="s">
        <v>56</v>
      </c>
      <c r="C217" t="s">
        <v>57</v>
      </c>
      <c r="D217" t="s">
        <v>58</v>
      </c>
      <c r="E217" t="s">
        <v>161</v>
      </c>
      <c r="F217" t="s">
        <v>161</v>
      </c>
      <c r="G217" t="str" cm="1">
        <f t="array" ref="G217">_xlfn.SWITCH(C217,
"SAM", "Salesforce",
"ITES","Jira",
"ENGG","Python",
"RND","Microsoft Platforms")</f>
        <v>Jira</v>
      </c>
      <c r="H217">
        <f>VLOOKUP(E217,Roles!$C$1:$D$197,2,FALSE)</f>
        <v>10</v>
      </c>
      <c r="I217" s="1">
        <v>45815</v>
      </c>
      <c r="J217" t="s">
        <v>545</v>
      </c>
      <c r="K217" s="1">
        <v>45866</v>
      </c>
      <c r="L217" s="1">
        <v>45880</v>
      </c>
      <c r="M217" s="1">
        <v>45904</v>
      </c>
      <c r="N217" t="s">
        <v>53</v>
      </c>
      <c r="O217">
        <v>1</v>
      </c>
      <c r="P217" t="s">
        <v>61</v>
      </c>
      <c r="Q217" t="str">
        <f t="shared" si="3"/>
        <v>ITES_ITTeam5_Computer Technician</v>
      </c>
      <c r="R217">
        <f>VLOOKUP(Q217,Roles!$A$2:$B$300,2,FALSE)</f>
        <v>159</v>
      </c>
    </row>
    <row r="218" spans="1:18">
      <c r="A218" t="s">
        <v>546</v>
      </c>
      <c r="B218" t="s">
        <v>69</v>
      </c>
      <c r="C218" t="s">
        <v>70</v>
      </c>
      <c r="D218" t="s">
        <v>218</v>
      </c>
      <c r="E218" t="s">
        <v>165</v>
      </c>
      <c r="F218" t="s">
        <v>165</v>
      </c>
      <c r="G218" t="str" cm="1">
        <f t="array" ref="G218">_xlfn.SWITCH(C218,
"SAM", "Salesforce",
"ITES","Jira",
"ENGG","Python",
"RND","Microsoft Platforms")</f>
        <v>Python</v>
      </c>
      <c r="H218">
        <f>VLOOKUP(E218,Roles!$C$1:$D$197,2,FALSE)</f>
        <v>3</v>
      </c>
      <c r="I218" s="1">
        <v>45917</v>
      </c>
      <c r="J218" t="s">
        <v>125</v>
      </c>
      <c r="K218" s="1">
        <v>45992</v>
      </c>
      <c r="L218" s="1">
        <v>46004</v>
      </c>
      <c r="M218" s="1">
        <v>46032</v>
      </c>
      <c r="N218" t="s">
        <v>53</v>
      </c>
      <c r="O218">
        <v>1</v>
      </c>
      <c r="P218" t="s">
        <v>61</v>
      </c>
      <c r="Q218" t="str">
        <f t="shared" si="3"/>
        <v>ENGG_EngineeringTeam9_VP Engineering</v>
      </c>
      <c r="R218">
        <f>VLOOKUP(Q218,Roles!$A$2:$B$300,2,FALSE)</f>
        <v>160</v>
      </c>
    </row>
    <row r="219" spans="1:18">
      <c r="A219" t="s">
        <v>547</v>
      </c>
      <c r="B219" t="s">
        <v>56</v>
      </c>
      <c r="C219" t="s">
        <v>57</v>
      </c>
      <c r="D219" t="s">
        <v>133</v>
      </c>
      <c r="E219" t="s">
        <v>134</v>
      </c>
      <c r="F219" t="s">
        <v>134</v>
      </c>
      <c r="G219" t="str" cm="1">
        <f t="array" ref="G219">_xlfn.SWITCH(C219,
"SAM", "Salesforce",
"ITES","Jira",
"ENGG","Python",
"RND","Microsoft Platforms")</f>
        <v>Jira</v>
      </c>
      <c r="H219">
        <f>VLOOKUP(E219,Roles!$C$1:$D$197,2,FALSE)</f>
        <v>11</v>
      </c>
      <c r="I219" s="1">
        <v>45919</v>
      </c>
      <c r="J219" t="s">
        <v>548</v>
      </c>
      <c r="K219" s="1">
        <v>45980</v>
      </c>
      <c r="L219" s="1">
        <v>45999</v>
      </c>
      <c r="M219" s="1">
        <v>46056</v>
      </c>
      <c r="N219" t="s">
        <v>53</v>
      </c>
      <c r="O219">
        <v>1</v>
      </c>
      <c r="P219" t="s">
        <v>61</v>
      </c>
      <c r="Q219" t="str">
        <f t="shared" si="3"/>
        <v>ITES_ITTeam4_Application Support Analyst</v>
      </c>
      <c r="R219">
        <f>VLOOKUP(Q219,Roles!$A$2:$B$300,2,FALSE)</f>
        <v>23</v>
      </c>
    </row>
    <row r="220" spans="1:18">
      <c r="A220" t="s">
        <v>549</v>
      </c>
      <c r="B220" t="s">
        <v>69</v>
      </c>
      <c r="C220" t="s">
        <v>70</v>
      </c>
      <c r="D220" t="s">
        <v>137</v>
      </c>
      <c r="E220" t="s">
        <v>172</v>
      </c>
      <c r="F220" t="s">
        <v>172</v>
      </c>
      <c r="G220" t="str" cm="1">
        <f t="array" ref="G220">_xlfn.SWITCH(C220,
"SAM", "Salesforce",
"ITES","Jira",
"ENGG","Python",
"RND","Microsoft Platforms")</f>
        <v>Python</v>
      </c>
      <c r="H220">
        <f>VLOOKUP(E220,Roles!$C$1:$D$197,2,FALSE)</f>
        <v>9</v>
      </c>
      <c r="I220" s="1">
        <v>45900</v>
      </c>
      <c r="J220" t="s">
        <v>550</v>
      </c>
      <c r="K220" s="1">
        <v>45951</v>
      </c>
      <c r="N220" t="s">
        <v>53</v>
      </c>
      <c r="P220" t="s">
        <v>54</v>
      </c>
      <c r="Q220" t="str">
        <f t="shared" si="3"/>
        <v>ENGG_EngineeringTeam5_Senior SDE</v>
      </c>
      <c r="R220">
        <f>VLOOKUP(Q220,Roles!$A$2:$B$300,2,FALSE)</f>
        <v>39</v>
      </c>
    </row>
    <row r="221" spans="1:18">
      <c r="A221" t="s">
        <v>551</v>
      </c>
      <c r="B221" t="s">
        <v>102</v>
      </c>
      <c r="C221" t="s">
        <v>103</v>
      </c>
      <c r="D221" t="s">
        <v>130</v>
      </c>
      <c r="E221" t="s">
        <v>248</v>
      </c>
      <c r="F221" t="s">
        <v>248</v>
      </c>
      <c r="G221" t="str" cm="1">
        <f t="array" ref="G221">_xlfn.SWITCH(C221,
"SAM", "Salesforce",
"ITES","Jira",
"ENGG","Python",
"RND","Microsoft Platforms")</f>
        <v>Microsoft Platforms</v>
      </c>
      <c r="H221">
        <f>VLOOKUP(E221,Roles!$C$1:$D$197,2,FALSE)</f>
        <v>5</v>
      </c>
      <c r="I221" s="1">
        <v>45846</v>
      </c>
      <c r="J221" t="s">
        <v>552</v>
      </c>
      <c r="K221" s="1">
        <v>45908</v>
      </c>
      <c r="L221" s="1">
        <v>45921</v>
      </c>
      <c r="M221" s="1">
        <v>45957</v>
      </c>
      <c r="N221" t="s">
        <v>53</v>
      </c>
      <c r="O221">
        <v>1</v>
      </c>
      <c r="P221" t="s">
        <v>61</v>
      </c>
      <c r="Q221" t="str">
        <f t="shared" si="3"/>
        <v>RND_ResearchTeam3_Senior R&amp;D Manager</v>
      </c>
      <c r="R221">
        <f>VLOOKUP(Q221,Roles!$A$2:$B$300,2,FALSE)</f>
        <v>56</v>
      </c>
    </row>
    <row r="222" spans="1:18">
      <c r="A222" t="s">
        <v>553</v>
      </c>
      <c r="B222" t="s">
        <v>56</v>
      </c>
      <c r="C222" t="s">
        <v>57</v>
      </c>
      <c r="D222" t="s">
        <v>58</v>
      </c>
      <c r="E222" t="s">
        <v>490</v>
      </c>
      <c r="F222" t="s">
        <v>490</v>
      </c>
      <c r="G222" t="str" cm="1">
        <f t="array" ref="G222">_xlfn.SWITCH(C222,
"SAM", "Salesforce",
"ITES","Jira",
"ENGG","Python",
"RND","Microsoft Platforms")</f>
        <v>Jira</v>
      </c>
      <c r="H222">
        <f>VLOOKUP(E222,Roles!$C$1:$D$197,2,FALSE)</f>
        <v>8</v>
      </c>
      <c r="I222" s="1">
        <v>45894</v>
      </c>
      <c r="J222" t="s">
        <v>554</v>
      </c>
      <c r="K222" s="1">
        <v>45946</v>
      </c>
      <c r="N222" t="s">
        <v>53</v>
      </c>
      <c r="P222" t="s">
        <v>54</v>
      </c>
      <c r="Q222" t="str">
        <f t="shared" si="3"/>
        <v>ITES_ITTeam5_IT Coordinator</v>
      </c>
      <c r="R222">
        <f>VLOOKUP(Q222,Roles!$A$2:$B$300,2,FALSE)</f>
        <v>153</v>
      </c>
    </row>
    <row r="223" spans="1:18">
      <c r="A223" t="s">
        <v>555</v>
      </c>
      <c r="B223" t="s">
        <v>69</v>
      </c>
      <c r="C223" t="s">
        <v>70</v>
      </c>
      <c r="D223" t="s">
        <v>164</v>
      </c>
      <c r="E223" t="s">
        <v>172</v>
      </c>
      <c r="F223" t="s">
        <v>172</v>
      </c>
      <c r="G223" t="str" cm="1">
        <f t="array" ref="G223">_xlfn.SWITCH(C223,
"SAM", "Salesforce",
"ITES","Jira",
"ENGG","Python",
"RND","Microsoft Platforms")</f>
        <v>Python</v>
      </c>
      <c r="H223">
        <f>VLOOKUP(E223,Roles!$C$1:$D$197,2,FALSE)</f>
        <v>9</v>
      </c>
      <c r="I223" s="1">
        <v>45837</v>
      </c>
      <c r="J223" t="s">
        <v>556</v>
      </c>
      <c r="K223" s="1">
        <v>45887</v>
      </c>
      <c r="L223" s="1">
        <v>45899</v>
      </c>
      <c r="M223" s="1">
        <v>45929</v>
      </c>
      <c r="N223" t="s">
        <v>53</v>
      </c>
      <c r="O223">
        <v>2</v>
      </c>
      <c r="P223" t="s">
        <v>61</v>
      </c>
      <c r="Q223" t="str">
        <f t="shared" si="3"/>
        <v>ENGG_EngineeringTeam2_Senior SDE</v>
      </c>
      <c r="R223">
        <f>VLOOKUP(Q223,Roles!$A$2:$B$300,2,FALSE)</f>
        <v>161</v>
      </c>
    </row>
    <row r="224" spans="1:18">
      <c r="A224" t="s">
        <v>557</v>
      </c>
      <c r="B224" t="s">
        <v>102</v>
      </c>
      <c r="C224" t="s">
        <v>103</v>
      </c>
      <c r="D224" t="s">
        <v>124</v>
      </c>
      <c r="E224" t="s">
        <v>121</v>
      </c>
      <c r="F224" t="s">
        <v>121</v>
      </c>
      <c r="G224" t="str" cm="1">
        <f t="array" ref="G224">_xlfn.SWITCH(C224,
"SAM", "Salesforce",
"ITES","Jira",
"ENGG","Python",
"RND","Microsoft Platforms")</f>
        <v>Microsoft Platforms</v>
      </c>
      <c r="H224">
        <f>VLOOKUP(E224,Roles!$C$1:$D$197,2,FALSE)</f>
        <v>11</v>
      </c>
      <c r="I224" s="1">
        <v>45866</v>
      </c>
      <c r="J224" t="s">
        <v>558</v>
      </c>
      <c r="K224" s="1">
        <v>45937</v>
      </c>
      <c r="N224" t="s">
        <v>259</v>
      </c>
      <c r="P224" t="s">
        <v>54</v>
      </c>
      <c r="Q224" t="str">
        <f t="shared" si="3"/>
        <v>RND_ResearchTeam7_Research Analyst</v>
      </c>
      <c r="R224">
        <f>VLOOKUP(Q224,Roles!$A$2:$B$300,2,FALSE)</f>
        <v>20</v>
      </c>
    </row>
    <row r="225" spans="1:18">
      <c r="A225" t="s">
        <v>559</v>
      </c>
      <c r="B225" t="s">
        <v>48</v>
      </c>
      <c r="C225" t="s">
        <v>49</v>
      </c>
      <c r="D225" t="s">
        <v>185</v>
      </c>
      <c r="E225" t="s">
        <v>51</v>
      </c>
      <c r="F225" t="s">
        <v>51</v>
      </c>
      <c r="G225" t="str" cm="1">
        <f t="array" ref="G225">_xlfn.SWITCH(C225,
"SAM", "Salesforce",
"ITES","Jira",
"ENGG","Python",
"RND","Microsoft Platforms")</f>
        <v>Salesforce</v>
      </c>
      <c r="H225">
        <f>VLOOKUP(E225,Roles!$C$1:$D$197,2,FALSE)</f>
        <v>7</v>
      </c>
      <c r="I225" s="1">
        <v>45832</v>
      </c>
      <c r="J225" t="s">
        <v>560</v>
      </c>
      <c r="K225" s="1">
        <v>45881</v>
      </c>
      <c r="L225" s="1">
        <v>45896</v>
      </c>
      <c r="M225" s="1">
        <v>45961</v>
      </c>
      <c r="N225" t="s">
        <v>53</v>
      </c>
      <c r="O225">
        <v>0</v>
      </c>
      <c r="P225" t="s">
        <v>61</v>
      </c>
      <c r="Q225" t="str">
        <f t="shared" si="3"/>
        <v>SAM_SalesTeam10_Brand Manager</v>
      </c>
      <c r="R225">
        <f>VLOOKUP(Q225,Roles!$A$2:$B$300,2,FALSE)</f>
        <v>162</v>
      </c>
    </row>
    <row r="226" spans="1:18">
      <c r="A226" t="s">
        <v>561</v>
      </c>
      <c r="B226" t="s">
        <v>56</v>
      </c>
      <c r="C226" t="s">
        <v>57</v>
      </c>
      <c r="D226" t="s">
        <v>83</v>
      </c>
      <c r="E226" t="s">
        <v>200</v>
      </c>
      <c r="F226" t="s">
        <v>200</v>
      </c>
      <c r="G226" t="str" cm="1">
        <f t="array" ref="G226">_xlfn.SWITCH(C226,
"SAM", "Salesforce",
"ITES","Jira",
"ENGG","Python",
"RND","Microsoft Platforms")</f>
        <v>Jira</v>
      </c>
      <c r="H226">
        <f>VLOOKUP(E226,Roles!$C$1:$D$197,2,FALSE)</f>
        <v>10</v>
      </c>
      <c r="I226" s="1">
        <v>45901</v>
      </c>
      <c r="J226" t="s">
        <v>562</v>
      </c>
      <c r="K226" s="1">
        <v>45963</v>
      </c>
      <c r="N226" t="s">
        <v>53</v>
      </c>
      <c r="P226" t="s">
        <v>54</v>
      </c>
      <c r="Q226" t="str">
        <f t="shared" si="3"/>
        <v>ITES_ITTeam1_Field Service Technician</v>
      </c>
      <c r="R226">
        <f>VLOOKUP(Q226,Roles!$A$2:$B$300,2,FALSE)</f>
        <v>53</v>
      </c>
    </row>
    <row r="227" spans="1:18">
      <c r="A227" t="s">
        <v>563</v>
      </c>
      <c r="B227" t="s">
        <v>56</v>
      </c>
      <c r="C227" t="s">
        <v>57</v>
      </c>
      <c r="D227" t="s">
        <v>113</v>
      </c>
      <c r="E227" t="s">
        <v>200</v>
      </c>
      <c r="F227" t="s">
        <v>200</v>
      </c>
      <c r="G227" t="str" cm="1">
        <f t="array" ref="G227">_xlfn.SWITCH(C227,
"SAM", "Salesforce",
"ITES","Jira",
"ENGG","Python",
"RND","Microsoft Platforms")</f>
        <v>Jira</v>
      </c>
      <c r="H227">
        <f>VLOOKUP(E227,Roles!$C$1:$D$197,2,FALSE)</f>
        <v>10</v>
      </c>
      <c r="I227" s="1">
        <v>45844</v>
      </c>
      <c r="J227" t="s">
        <v>564</v>
      </c>
      <c r="K227" s="1">
        <v>45912</v>
      </c>
      <c r="N227" t="s">
        <v>53</v>
      </c>
      <c r="P227" t="s">
        <v>54</v>
      </c>
      <c r="Q227" t="str">
        <f t="shared" si="3"/>
        <v>ITES_ITTeam3_Field Service Technician</v>
      </c>
      <c r="R227">
        <f>VLOOKUP(Q227,Roles!$A$2:$B$300,2,FALSE)</f>
        <v>163</v>
      </c>
    </row>
    <row r="228" spans="1:18">
      <c r="A228" t="s">
        <v>565</v>
      </c>
      <c r="B228" t="s">
        <v>48</v>
      </c>
      <c r="C228" t="s">
        <v>49</v>
      </c>
      <c r="D228" t="s">
        <v>209</v>
      </c>
      <c r="E228" t="s">
        <v>188</v>
      </c>
      <c r="F228" t="s">
        <v>188</v>
      </c>
      <c r="G228" t="str" cm="1">
        <f t="array" ref="G228">_xlfn.SWITCH(C228,
"SAM", "Salesforce",
"ITES","Jira",
"ENGG","Python",
"RND","Microsoft Platforms")</f>
        <v>Salesforce</v>
      </c>
      <c r="H228">
        <f>VLOOKUP(E228,Roles!$C$1:$D$197,2,FALSE)</f>
        <v>10</v>
      </c>
      <c r="I228" s="1">
        <v>45817</v>
      </c>
      <c r="J228" t="s">
        <v>566</v>
      </c>
      <c r="K228" s="1">
        <v>45880</v>
      </c>
      <c r="L228" s="1">
        <v>45900</v>
      </c>
      <c r="M228" s="1">
        <v>45927</v>
      </c>
      <c r="N228" t="s">
        <v>53</v>
      </c>
      <c r="O228">
        <v>0</v>
      </c>
      <c r="P228" t="s">
        <v>61</v>
      </c>
      <c r="Q228" t="str">
        <f t="shared" si="3"/>
        <v>SAM_SalesTeam7_Customer Support Specialist</v>
      </c>
      <c r="R228">
        <f>VLOOKUP(Q228,Roles!$A$2:$B$300,2,FALSE)</f>
        <v>90</v>
      </c>
    </row>
    <row r="229" spans="1:18">
      <c r="A229" t="s">
        <v>567</v>
      </c>
      <c r="B229" t="s">
        <v>102</v>
      </c>
      <c r="C229" t="s">
        <v>103</v>
      </c>
      <c r="D229" t="s">
        <v>191</v>
      </c>
      <c r="E229" t="s">
        <v>248</v>
      </c>
      <c r="F229" t="s">
        <v>248</v>
      </c>
      <c r="G229" t="str" cm="1">
        <f t="array" ref="G229">_xlfn.SWITCH(C229,
"SAM", "Salesforce",
"ITES","Jira",
"ENGG","Python",
"RND","Microsoft Platforms")</f>
        <v>Microsoft Platforms</v>
      </c>
      <c r="H229">
        <f>VLOOKUP(E229,Roles!$C$1:$D$197,2,FALSE)</f>
        <v>5</v>
      </c>
      <c r="I229" s="1">
        <v>45865</v>
      </c>
      <c r="J229" t="s">
        <v>568</v>
      </c>
      <c r="K229" s="1">
        <v>45919</v>
      </c>
      <c r="N229" t="s">
        <v>259</v>
      </c>
      <c r="P229" t="s">
        <v>54</v>
      </c>
      <c r="Q229" t="str">
        <f t="shared" si="3"/>
        <v>RND_ResearchTeam10_Senior R&amp;D Manager</v>
      </c>
      <c r="R229">
        <f>VLOOKUP(Q229,Roles!$A$2:$B$300,2,FALSE)</f>
        <v>65</v>
      </c>
    </row>
    <row r="230" spans="1:18">
      <c r="A230" t="s">
        <v>569</v>
      </c>
      <c r="B230" t="s">
        <v>69</v>
      </c>
      <c r="C230" t="s">
        <v>70</v>
      </c>
      <c r="D230" t="s">
        <v>235</v>
      </c>
      <c r="E230" t="s">
        <v>72</v>
      </c>
      <c r="F230" t="s">
        <v>72</v>
      </c>
      <c r="G230" t="str" cm="1">
        <f t="array" ref="G230">_xlfn.SWITCH(C230,
"SAM", "Salesforce",
"ITES","Jira",
"ENGG","Python",
"RND","Microsoft Platforms")</f>
        <v>Python</v>
      </c>
      <c r="H230">
        <f>VLOOKUP(E230,Roles!$C$1:$D$197,2,FALSE)</f>
        <v>5</v>
      </c>
      <c r="I230" s="1">
        <v>45817</v>
      </c>
      <c r="J230" t="s">
        <v>570</v>
      </c>
      <c r="K230" s="1">
        <v>45881</v>
      </c>
      <c r="L230" s="1">
        <v>45892</v>
      </c>
      <c r="M230" s="1">
        <v>45971</v>
      </c>
      <c r="N230" t="s">
        <v>53</v>
      </c>
      <c r="O230">
        <v>1</v>
      </c>
      <c r="P230" t="s">
        <v>61</v>
      </c>
      <c r="Q230" t="str">
        <f t="shared" si="3"/>
        <v>ENGG_EngineeringTeam4_Platform Delivery Lead</v>
      </c>
      <c r="R230">
        <f>VLOOKUP(Q230,Roles!$A$2:$B$300,2,FALSE)</f>
        <v>52</v>
      </c>
    </row>
    <row r="231" spans="1:18">
      <c r="A231" t="s">
        <v>571</v>
      </c>
      <c r="B231" t="s">
        <v>48</v>
      </c>
      <c r="C231" t="s">
        <v>49</v>
      </c>
      <c r="D231" t="s">
        <v>50</v>
      </c>
      <c r="E231" t="s">
        <v>188</v>
      </c>
      <c r="F231" t="s">
        <v>188</v>
      </c>
      <c r="G231" t="str" cm="1">
        <f t="array" ref="G231">_xlfn.SWITCH(C231,
"SAM", "Salesforce",
"ITES","Jira",
"ENGG","Python",
"RND","Microsoft Platforms")</f>
        <v>Salesforce</v>
      </c>
      <c r="H231">
        <f>VLOOKUP(E231,Roles!$C$1:$D$197,2,FALSE)</f>
        <v>10</v>
      </c>
      <c r="I231" s="1">
        <v>45891</v>
      </c>
      <c r="J231" t="s">
        <v>572</v>
      </c>
      <c r="K231" s="1">
        <v>45963</v>
      </c>
      <c r="L231" s="1">
        <v>45978</v>
      </c>
      <c r="M231" s="1">
        <v>46024</v>
      </c>
      <c r="N231" t="s">
        <v>53</v>
      </c>
      <c r="O231">
        <v>0</v>
      </c>
      <c r="P231" t="s">
        <v>61</v>
      </c>
      <c r="Q231" t="str">
        <f t="shared" si="3"/>
        <v>SAM_SalesTeam4_Customer Support Specialist</v>
      </c>
      <c r="R231">
        <f>VLOOKUP(Q231,Roles!$A$2:$B$300,2,FALSE)</f>
        <v>164</v>
      </c>
    </row>
    <row r="232" spans="1:18">
      <c r="A232" t="s">
        <v>573</v>
      </c>
      <c r="B232" t="s">
        <v>56</v>
      </c>
      <c r="C232" t="s">
        <v>57</v>
      </c>
      <c r="D232" t="s">
        <v>95</v>
      </c>
      <c r="E232" t="s">
        <v>239</v>
      </c>
      <c r="F232" t="s">
        <v>239</v>
      </c>
      <c r="G232" t="str" cm="1">
        <f t="array" ref="G232">_xlfn.SWITCH(C232,
"SAM", "Salesforce",
"ITES","Jira",
"ENGG","Python",
"RND","Microsoft Platforms")</f>
        <v>Jira</v>
      </c>
      <c r="H232">
        <f>VLOOKUP(E232,Roles!$C$1:$D$197,2,FALSE)</f>
        <v>11</v>
      </c>
      <c r="I232" s="1">
        <v>45870</v>
      </c>
      <c r="J232" t="s">
        <v>574</v>
      </c>
      <c r="K232" s="1">
        <v>45929</v>
      </c>
      <c r="L232" s="1">
        <v>45940</v>
      </c>
      <c r="M232" s="1">
        <v>45985</v>
      </c>
      <c r="N232" t="s">
        <v>53</v>
      </c>
      <c r="O232">
        <v>2</v>
      </c>
      <c r="P232" t="s">
        <v>61</v>
      </c>
      <c r="Q232" t="str">
        <f t="shared" si="3"/>
        <v>ITES_ITTeam6_Help Desk Technician</v>
      </c>
      <c r="R232">
        <f>VLOOKUP(Q232,Roles!$A$2:$B$300,2,FALSE)</f>
        <v>165</v>
      </c>
    </row>
    <row r="233" spans="1:18">
      <c r="A233" t="s">
        <v>575</v>
      </c>
      <c r="B233" t="s">
        <v>48</v>
      </c>
      <c r="C233" t="s">
        <v>49</v>
      </c>
      <c r="D233" t="s">
        <v>185</v>
      </c>
      <c r="E233" t="s">
        <v>99</v>
      </c>
      <c r="F233" t="s">
        <v>99</v>
      </c>
      <c r="G233" t="str" cm="1">
        <f t="array" ref="G233">_xlfn.SWITCH(C233,
"SAM", "Salesforce",
"ITES","Jira",
"ENGG","Python",
"RND","Microsoft Platforms")</f>
        <v>Salesforce</v>
      </c>
      <c r="H233">
        <f>VLOOKUP(E233,Roles!$C$1:$D$197,2,FALSE)</f>
        <v>10</v>
      </c>
      <c r="I233" s="1">
        <v>45896</v>
      </c>
      <c r="J233" t="s">
        <v>576</v>
      </c>
      <c r="K233" s="1">
        <v>45957</v>
      </c>
      <c r="N233" t="s">
        <v>53</v>
      </c>
      <c r="P233" t="s">
        <v>54</v>
      </c>
      <c r="Q233" t="str">
        <f t="shared" si="3"/>
        <v>SAM_SalesTeam10_Digital Marketing Specialist</v>
      </c>
      <c r="R233">
        <f>VLOOKUP(Q233,Roles!$A$2:$B$300,2,FALSE)</f>
        <v>36</v>
      </c>
    </row>
    <row r="234" spans="1:18">
      <c r="A234" t="s">
        <v>577</v>
      </c>
      <c r="B234" t="s">
        <v>69</v>
      </c>
      <c r="C234" t="s">
        <v>70</v>
      </c>
      <c r="D234" t="s">
        <v>218</v>
      </c>
      <c r="E234" t="s">
        <v>76</v>
      </c>
      <c r="F234" t="s">
        <v>76</v>
      </c>
      <c r="G234" t="str" cm="1">
        <f t="array" ref="G234">_xlfn.SWITCH(C234,
"SAM", "Salesforce",
"ITES","Jira",
"ENGG","Python",
"RND","Microsoft Platforms")</f>
        <v>Python</v>
      </c>
      <c r="H234">
        <f>VLOOKUP(E234,Roles!$C$1:$D$197,2,FALSE)</f>
        <v>11</v>
      </c>
      <c r="I234" s="1">
        <v>45888</v>
      </c>
      <c r="J234" t="s">
        <v>578</v>
      </c>
      <c r="K234" s="1">
        <v>45959</v>
      </c>
      <c r="L234" s="1">
        <v>45975</v>
      </c>
      <c r="M234" s="1">
        <v>46016</v>
      </c>
      <c r="N234" t="s">
        <v>53</v>
      </c>
      <c r="O234">
        <v>0</v>
      </c>
      <c r="P234" t="s">
        <v>61</v>
      </c>
      <c r="Q234" t="str">
        <f t="shared" si="3"/>
        <v>ENGG_EngineeringTeam9_Staff Engineer</v>
      </c>
      <c r="R234">
        <f>VLOOKUP(Q234,Roles!$A$2:$B$300,2,FALSE)</f>
        <v>63</v>
      </c>
    </row>
    <row r="235" spans="1:18">
      <c r="A235" t="s">
        <v>579</v>
      </c>
      <c r="B235" t="s">
        <v>56</v>
      </c>
      <c r="C235" t="s">
        <v>57</v>
      </c>
      <c r="D235" t="s">
        <v>79</v>
      </c>
      <c r="E235" t="s">
        <v>340</v>
      </c>
      <c r="F235" t="s">
        <v>340</v>
      </c>
      <c r="G235" t="str" cm="1">
        <f t="array" ref="G235">_xlfn.SWITCH(C235,
"SAM", "Salesforce",
"ITES","Jira",
"ENGG","Python",
"RND","Microsoft Platforms")</f>
        <v>Jira</v>
      </c>
      <c r="H235">
        <f>VLOOKUP(E235,Roles!$C$1:$D$197,2,FALSE)</f>
        <v>10</v>
      </c>
      <c r="I235" s="1">
        <v>45903</v>
      </c>
      <c r="J235" t="s">
        <v>580</v>
      </c>
      <c r="K235" s="1">
        <v>45978</v>
      </c>
      <c r="N235" t="s">
        <v>53</v>
      </c>
      <c r="P235" t="s">
        <v>54</v>
      </c>
      <c r="Q235" t="str">
        <f t="shared" si="3"/>
        <v>ITES_ITTeam2_Desktop Support Specialist</v>
      </c>
      <c r="R235">
        <f>VLOOKUP(Q235,Roles!$A$2:$B$300,2,FALSE)</f>
        <v>166</v>
      </c>
    </row>
    <row r="236" spans="1:18">
      <c r="A236" t="s">
        <v>581</v>
      </c>
      <c r="B236" t="s">
        <v>56</v>
      </c>
      <c r="C236" t="s">
        <v>57</v>
      </c>
      <c r="D236" t="s">
        <v>95</v>
      </c>
      <c r="E236" t="s">
        <v>200</v>
      </c>
      <c r="F236" t="s">
        <v>200</v>
      </c>
      <c r="G236" t="str" cm="1">
        <f t="array" ref="G236">_xlfn.SWITCH(C236,
"SAM", "Salesforce",
"ITES","Jira",
"ENGG","Python",
"RND","Microsoft Platforms")</f>
        <v>Jira</v>
      </c>
      <c r="H236">
        <f>VLOOKUP(E236,Roles!$C$1:$D$197,2,FALSE)</f>
        <v>10</v>
      </c>
      <c r="I236" s="1">
        <v>45880</v>
      </c>
      <c r="J236" t="s">
        <v>582</v>
      </c>
      <c r="K236" s="1">
        <v>45928</v>
      </c>
      <c r="L236" s="1">
        <v>45940</v>
      </c>
      <c r="M236" s="1">
        <v>45989</v>
      </c>
      <c r="N236" t="s">
        <v>53</v>
      </c>
      <c r="O236">
        <v>1</v>
      </c>
      <c r="P236" t="s">
        <v>61</v>
      </c>
      <c r="Q236" t="str">
        <f t="shared" si="3"/>
        <v>ITES_ITTeam6_Field Service Technician</v>
      </c>
      <c r="R236">
        <f>VLOOKUP(Q236,Roles!$A$2:$B$300,2,FALSE)</f>
        <v>167</v>
      </c>
    </row>
    <row r="237" spans="1:18">
      <c r="A237" t="s">
        <v>583</v>
      </c>
      <c r="B237" t="s">
        <v>56</v>
      </c>
      <c r="C237" t="s">
        <v>57</v>
      </c>
      <c r="D237" t="s">
        <v>182</v>
      </c>
      <c r="E237" t="s">
        <v>340</v>
      </c>
      <c r="F237" t="s">
        <v>340</v>
      </c>
      <c r="G237" t="str" cm="1">
        <f t="array" ref="G237">_xlfn.SWITCH(C237,
"SAM", "Salesforce",
"ITES","Jira",
"ENGG","Python",
"RND","Microsoft Platforms")</f>
        <v>Jira</v>
      </c>
      <c r="H237">
        <f>VLOOKUP(E237,Roles!$C$1:$D$197,2,FALSE)</f>
        <v>10</v>
      </c>
      <c r="I237" s="1">
        <v>45848</v>
      </c>
      <c r="J237" t="s">
        <v>584</v>
      </c>
      <c r="K237" s="1">
        <v>45908</v>
      </c>
      <c r="L237" s="1">
        <v>45923</v>
      </c>
      <c r="M237" s="1">
        <v>45964</v>
      </c>
      <c r="N237" t="s">
        <v>53</v>
      </c>
      <c r="O237">
        <v>1</v>
      </c>
      <c r="P237" t="s">
        <v>61</v>
      </c>
      <c r="Q237" t="str">
        <f t="shared" si="3"/>
        <v>ITES_ITTeam8_Desktop Support Specialist</v>
      </c>
      <c r="R237">
        <f>VLOOKUP(Q237,Roles!$A$2:$B$300,2,FALSE)</f>
        <v>168</v>
      </c>
    </row>
    <row r="238" spans="1:18">
      <c r="A238" t="s">
        <v>585</v>
      </c>
      <c r="B238" t="s">
        <v>56</v>
      </c>
      <c r="C238" t="s">
        <v>57</v>
      </c>
      <c r="D238" t="s">
        <v>83</v>
      </c>
      <c r="E238" t="s">
        <v>273</v>
      </c>
      <c r="F238" t="s">
        <v>273</v>
      </c>
      <c r="G238" t="str" cm="1">
        <f t="array" ref="G238">_xlfn.SWITCH(C238,
"SAM", "Salesforce",
"ITES","Jira",
"ENGG","Python",
"RND","Microsoft Platforms")</f>
        <v>Jira</v>
      </c>
      <c r="H238">
        <f>VLOOKUP(E238,Roles!$C$1:$D$197,2,FALSE)</f>
        <v>76</v>
      </c>
      <c r="I238" s="1">
        <v>45828</v>
      </c>
      <c r="J238" t="s">
        <v>586</v>
      </c>
      <c r="K238" s="1">
        <v>45887</v>
      </c>
      <c r="N238" t="s">
        <v>53</v>
      </c>
      <c r="P238" t="s">
        <v>54</v>
      </c>
      <c r="Q238" t="str">
        <f t="shared" si="3"/>
        <v>ITES_ITTeam1_IT Manager</v>
      </c>
      <c r="R238">
        <f>VLOOKUP(Q238,Roles!$A$2:$B$300,2,FALSE)</f>
        <v>130</v>
      </c>
    </row>
    <row r="239" spans="1:18">
      <c r="A239" t="s">
        <v>587</v>
      </c>
      <c r="B239" t="s">
        <v>102</v>
      </c>
      <c r="C239" t="s">
        <v>103</v>
      </c>
      <c r="D239" t="s">
        <v>104</v>
      </c>
      <c r="E239" t="s">
        <v>228</v>
      </c>
      <c r="F239" t="s">
        <v>228</v>
      </c>
      <c r="G239" t="str" cm="1">
        <f t="array" ref="G239">_xlfn.SWITCH(C239,
"SAM", "Salesforce",
"ITES","Jira",
"ENGG","Python",
"RND","Microsoft Platforms")</f>
        <v>Microsoft Platforms</v>
      </c>
      <c r="H239">
        <f>VLOOKUP(E239,Roles!$C$1:$D$197,2,FALSE)</f>
        <v>10</v>
      </c>
      <c r="I239" s="1">
        <v>45844</v>
      </c>
      <c r="J239" t="s">
        <v>588</v>
      </c>
      <c r="K239" s="1">
        <v>45915</v>
      </c>
      <c r="L239" s="1">
        <v>45935</v>
      </c>
      <c r="M239" s="1">
        <v>45971</v>
      </c>
      <c r="N239" t="s">
        <v>53</v>
      </c>
      <c r="O239">
        <v>1</v>
      </c>
      <c r="P239" t="s">
        <v>61</v>
      </c>
      <c r="Q239" t="str">
        <f t="shared" si="3"/>
        <v>RND_ResearchTeam8_R&amp;D Engineer</v>
      </c>
      <c r="R239">
        <f>VLOOKUP(Q239,Roles!$A$2:$B$300,2,FALSE)</f>
        <v>91</v>
      </c>
    </row>
    <row r="240" spans="1:18">
      <c r="A240" t="s">
        <v>589</v>
      </c>
      <c r="B240" t="s">
        <v>56</v>
      </c>
      <c r="C240" t="s">
        <v>57</v>
      </c>
      <c r="D240" t="s">
        <v>113</v>
      </c>
      <c r="E240" t="s">
        <v>63</v>
      </c>
      <c r="F240" t="s">
        <v>63</v>
      </c>
      <c r="G240" t="str" cm="1">
        <f t="array" ref="G240">_xlfn.SWITCH(C240,
"SAM", "Salesforce",
"ITES","Jira",
"ENGG","Python",
"RND","Microsoft Platforms")</f>
        <v>Jira</v>
      </c>
      <c r="H240">
        <f>VLOOKUP(E240,Roles!$C$1:$D$197,2,FALSE)</f>
        <v>9</v>
      </c>
      <c r="I240" s="1">
        <v>45894</v>
      </c>
      <c r="J240" t="s">
        <v>590</v>
      </c>
      <c r="K240" s="1">
        <v>45950</v>
      </c>
      <c r="L240" s="1">
        <v>45964</v>
      </c>
      <c r="M240" s="1">
        <v>46050</v>
      </c>
      <c r="N240" t="s">
        <v>53</v>
      </c>
      <c r="O240">
        <v>2</v>
      </c>
      <c r="P240" t="s">
        <v>61</v>
      </c>
      <c r="Q240" t="str">
        <f t="shared" si="3"/>
        <v>ITES_ITTeam3_IT Support Specialist</v>
      </c>
      <c r="R240">
        <f>VLOOKUP(Q240,Roles!$A$2:$B$300,2,FALSE)</f>
        <v>169</v>
      </c>
    </row>
    <row r="241" spans="1:18">
      <c r="A241" t="s">
        <v>591</v>
      </c>
      <c r="B241" t="s">
        <v>48</v>
      </c>
      <c r="C241" t="s">
        <v>49</v>
      </c>
      <c r="D241" t="s">
        <v>141</v>
      </c>
      <c r="E241" t="s">
        <v>99</v>
      </c>
      <c r="F241" t="s">
        <v>99</v>
      </c>
      <c r="G241" t="str" cm="1">
        <f t="array" ref="G241">_xlfn.SWITCH(C241,
"SAM", "Salesforce",
"ITES","Jira",
"ENGG","Python",
"RND","Microsoft Platforms")</f>
        <v>Salesforce</v>
      </c>
      <c r="H241">
        <f>VLOOKUP(E241,Roles!$C$1:$D$197,2,FALSE)</f>
        <v>10</v>
      </c>
      <c r="I241" s="1">
        <v>45864</v>
      </c>
      <c r="J241" t="s">
        <v>592</v>
      </c>
      <c r="K241" s="1">
        <v>45911</v>
      </c>
      <c r="L241" s="1">
        <v>45926</v>
      </c>
      <c r="M241" s="1">
        <v>45957</v>
      </c>
      <c r="N241" t="s">
        <v>53</v>
      </c>
      <c r="O241">
        <v>1</v>
      </c>
      <c r="P241" t="s">
        <v>61</v>
      </c>
      <c r="Q241" t="str">
        <f t="shared" si="3"/>
        <v>SAM_SalesTeam2_Digital Marketing Specialist</v>
      </c>
      <c r="R241">
        <f>VLOOKUP(Q241,Roles!$A$2:$B$300,2,FALSE)</f>
        <v>26</v>
      </c>
    </row>
    <row r="242" spans="1:18">
      <c r="A242" t="s">
        <v>593</v>
      </c>
      <c r="B242" t="s">
        <v>102</v>
      </c>
      <c r="C242" t="s">
        <v>103</v>
      </c>
      <c r="D242" t="s">
        <v>124</v>
      </c>
      <c r="E242" t="s">
        <v>248</v>
      </c>
      <c r="F242" t="s">
        <v>248</v>
      </c>
      <c r="G242" t="str" cm="1">
        <f t="array" ref="G242">_xlfn.SWITCH(C242,
"SAM", "Salesforce",
"ITES","Jira",
"ENGG","Python",
"RND","Microsoft Platforms")</f>
        <v>Microsoft Platforms</v>
      </c>
      <c r="H242">
        <f>VLOOKUP(E242,Roles!$C$1:$D$197,2,FALSE)</f>
        <v>5</v>
      </c>
      <c r="I242" s="1">
        <v>45840</v>
      </c>
      <c r="J242" t="s">
        <v>594</v>
      </c>
      <c r="K242" s="1">
        <v>45903</v>
      </c>
      <c r="N242" t="s">
        <v>53</v>
      </c>
      <c r="P242" t="s">
        <v>54</v>
      </c>
      <c r="Q242" t="str">
        <f t="shared" si="3"/>
        <v>RND_ResearchTeam7_Senior R&amp;D Manager</v>
      </c>
      <c r="R242">
        <f>VLOOKUP(Q242,Roles!$A$2:$B$300,2,FALSE)</f>
        <v>170</v>
      </c>
    </row>
    <row r="243" spans="1:18">
      <c r="A243" t="s">
        <v>595</v>
      </c>
      <c r="B243" t="s">
        <v>56</v>
      </c>
      <c r="C243" t="s">
        <v>57</v>
      </c>
      <c r="D243" t="s">
        <v>117</v>
      </c>
      <c r="E243" t="s">
        <v>273</v>
      </c>
      <c r="F243" t="s">
        <v>273</v>
      </c>
      <c r="G243" t="str" cm="1">
        <f t="array" ref="G243">_xlfn.SWITCH(C243,
"SAM", "Salesforce",
"ITES","Jira",
"ENGG","Python",
"RND","Microsoft Platforms")</f>
        <v>Jira</v>
      </c>
      <c r="H243">
        <f>VLOOKUP(E243,Roles!$C$1:$D$197,2,FALSE)</f>
        <v>76</v>
      </c>
      <c r="I243" s="1">
        <v>45863</v>
      </c>
      <c r="J243" t="s">
        <v>596</v>
      </c>
      <c r="K243" s="1">
        <v>45930</v>
      </c>
      <c r="N243" t="s">
        <v>53</v>
      </c>
      <c r="P243" t="s">
        <v>54</v>
      </c>
      <c r="Q243" t="str">
        <f t="shared" si="3"/>
        <v>ITES_ITTeam10_IT Manager</v>
      </c>
      <c r="R243">
        <f>VLOOKUP(Q243,Roles!$A$2:$B$300,2,FALSE)</f>
        <v>171</v>
      </c>
    </row>
    <row r="244" spans="1:18">
      <c r="A244" t="s">
        <v>597</v>
      </c>
      <c r="B244" t="s">
        <v>102</v>
      </c>
      <c r="C244" t="s">
        <v>103</v>
      </c>
      <c r="D244" t="s">
        <v>191</v>
      </c>
      <c r="E244" t="s">
        <v>121</v>
      </c>
      <c r="F244" t="s">
        <v>121</v>
      </c>
      <c r="G244" t="str" cm="1">
        <f t="array" ref="G244">_xlfn.SWITCH(C244,
"SAM", "Salesforce",
"ITES","Jira",
"ENGG","Python",
"RND","Microsoft Platforms")</f>
        <v>Microsoft Platforms</v>
      </c>
      <c r="H244">
        <f>VLOOKUP(E244,Roles!$C$1:$D$197,2,FALSE)</f>
        <v>11</v>
      </c>
      <c r="I244" s="1">
        <v>45822</v>
      </c>
      <c r="J244" t="s">
        <v>598</v>
      </c>
      <c r="K244" s="1">
        <v>45882</v>
      </c>
      <c r="N244" t="s">
        <v>53</v>
      </c>
      <c r="P244" t="s">
        <v>54</v>
      </c>
      <c r="Q244" t="str">
        <f t="shared" si="3"/>
        <v>RND_ResearchTeam10_Research Analyst</v>
      </c>
      <c r="R244">
        <f>VLOOKUP(Q244,Roles!$A$2:$B$300,2,FALSE)</f>
        <v>59</v>
      </c>
    </row>
    <row r="245" spans="1:18">
      <c r="A245" t="s">
        <v>599</v>
      </c>
      <c r="B245" t="s">
        <v>69</v>
      </c>
      <c r="C245" t="s">
        <v>70</v>
      </c>
      <c r="D245" t="s">
        <v>164</v>
      </c>
      <c r="E245" t="s">
        <v>76</v>
      </c>
      <c r="F245" t="s">
        <v>76</v>
      </c>
      <c r="G245" t="str" cm="1">
        <f t="array" ref="G245">_xlfn.SWITCH(C245,
"SAM", "Salesforce",
"ITES","Jira",
"ENGG","Python",
"RND","Microsoft Platforms")</f>
        <v>Python</v>
      </c>
      <c r="H245">
        <f>VLOOKUP(E245,Roles!$C$1:$D$197,2,FALSE)</f>
        <v>11</v>
      </c>
      <c r="I245" s="1">
        <v>45888</v>
      </c>
      <c r="J245" t="s">
        <v>271</v>
      </c>
      <c r="K245" s="1">
        <v>45941</v>
      </c>
      <c r="N245" t="s">
        <v>53</v>
      </c>
      <c r="P245" t="s">
        <v>54</v>
      </c>
      <c r="Q245" t="str">
        <f t="shared" si="3"/>
        <v>ENGG_EngineeringTeam2_Staff Engineer</v>
      </c>
      <c r="R245">
        <f>VLOOKUP(Q245,Roles!$A$2:$B$300,2,FALSE)</f>
        <v>172</v>
      </c>
    </row>
    <row r="246" spans="1:18">
      <c r="A246" t="s">
        <v>600</v>
      </c>
      <c r="B246" t="s">
        <v>48</v>
      </c>
      <c r="C246" t="s">
        <v>49</v>
      </c>
      <c r="D246" t="s">
        <v>141</v>
      </c>
      <c r="E246" t="s">
        <v>188</v>
      </c>
      <c r="F246" t="s">
        <v>188</v>
      </c>
      <c r="G246" t="str" cm="1">
        <f t="array" ref="G246">_xlfn.SWITCH(C246,
"SAM", "Salesforce",
"ITES","Jira",
"ENGG","Python",
"RND","Microsoft Platforms")</f>
        <v>Salesforce</v>
      </c>
      <c r="H246">
        <f>VLOOKUP(E246,Roles!$C$1:$D$197,2,FALSE)</f>
        <v>10</v>
      </c>
      <c r="I246" s="1">
        <v>45925</v>
      </c>
      <c r="J246" t="s">
        <v>601</v>
      </c>
      <c r="K246" s="1">
        <v>45988</v>
      </c>
      <c r="N246" t="s">
        <v>53</v>
      </c>
      <c r="P246" t="s">
        <v>54</v>
      </c>
      <c r="Q246" t="str">
        <f t="shared" si="3"/>
        <v>SAM_SalesTeam2_Customer Support Specialist</v>
      </c>
      <c r="R246">
        <f>VLOOKUP(Q246,Roles!$A$2:$B$300,2,FALSE)</f>
        <v>102</v>
      </c>
    </row>
    <row r="247" spans="1:18">
      <c r="A247" t="s">
        <v>602</v>
      </c>
      <c r="B247" t="s">
        <v>56</v>
      </c>
      <c r="C247" t="s">
        <v>57</v>
      </c>
      <c r="D247" t="s">
        <v>58</v>
      </c>
      <c r="E247" t="s">
        <v>134</v>
      </c>
      <c r="F247" t="s">
        <v>134</v>
      </c>
      <c r="G247" t="str" cm="1">
        <f t="array" ref="G247">_xlfn.SWITCH(C247,
"SAM", "Salesforce",
"ITES","Jira",
"ENGG","Python",
"RND","Microsoft Platforms")</f>
        <v>Jira</v>
      </c>
      <c r="H247">
        <f>VLOOKUP(E247,Roles!$C$1:$D$197,2,FALSE)</f>
        <v>11</v>
      </c>
      <c r="I247" s="1">
        <v>45872</v>
      </c>
      <c r="J247" t="s">
        <v>603</v>
      </c>
      <c r="K247" s="1">
        <v>45941</v>
      </c>
      <c r="N247" t="s">
        <v>53</v>
      </c>
      <c r="P247" t="s">
        <v>54</v>
      </c>
      <c r="Q247" t="str">
        <f t="shared" si="3"/>
        <v>ITES_ITTeam5_Application Support Analyst</v>
      </c>
      <c r="R247">
        <f>VLOOKUP(Q247,Roles!$A$2:$B$300,2,FALSE)</f>
        <v>173</v>
      </c>
    </row>
    <row r="248" spans="1:18">
      <c r="A248" t="s">
        <v>604</v>
      </c>
      <c r="B248" t="s">
        <v>56</v>
      </c>
      <c r="C248" t="s">
        <v>57</v>
      </c>
      <c r="D248" t="s">
        <v>83</v>
      </c>
      <c r="E248" t="s">
        <v>490</v>
      </c>
      <c r="F248" t="s">
        <v>490</v>
      </c>
      <c r="G248" t="str" cm="1">
        <f t="array" ref="G248">_xlfn.SWITCH(C248,
"SAM", "Salesforce",
"ITES","Jira",
"ENGG","Python",
"RND","Microsoft Platforms")</f>
        <v>Jira</v>
      </c>
      <c r="H248">
        <f>VLOOKUP(E248,Roles!$C$1:$D$197,2,FALSE)</f>
        <v>8</v>
      </c>
      <c r="I248" s="1">
        <v>45883</v>
      </c>
      <c r="J248" t="s">
        <v>605</v>
      </c>
      <c r="K248" s="1">
        <v>45945</v>
      </c>
      <c r="L248" s="1">
        <v>45961</v>
      </c>
      <c r="M248" s="1">
        <v>45979</v>
      </c>
      <c r="N248" t="s">
        <v>53</v>
      </c>
      <c r="O248">
        <v>0</v>
      </c>
      <c r="P248" t="s">
        <v>61</v>
      </c>
      <c r="Q248" t="str">
        <f t="shared" si="3"/>
        <v>ITES_ITTeam1_IT Coordinator</v>
      </c>
      <c r="R248">
        <f>VLOOKUP(Q248,Roles!$A$2:$B$300,2,FALSE)</f>
        <v>174</v>
      </c>
    </row>
    <row r="249" spans="1:18">
      <c r="A249" t="s">
        <v>606</v>
      </c>
      <c r="B249" t="s">
        <v>69</v>
      </c>
      <c r="C249" t="s">
        <v>70</v>
      </c>
      <c r="D249" t="s">
        <v>151</v>
      </c>
      <c r="E249" t="s">
        <v>172</v>
      </c>
      <c r="F249" t="s">
        <v>172</v>
      </c>
      <c r="G249" t="str" cm="1">
        <f t="array" ref="G249">_xlfn.SWITCH(C249,
"SAM", "Salesforce",
"ITES","Jira",
"ENGG","Python",
"RND","Microsoft Platforms")</f>
        <v>Python</v>
      </c>
      <c r="H249">
        <f>VLOOKUP(E249,Roles!$C$1:$D$197,2,FALSE)</f>
        <v>9</v>
      </c>
      <c r="I249" s="1">
        <v>45838</v>
      </c>
      <c r="J249" t="s">
        <v>607</v>
      </c>
      <c r="K249" s="1">
        <v>45912</v>
      </c>
      <c r="L249" s="1">
        <v>45922</v>
      </c>
      <c r="M249" s="1">
        <v>45992</v>
      </c>
      <c r="N249" t="s">
        <v>53</v>
      </c>
      <c r="O249">
        <v>2</v>
      </c>
      <c r="P249" t="s">
        <v>61</v>
      </c>
      <c r="Q249" t="str">
        <f t="shared" si="3"/>
        <v>ENGG_EngineeringTeam8_Senior SDE</v>
      </c>
      <c r="R249">
        <f>VLOOKUP(Q249,Roles!$A$2:$B$300,2,FALSE)</f>
        <v>175</v>
      </c>
    </row>
    <row r="250" spans="1:18">
      <c r="A250" t="s">
        <v>608</v>
      </c>
      <c r="B250" t="s">
        <v>56</v>
      </c>
      <c r="C250" t="s">
        <v>57</v>
      </c>
      <c r="D250" t="s">
        <v>113</v>
      </c>
      <c r="E250" t="s">
        <v>340</v>
      </c>
      <c r="F250" t="s">
        <v>340</v>
      </c>
      <c r="G250" t="str" cm="1">
        <f t="array" ref="G250">_xlfn.SWITCH(C250,
"SAM", "Salesforce",
"ITES","Jira",
"ENGG","Python",
"RND","Microsoft Platforms")</f>
        <v>Jira</v>
      </c>
      <c r="H250">
        <f>VLOOKUP(E250,Roles!$C$1:$D$197,2,FALSE)</f>
        <v>10</v>
      </c>
      <c r="I250" s="1">
        <v>45902</v>
      </c>
      <c r="J250" t="s">
        <v>609</v>
      </c>
      <c r="K250" s="1">
        <v>45970</v>
      </c>
      <c r="L250" s="1">
        <v>45987</v>
      </c>
      <c r="M250" s="1">
        <v>46014</v>
      </c>
      <c r="N250" t="s">
        <v>53</v>
      </c>
      <c r="O250">
        <v>2</v>
      </c>
      <c r="P250" t="s">
        <v>61</v>
      </c>
      <c r="Q250" t="str">
        <f t="shared" si="3"/>
        <v>ITES_ITTeam3_Desktop Support Specialist</v>
      </c>
      <c r="R250">
        <f>VLOOKUP(Q250,Roles!$A$2:$B$300,2,FALSE)</f>
        <v>176</v>
      </c>
    </row>
    <row r="251" spans="1:18">
      <c r="A251" t="s">
        <v>610</v>
      </c>
      <c r="B251" t="s">
        <v>48</v>
      </c>
      <c r="C251" t="s">
        <v>49</v>
      </c>
      <c r="D251" t="s">
        <v>141</v>
      </c>
      <c r="E251" t="s">
        <v>99</v>
      </c>
      <c r="F251" t="s">
        <v>99</v>
      </c>
      <c r="G251" t="str" cm="1">
        <f t="array" ref="G251">_xlfn.SWITCH(C251,
"SAM", "Salesforce",
"ITES","Jira",
"ENGG","Python",
"RND","Microsoft Platforms")</f>
        <v>Salesforce</v>
      </c>
      <c r="H251">
        <f>VLOOKUP(E251,Roles!$C$1:$D$197,2,FALSE)</f>
        <v>10</v>
      </c>
      <c r="I251" s="1">
        <v>45826</v>
      </c>
      <c r="J251" t="s">
        <v>611</v>
      </c>
      <c r="K251" s="1">
        <v>45890</v>
      </c>
      <c r="N251" t="s">
        <v>53</v>
      </c>
      <c r="P251" t="s">
        <v>54</v>
      </c>
      <c r="Q251" t="str">
        <f t="shared" si="3"/>
        <v>SAM_SalesTeam2_Digital Marketing Specialist</v>
      </c>
      <c r="R251">
        <f>VLOOKUP(Q251,Roles!$A$2:$B$300,2,FALSE)</f>
        <v>26</v>
      </c>
    </row>
    <row r="252" spans="1:18">
      <c r="A252" t="s">
        <v>612</v>
      </c>
      <c r="B252" t="s">
        <v>48</v>
      </c>
      <c r="C252" t="s">
        <v>49</v>
      </c>
      <c r="D252" t="s">
        <v>185</v>
      </c>
      <c r="E252" t="s">
        <v>251</v>
      </c>
      <c r="F252" t="s">
        <v>251</v>
      </c>
      <c r="G252" t="str" cm="1">
        <f t="array" ref="G252">_xlfn.SWITCH(C252,
"SAM", "Salesforce",
"ITES","Jira",
"ENGG","Python",
"RND","Microsoft Platforms")</f>
        <v>Salesforce</v>
      </c>
      <c r="H252">
        <f>VLOOKUP(E252,Roles!$C$1:$D$197,2,FALSE)</f>
        <v>7</v>
      </c>
      <c r="I252" s="1">
        <v>45902</v>
      </c>
      <c r="J252" t="s">
        <v>613</v>
      </c>
      <c r="K252" s="1">
        <v>45970</v>
      </c>
      <c r="N252" t="s">
        <v>53</v>
      </c>
      <c r="P252" t="s">
        <v>54</v>
      </c>
      <c r="Q252" t="str">
        <f t="shared" si="3"/>
        <v>SAM_SalesTeam10_Product Marketing Manager</v>
      </c>
      <c r="R252">
        <f>VLOOKUP(Q252,Roles!$A$2:$B$300,2,FALSE)</f>
        <v>177</v>
      </c>
    </row>
    <row r="253" spans="1:18">
      <c r="A253" t="s">
        <v>614</v>
      </c>
      <c r="B253" t="s">
        <v>48</v>
      </c>
      <c r="C253" t="s">
        <v>49</v>
      </c>
      <c r="D253" t="s">
        <v>98</v>
      </c>
      <c r="E253" t="s">
        <v>142</v>
      </c>
      <c r="F253" t="s">
        <v>142</v>
      </c>
      <c r="G253" t="str" cm="1">
        <f t="array" ref="G253">_xlfn.SWITCH(C253,
"SAM", "Salesforce",
"ITES","Jira",
"ENGG","Python",
"RND","Microsoft Platforms")</f>
        <v>Salesforce</v>
      </c>
      <c r="H253">
        <f>VLOOKUP(E253,Roles!$C$1:$D$197,2,FALSE)</f>
        <v>7</v>
      </c>
      <c r="I253" s="1">
        <v>45814</v>
      </c>
      <c r="J253" t="s">
        <v>615</v>
      </c>
      <c r="K253" s="1">
        <v>45887</v>
      </c>
      <c r="N253" t="s">
        <v>53</v>
      </c>
      <c r="P253" t="s">
        <v>54</v>
      </c>
      <c r="Q253" t="str">
        <f t="shared" si="3"/>
        <v>SAM_SalesTeam8_Sales Manager</v>
      </c>
      <c r="R253">
        <f>VLOOKUP(Q253,Roles!$A$2:$B$300,2,FALSE)</f>
        <v>61</v>
      </c>
    </row>
    <row r="254" spans="1:18">
      <c r="A254" t="s">
        <v>616</v>
      </c>
      <c r="B254" t="s">
        <v>56</v>
      </c>
      <c r="C254" t="s">
        <v>57</v>
      </c>
      <c r="D254" t="s">
        <v>95</v>
      </c>
      <c r="E254" t="s">
        <v>273</v>
      </c>
      <c r="F254" t="s">
        <v>273</v>
      </c>
      <c r="G254" t="str" cm="1">
        <f t="array" ref="G254">_xlfn.SWITCH(C254,
"SAM", "Salesforce",
"ITES","Jira",
"ENGG","Python",
"RND","Microsoft Platforms")</f>
        <v>Jira</v>
      </c>
      <c r="H254">
        <f>VLOOKUP(E254,Roles!$C$1:$D$197,2,FALSE)</f>
        <v>76</v>
      </c>
      <c r="I254" s="1">
        <v>45851</v>
      </c>
      <c r="J254" t="s">
        <v>617</v>
      </c>
      <c r="K254" s="1">
        <v>45909</v>
      </c>
      <c r="N254" t="s">
        <v>53</v>
      </c>
      <c r="P254" t="s">
        <v>54</v>
      </c>
      <c r="Q254" t="str">
        <f t="shared" si="3"/>
        <v>ITES_ITTeam6_IT Manager</v>
      </c>
      <c r="R254">
        <f>VLOOKUP(Q254,Roles!$A$2:$B$300,2,FALSE)</f>
        <v>178</v>
      </c>
    </row>
    <row r="255" spans="1:18">
      <c r="A255" t="s">
        <v>618</v>
      </c>
      <c r="B255" t="s">
        <v>69</v>
      </c>
      <c r="C255" t="s">
        <v>70</v>
      </c>
      <c r="D255" t="s">
        <v>75</v>
      </c>
      <c r="E255" t="s">
        <v>346</v>
      </c>
      <c r="F255" t="s">
        <v>346</v>
      </c>
      <c r="G255" t="str" cm="1">
        <f t="array" ref="G255">_xlfn.SWITCH(C255,
"SAM", "Salesforce",
"ITES","Jira",
"ENGG","Python",
"RND","Microsoft Platforms")</f>
        <v>Python</v>
      </c>
      <c r="H255">
        <f>VLOOKUP(E255,Roles!$C$1:$D$197,2,FALSE)</f>
        <v>9</v>
      </c>
      <c r="I255" s="1">
        <v>45872</v>
      </c>
      <c r="J255" t="s">
        <v>619</v>
      </c>
      <c r="K255" s="1">
        <v>45947</v>
      </c>
      <c r="N255" t="s">
        <v>53</v>
      </c>
      <c r="P255" t="s">
        <v>54</v>
      </c>
      <c r="Q255" t="str">
        <f t="shared" si="3"/>
        <v>ENGG_EngineeringTeam10_Software Developer 2</v>
      </c>
      <c r="R255">
        <f>VLOOKUP(Q255,Roles!$A$2:$B$300,2,FALSE)</f>
        <v>123</v>
      </c>
    </row>
    <row r="256" spans="1:18">
      <c r="A256" t="s">
        <v>620</v>
      </c>
      <c r="B256" t="s">
        <v>102</v>
      </c>
      <c r="C256" t="s">
        <v>103</v>
      </c>
      <c r="D256" t="s">
        <v>205</v>
      </c>
      <c r="E256" t="s">
        <v>192</v>
      </c>
      <c r="F256" t="s">
        <v>192</v>
      </c>
      <c r="G256" t="str" cm="1">
        <f t="array" ref="G256">_xlfn.SWITCH(C256,
"SAM", "Salesforce",
"ITES","Jira",
"ENGG","Python",
"RND","Microsoft Platforms")</f>
        <v>Microsoft Platforms</v>
      </c>
      <c r="H256">
        <f>VLOOKUP(E256,Roles!$C$1:$D$197,2,FALSE)</f>
        <v>8</v>
      </c>
      <c r="I256" s="1">
        <v>45832</v>
      </c>
      <c r="J256" t="s">
        <v>621</v>
      </c>
      <c r="K256" s="1">
        <v>45900</v>
      </c>
      <c r="N256" t="s">
        <v>53</v>
      </c>
      <c r="P256" t="s">
        <v>54</v>
      </c>
      <c r="Q256" t="str">
        <f t="shared" si="3"/>
        <v>RND_ResearchTeam2_Principal Investigator</v>
      </c>
      <c r="R256">
        <f>VLOOKUP(Q256,Roles!$A$2:$B$300,2,FALSE)</f>
        <v>62</v>
      </c>
    </row>
    <row r="257" spans="1:18">
      <c r="A257" t="s">
        <v>622</v>
      </c>
      <c r="B257" t="s">
        <v>56</v>
      </c>
      <c r="C257" t="s">
        <v>57</v>
      </c>
      <c r="D257" t="s">
        <v>158</v>
      </c>
      <c r="E257" t="s">
        <v>239</v>
      </c>
      <c r="F257" t="s">
        <v>239</v>
      </c>
      <c r="G257" t="str" cm="1">
        <f t="array" ref="G257">_xlfn.SWITCH(C257,
"SAM", "Salesforce",
"ITES","Jira",
"ENGG","Python",
"RND","Microsoft Platforms")</f>
        <v>Jira</v>
      </c>
      <c r="H257">
        <f>VLOOKUP(E257,Roles!$C$1:$D$197,2,FALSE)</f>
        <v>11</v>
      </c>
      <c r="I257" s="1">
        <v>45907</v>
      </c>
      <c r="J257" t="s">
        <v>623</v>
      </c>
      <c r="K257" s="1">
        <v>45962</v>
      </c>
      <c r="N257" t="s">
        <v>53</v>
      </c>
      <c r="P257" t="s">
        <v>54</v>
      </c>
      <c r="Q257" t="str">
        <f t="shared" si="3"/>
        <v>ITES_ITTeam7_Help Desk Technician</v>
      </c>
      <c r="R257">
        <f>VLOOKUP(Q257,Roles!$A$2:$B$300,2,FALSE)</f>
        <v>179</v>
      </c>
    </row>
    <row r="258" spans="1:18">
      <c r="A258" t="s">
        <v>624</v>
      </c>
      <c r="B258" t="s">
        <v>69</v>
      </c>
      <c r="C258" t="s">
        <v>70</v>
      </c>
      <c r="D258" t="s">
        <v>171</v>
      </c>
      <c r="E258" t="s">
        <v>289</v>
      </c>
      <c r="F258" t="s">
        <v>289</v>
      </c>
      <c r="G258" t="str" cm="1">
        <f t="array" ref="G258">_xlfn.SWITCH(C258,
"SAM", "Salesforce",
"ITES","Jira",
"ENGG","Python",
"RND","Microsoft Platforms")</f>
        <v>Python</v>
      </c>
      <c r="H258">
        <f>VLOOKUP(E258,Roles!$C$1:$D$197,2,FALSE)</f>
        <v>6</v>
      </c>
      <c r="I258" s="1">
        <v>45889</v>
      </c>
      <c r="J258" t="s">
        <v>198</v>
      </c>
      <c r="K258" s="1">
        <v>45961</v>
      </c>
      <c r="L258" s="1">
        <v>45975</v>
      </c>
      <c r="M258" s="1">
        <v>46048</v>
      </c>
      <c r="N258" t="s">
        <v>53</v>
      </c>
      <c r="O258">
        <v>1</v>
      </c>
      <c r="P258" t="s">
        <v>61</v>
      </c>
      <c r="Q258" t="str">
        <f t="shared" si="3"/>
        <v>ENGG_EngineeringTeam7_Principal Engineer</v>
      </c>
      <c r="R258">
        <f>VLOOKUP(Q258,Roles!$A$2:$B$300,2,FALSE)</f>
        <v>87</v>
      </c>
    </row>
    <row r="259" spans="1:18">
      <c r="A259" t="s">
        <v>625</v>
      </c>
      <c r="B259" t="s">
        <v>102</v>
      </c>
      <c r="C259" t="s">
        <v>103</v>
      </c>
      <c r="D259" t="s">
        <v>321</v>
      </c>
      <c r="E259" t="s">
        <v>228</v>
      </c>
      <c r="F259" t="s">
        <v>228</v>
      </c>
      <c r="G259" t="str" cm="1">
        <f t="array" ref="G259">_xlfn.SWITCH(C259,
"SAM", "Salesforce",
"ITES","Jira",
"ENGG","Python",
"RND","Microsoft Platforms")</f>
        <v>Microsoft Platforms</v>
      </c>
      <c r="H259">
        <f>VLOOKUP(E259,Roles!$C$1:$D$197,2,FALSE)</f>
        <v>10</v>
      </c>
      <c r="I259" s="1">
        <v>45839</v>
      </c>
      <c r="J259" t="s">
        <v>365</v>
      </c>
      <c r="K259" s="1">
        <v>45908</v>
      </c>
      <c r="L259" s="1">
        <v>45928</v>
      </c>
      <c r="M259" s="1">
        <v>45943</v>
      </c>
      <c r="N259" t="s">
        <v>53</v>
      </c>
      <c r="O259">
        <v>2</v>
      </c>
      <c r="P259" t="s">
        <v>61</v>
      </c>
      <c r="Q259" t="str">
        <f t="shared" ref="Q259:Q301" si="4">CONCATENATE(C259,"_",D259,"_",E259)</f>
        <v>RND_ResearchTeam6_R&amp;D Engineer</v>
      </c>
      <c r="R259">
        <f>VLOOKUP(Q259,Roles!$A$2:$B$300,2,FALSE)</f>
        <v>180</v>
      </c>
    </row>
    <row r="260" spans="1:18">
      <c r="A260" t="s">
        <v>626</v>
      </c>
      <c r="B260" t="s">
        <v>69</v>
      </c>
      <c r="C260" t="s">
        <v>70</v>
      </c>
      <c r="D260" t="s">
        <v>164</v>
      </c>
      <c r="E260" t="s">
        <v>219</v>
      </c>
      <c r="F260" t="s">
        <v>219</v>
      </c>
      <c r="G260" t="str" cm="1">
        <f t="array" ref="G260">_xlfn.SWITCH(C260,
"SAM", "Salesforce",
"ITES","Jira",
"ENGG","Python",
"RND","Microsoft Platforms")</f>
        <v>Python</v>
      </c>
      <c r="H260">
        <f>VLOOKUP(E260,Roles!$C$1:$D$197,2,FALSE)</f>
        <v>9</v>
      </c>
      <c r="I260" s="1">
        <v>45904</v>
      </c>
      <c r="J260" t="s">
        <v>627</v>
      </c>
      <c r="K260" s="1">
        <v>45965</v>
      </c>
      <c r="N260" t="s">
        <v>53</v>
      </c>
      <c r="P260" t="s">
        <v>54</v>
      </c>
      <c r="Q260" t="str">
        <f t="shared" si="4"/>
        <v>ENGG_EngineeringTeam2_Senior Staff Engineer</v>
      </c>
      <c r="R260">
        <f>VLOOKUP(Q260,Roles!$A$2:$B$300,2,FALSE)</f>
        <v>81</v>
      </c>
    </row>
    <row r="261" spans="1:18">
      <c r="A261" t="s">
        <v>628</v>
      </c>
      <c r="B261" t="s">
        <v>102</v>
      </c>
      <c r="C261" t="s">
        <v>103</v>
      </c>
      <c r="D261" t="s">
        <v>227</v>
      </c>
      <c r="E261" t="s">
        <v>206</v>
      </c>
      <c r="F261" t="s">
        <v>206</v>
      </c>
      <c r="G261" t="str" cm="1">
        <f t="array" ref="G261">_xlfn.SWITCH(C261,
"SAM", "Salesforce",
"ITES","Jira",
"ENGG","Python",
"RND","Microsoft Platforms")</f>
        <v>Microsoft Platforms</v>
      </c>
      <c r="H261">
        <f>VLOOKUP(E261,Roles!$C$1:$D$197,2,FALSE)</f>
        <v>8</v>
      </c>
      <c r="I261" s="1">
        <v>45830</v>
      </c>
      <c r="J261" t="s">
        <v>456</v>
      </c>
      <c r="K261" s="1">
        <v>45905</v>
      </c>
      <c r="N261" t="s">
        <v>259</v>
      </c>
      <c r="P261" t="s">
        <v>54</v>
      </c>
      <c r="Q261" t="str">
        <f t="shared" si="4"/>
        <v>RND_ResearchTeam5_R&amp;D Manager</v>
      </c>
      <c r="R261">
        <f>VLOOKUP(Q261,Roles!$A$2:$B$300,2,FALSE)</f>
        <v>78</v>
      </c>
    </row>
    <row r="262" spans="1:18">
      <c r="A262" t="s">
        <v>629</v>
      </c>
      <c r="B262" t="s">
        <v>56</v>
      </c>
      <c r="C262" t="s">
        <v>57</v>
      </c>
      <c r="D262" t="s">
        <v>58</v>
      </c>
      <c r="E262" t="s">
        <v>340</v>
      </c>
      <c r="F262" t="s">
        <v>340</v>
      </c>
      <c r="G262" t="str" cm="1">
        <f t="array" ref="G262">_xlfn.SWITCH(C262,
"SAM", "Salesforce",
"ITES","Jira",
"ENGG","Python",
"RND","Microsoft Platforms")</f>
        <v>Jira</v>
      </c>
      <c r="H262">
        <f>VLOOKUP(E262,Roles!$C$1:$D$197,2,FALSE)</f>
        <v>10</v>
      </c>
      <c r="I262" s="1">
        <v>45930</v>
      </c>
      <c r="J262" t="s">
        <v>630</v>
      </c>
      <c r="K262" s="1">
        <v>45982</v>
      </c>
      <c r="L262" s="1">
        <v>45998</v>
      </c>
      <c r="M262" s="1">
        <v>46023</v>
      </c>
      <c r="N262" t="s">
        <v>53</v>
      </c>
      <c r="O262">
        <v>2</v>
      </c>
      <c r="P262" t="s">
        <v>61</v>
      </c>
      <c r="Q262" t="str">
        <f t="shared" si="4"/>
        <v>ITES_ITTeam5_Desktop Support Specialist</v>
      </c>
      <c r="R262">
        <f>VLOOKUP(Q262,Roles!$A$2:$B$300,2,FALSE)</f>
        <v>181</v>
      </c>
    </row>
    <row r="263" spans="1:18">
      <c r="A263" t="s">
        <v>631</v>
      </c>
      <c r="B263" t="s">
        <v>56</v>
      </c>
      <c r="C263" t="s">
        <v>57</v>
      </c>
      <c r="D263" t="s">
        <v>158</v>
      </c>
      <c r="E263" t="s">
        <v>239</v>
      </c>
      <c r="F263" t="s">
        <v>239</v>
      </c>
      <c r="G263" t="str" cm="1">
        <f t="array" ref="G263">_xlfn.SWITCH(C263,
"SAM", "Salesforce",
"ITES","Jira",
"ENGG","Python",
"RND","Microsoft Platforms")</f>
        <v>Jira</v>
      </c>
      <c r="H263">
        <f>VLOOKUP(E263,Roles!$C$1:$D$197,2,FALSE)</f>
        <v>11</v>
      </c>
      <c r="I263" s="1">
        <v>45889</v>
      </c>
      <c r="J263" t="s">
        <v>632</v>
      </c>
      <c r="K263" s="1">
        <v>45956</v>
      </c>
      <c r="N263" t="s">
        <v>53</v>
      </c>
      <c r="P263" t="s">
        <v>54</v>
      </c>
      <c r="Q263" t="str">
        <f t="shared" si="4"/>
        <v>ITES_ITTeam7_Help Desk Technician</v>
      </c>
      <c r="R263">
        <f>VLOOKUP(Q263,Roles!$A$2:$B$300,2,FALSE)</f>
        <v>179</v>
      </c>
    </row>
    <row r="264" spans="1:18">
      <c r="A264" t="s">
        <v>633</v>
      </c>
      <c r="B264" t="s">
        <v>48</v>
      </c>
      <c r="C264" t="s">
        <v>49</v>
      </c>
      <c r="D264" t="s">
        <v>185</v>
      </c>
      <c r="E264" t="s">
        <v>251</v>
      </c>
      <c r="F264" t="s">
        <v>251</v>
      </c>
      <c r="G264" t="str" cm="1">
        <f t="array" ref="G264">_xlfn.SWITCH(C264,
"SAM", "Salesforce",
"ITES","Jira",
"ENGG","Python",
"RND","Microsoft Platforms")</f>
        <v>Salesforce</v>
      </c>
      <c r="H264">
        <f>VLOOKUP(E264,Roles!$C$1:$D$197,2,FALSE)</f>
        <v>7</v>
      </c>
      <c r="I264" s="1">
        <v>45919</v>
      </c>
      <c r="J264" t="s">
        <v>634</v>
      </c>
      <c r="K264" s="1">
        <v>45979</v>
      </c>
      <c r="L264" s="1">
        <v>45997</v>
      </c>
      <c r="M264" s="1">
        <v>46008</v>
      </c>
      <c r="N264" t="s">
        <v>53</v>
      </c>
      <c r="O264">
        <v>2</v>
      </c>
      <c r="P264" t="s">
        <v>61</v>
      </c>
      <c r="Q264" t="str">
        <f t="shared" si="4"/>
        <v>SAM_SalesTeam10_Product Marketing Manager</v>
      </c>
      <c r="R264">
        <f>VLOOKUP(Q264,Roles!$A$2:$B$300,2,FALSE)</f>
        <v>177</v>
      </c>
    </row>
    <row r="265" spans="1:18">
      <c r="A265" t="s">
        <v>635</v>
      </c>
      <c r="B265" t="s">
        <v>102</v>
      </c>
      <c r="C265" t="s">
        <v>103</v>
      </c>
      <c r="D265" t="s">
        <v>314</v>
      </c>
      <c r="E265" t="s">
        <v>248</v>
      </c>
      <c r="F265" t="s">
        <v>248</v>
      </c>
      <c r="G265" t="str" cm="1">
        <f t="array" ref="G265">_xlfn.SWITCH(C265,
"SAM", "Salesforce",
"ITES","Jira",
"ENGG","Python",
"RND","Microsoft Platforms")</f>
        <v>Microsoft Platforms</v>
      </c>
      <c r="H265">
        <f>VLOOKUP(E265,Roles!$C$1:$D$197,2,FALSE)</f>
        <v>5</v>
      </c>
      <c r="I265" s="1">
        <v>45922</v>
      </c>
      <c r="J265" t="s">
        <v>636</v>
      </c>
      <c r="K265" s="1">
        <v>45986</v>
      </c>
      <c r="N265" t="s">
        <v>53</v>
      </c>
      <c r="P265" t="s">
        <v>54</v>
      </c>
      <c r="Q265" t="str">
        <f t="shared" si="4"/>
        <v>RND_ResearchTeam1_Senior R&amp;D Manager</v>
      </c>
      <c r="R265">
        <f>VLOOKUP(Q265,Roles!$A$2:$B$300,2,FALSE)</f>
        <v>182</v>
      </c>
    </row>
    <row r="266" spans="1:18">
      <c r="A266" t="s">
        <v>637</v>
      </c>
      <c r="B266" t="s">
        <v>102</v>
      </c>
      <c r="C266" t="s">
        <v>103</v>
      </c>
      <c r="D266" t="s">
        <v>227</v>
      </c>
      <c r="E266" t="s">
        <v>121</v>
      </c>
      <c r="F266" t="s">
        <v>121</v>
      </c>
      <c r="G266" t="str" cm="1">
        <f t="array" ref="G266">_xlfn.SWITCH(C266,
"SAM", "Salesforce",
"ITES","Jira",
"ENGG","Python",
"RND","Microsoft Platforms")</f>
        <v>Microsoft Platforms</v>
      </c>
      <c r="H266">
        <f>VLOOKUP(E266,Roles!$C$1:$D$197,2,FALSE)</f>
        <v>11</v>
      </c>
      <c r="I266" s="1">
        <v>45834</v>
      </c>
      <c r="J266" t="s">
        <v>638</v>
      </c>
      <c r="K266" s="1">
        <v>45883</v>
      </c>
      <c r="N266" t="s">
        <v>53</v>
      </c>
      <c r="P266" t="s">
        <v>54</v>
      </c>
      <c r="Q266" t="str">
        <f t="shared" si="4"/>
        <v>RND_ResearchTeam5_Research Analyst</v>
      </c>
      <c r="R266">
        <f>VLOOKUP(Q266,Roles!$A$2:$B$300,2,FALSE)</f>
        <v>183</v>
      </c>
    </row>
    <row r="267" spans="1:18">
      <c r="A267" t="s">
        <v>639</v>
      </c>
      <c r="B267" t="s">
        <v>102</v>
      </c>
      <c r="C267" t="s">
        <v>103</v>
      </c>
      <c r="D267" t="s">
        <v>227</v>
      </c>
      <c r="E267" t="s">
        <v>105</v>
      </c>
      <c r="F267" t="s">
        <v>105</v>
      </c>
      <c r="G267" t="str" cm="1">
        <f t="array" ref="G267">_xlfn.SWITCH(C267,
"SAM", "Salesforce",
"ITES","Jira",
"ENGG","Python",
"RND","Microsoft Platforms")</f>
        <v>Microsoft Platforms</v>
      </c>
      <c r="H267">
        <f>VLOOKUP(E267,Roles!$C$1:$D$197,2,FALSE)</f>
        <v>8</v>
      </c>
      <c r="I267" s="1">
        <v>45902</v>
      </c>
      <c r="J267" t="s">
        <v>476</v>
      </c>
      <c r="K267" s="1">
        <v>45957</v>
      </c>
      <c r="N267" t="s">
        <v>53</v>
      </c>
      <c r="P267" t="s">
        <v>54</v>
      </c>
      <c r="Q267" t="str">
        <f t="shared" si="4"/>
        <v>RND_ResearchTeam5_Innovation Manager</v>
      </c>
      <c r="R267">
        <f>VLOOKUP(Q267,Roles!$A$2:$B$300,2,FALSE)</f>
        <v>184</v>
      </c>
    </row>
    <row r="268" spans="1:18">
      <c r="A268" t="s">
        <v>640</v>
      </c>
      <c r="B268" t="s">
        <v>69</v>
      </c>
      <c r="C268" t="s">
        <v>70</v>
      </c>
      <c r="D268" t="s">
        <v>164</v>
      </c>
      <c r="E268" t="s">
        <v>138</v>
      </c>
      <c r="F268" t="s">
        <v>138</v>
      </c>
      <c r="G268" t="str" cm="1">
        <f t="array" ref="G268">_xlfn.SWITCH(C268,
"SAM", "Salesforce",
"ITES","Jira",
"ENGG","Python",
"RND","Microsoft Platforms")</f>
        <v>Python</v>
      </c>
      <c r="H268">
        <f>VLOOKUP(E268,Roles!$C$1:$D$197,2,FALSE)</f>
        <v>7</v>
      </c>
      <c r="I268" s="1">
        <v>45818</v>
      </c>
      <c r="J268" t="s">
        <v>641</v>
      </c>
      <c r="K268" s="1">
        <v>45875</v>
      </c>
      <c r="L268" s="1">
        <v>45890</v>
      </c>
      <c r="M268" s="1">
        <v>45900</v>
      </c>
      <c r="N268" t="s">
        <v>53</v>
      </c>
      <c r="O268">
        <v>0</v>
      </c>
      <c r="P268" t="s">
        <v>61</v>
      </c>
      <c r="Q268" t="str">
        <f t="shared" si="4"/>
        <v>ENGG_EngineeringTeam2_Engineering Manager</v>
      </c>
      <c r="R268">
        <f>VLOOKUP(Q268,Roles!$A$2:$B$300,2,FALSE)</f>
        <v>185</v>
      </c>
    </row>
    <row r="269" spans="1:18">
      <c r="A269" t="s">
        <v>642</v>
      </c>
      <c r="B269" t="s">
        <v>56</v>
      </c>
      <c r="C269" t="s">
        <v>57</v>
      </c>
      <c r="D269" t="s">
        <v>110</v>
      </c>
      <c r="E269" t="s">
        <v>114</v>
      </c>
      <c r="F269" t="s">
        <v>114</v>
      </c>
      <c r="G269" t="str" cm="1">
        <f t="array" ref="G269">_xlfn.SWITCH(C269,
"SAM", "Salesforce",
"ITES","Jira",
"ENGG","Python",
"RND","Microsoft Platforms")</f>
        <v>Jira</v>
      </c>
      <c r="H269">
        <f>VLOOKUP(E269,Roles!$C$1:$D$197,2,FALSE)</f>
        <v>11</v>
      </c>
      <c r="I269" s="1">
        <v>45911</v>
      </c>
      <c r="J269" t="s">
        <v>643</v>
      </c>
      <c r="K269" s="1">
        <v>45984</v>
      </c>
      <c r="N269" t="s">
        <v>53</v>
      </c>
      <c r="P269" t="s">
        <v>54</v>
      </c>
      <c r="Q269" t="str">
        <f t="shared" si="4"/>
        <v>ITES_ITTeam9_Technical Support Analyst</v>
      </c>
      <c r="R269">
        <f>VLOOKUP(Q269,Roles!$A$2:$B$300,2,FALSE)</f>
        <v>77</v>
      </c>
    </row>
    <row r="270" spans="1:18">
      <c r="A270" t="s">
        <v>644</v>
      </c>
      <c r="B270" t="s">
        <v>69</v>
      </c>
      <c r="C270" t="s">
        <v>70</v>
      </c>
      <c r="D270" t="s">
        <v>137</v>
      </c>
      <c r="E270" t="s">
        <v>172</v>
      </c>
      <c r="F270" t="s">
        <v>172</v>
      </c>
      <c r="G270" t="str" cm="1">
        <f t="array" ref="G270">_xlfn.SWITCH(C270,
"SAM", "Salesforce",
"ITES","Jira",
"ENGG","Python",
"RND","Microsoft Platforms")</f>
        <v>Python</v>
      </c>
      <c r="H270">
        <f>VLOOKUP(E270,Roles!$C$1:$D$197,2,FALSE)</f>
        <v>9</v>
      </c>
      <c r="I270" s="1">
        <v>45925</v>
      </c>
      <c r="J270" t="s">
        <v>627</v>
      </c>
      <c r="K270" s="1">
        <v>45984</v>
      </c>
      <c r="L270" s="1">
        <v>45994</v>
      </c>
      <c r="M270" s="1">
        <v>46028</v>
      </c>
      <c r="N270" t="s">
        <v>259</v>
      </c>
      <c r="O270">
        <v>2</v>
      </c>
      <c r="P270" t="s">
        <v>61</v>
      </c>
      <c r="Q270" t="str">
        <f t="shared" si="4"/>
        <v>ENGG_EngineeringTeam5_Senior SDE</v>
      </c>
      <c r="R270">
        <f>VLOOKUP(Q270,Roles!$A$2:$B$300,2,FALSE)</f>
        <v>39</v>
      </c>
    </row>
    <row r="271" spans="1:18">
      <c r="A271" t="s">
        <v>645</v>
      </c>
      <c r="B271" t="s">
        <v>102</v>
      </c>
      <c r="C271" t="s">
        <v>103</v>
      </c>
      <c r="D271" t="s">
        <v>104</v>
      </c>
      <c r="E271" t="s">
        <v>261</v>
      </c>
      <c r="F271" t="s">
        <v>261</v>
      </c>
      <c r="G271" t="str" cm="1">
        <f t="array" ref="G271">_xlfn.SWITCH(C271,
"SAM", "Salesforce",
"ITES","Jira",
"ENGG","Python",
"RND","Microsoft Platforms")</f>
        <v>Microsoft Platforms</v>
      </c>
      <c r="H271">
        <f>VLOOKUP(E271,Roles!$C$1:$D$197,2,FALSE)</f>
        <v>5</v>
      </c>
      <c r="I271" s="1">
        <v>45864</v>
      </c>
      <c r="J271" t="s">
        <v>646</v>
      </c>
      <c r="K271" s="1">
        <v>45914</v>
      </c>
      <c r="L271" s="1">
        <v>45924</v>
      </c>
      <c r="M271" s="1">
        <v>46002</v>
      </c>
      <c r="N271" t="s">
        <v>53</v>
      </c>
      <c r="O271">
        <v>2</v>
      </c>
      <c r="P271" t="s">
        <v>61</v>
      </c>
      <c r="Q271" t="str">
        <f t="shared" si="4"/>
        <v>RND_ResearchTeam8_R&amp;D Project Lead</v>
      </c>
      <c r="R271">
        <f>VLOOKUP(Q271,Roles!$A$2:$B$300,2,FALSE)</f>
        <v>86</v>
      </c>
    </row>
    <row r="272" spans="1:18">
      <c r="A272" t="s">
        <v>647</v>
      </c>
      <c r="B272" t="s">
        <v>102</v>
      </c>
      <c r="C272" t="s">
        <v>103</v>
      </c>
      <c r="D272" t="s">
        <v>321</v>
      </c>
      <c r="E272" t="s">
        <v>261</v>
      </c>
      <c r="F272" t="s">
        <v>261</v>
      </c>
      <c r="G272" t="str" cm="1">
        <f t="array" ref="G272">_xlfn.SWITCH(C272,
"SAM", "Salesforce",
"ITES","Jira",
"ENGG","Python",
"RND","Microsoft Platforms")</f>
        <v>Microsoft Platforms</v>
      </c>
      <c r="H272">
        <f>VLOOKUP(E272,Roles!$C$1:$D$197,2,FALSE)</f>
        <v>5</v>
      </c>
      <c r="I272" s="1">
        <v>45848</v>
      </c>
      <c r="J272" t="s">
        <v>648</v>
      </c>
      <c r="K272" s="1">
        <v>45895</v>
      </c>
      <c r="N272" t="s">
        <v>53</v>
      </c>
      <c r="P272" t="s">
        <v>54</v>
      </c>
      <c r="Q272" t="str">
        <f t="shared" si="4"/>
        <v>RND_ResearchTeam6_R&amp;D Project Lead</v>
      </c>
      <c r="R272">
        <f>VLOOKUP(Q272,Roles!$A$2:$B$300,2,FALSE)</f>
        <v>186</v>
      </c>
    </row>
    <row r="273" spans="1:18">
      <c r="A273" t="s">
        <v>649</v>
      </c>
      <c r="B273" t="s">
        <v>69</v>
      </c>
      <c r="C273" t="s">
        <v>70</v>
      </c>
      <c r="D273" t="s">
        <v>171</v>
      </c>
      <c r="E273" t="s">
        <v>86</v>
      </c>
      <c r="F273" t="s">
        <v>86</v>
      </c>
      <c r="G273" t="str" cm="1">
        <f t="array" ref="G273">_xlfn.SWITCH(C273,
"SAM", "Salesforce",
"ITES","Jira",
"ENGG","Python",
"RND","Microsoft Platforms")</f>
        <v>Python</v>
      </c>
      <c r="H273">
        <f>VLOOKUP(E273,Roles!$C$1:$D$197,2,FALSE)</f>
        <v>11</v>
      </c>
      <c r="I273" s="1">
        <v>45838</v>
      </c>
      <c r="J273" t="s">
        <v>650</v>
      </c>
      <c r="K273" s="1">
        <v>45909</v>
      </c>
      <c r="N273" t="s">
        <v>53</v>
      </c>
      <c r="P273" t="s">
        <v>54</v>
      </c>
      <c r="Q273" t="str">
        <f t="shared" si="4"/>
        <v>ENGG_EngineeringTeam7_Software Developer 1</v>
      </c>
      <c r="R273">
        <f>VLOOKUP(Q273,Roles!$A$2:$B$300,2,FALSE)</f>
        <v>187</v>
      </c>
    </row>
    <row r="274" spans="1:18">
      <c r="A274" t="s">
        <v>651</v>
      </c>
      <c r="B274" t="s">
        <v>48</v>
      </c>
      <c r="C274" t="s">
        <v>49</v>
      </c>
      <c r="D274" t="s">
        <v>92</v>
      </c>
      <c r="E274" t="s">
        <v>66</v>
      </c>
      <c r="F274" t="s">
        <v>66</v>
      </c>
      <c r="G274" t="str" cm="1">
        <f t="array" ref="G274">_xlfn.SWITCH(C274,
"SAM", "Salesforce",
"ITES","Jira",
"ENGG","Python",
"RND","Microsoft Platforms")</f>
        <v>Salesforce</v>
      </c>
      <c r="H274">
        <f>VLOOKUP(E274,Roles!$C$1:$D$197,2,FALSE)</f>
        <v>4</v>
      </c>
      <c r="I274" s="1">
        <v>45862</v>
      </c>
      <c r="J274" t="s">
        <v>652</v>
      </c>
      <c r="K274" s="1">
        <v>45930</v>
      </c>
      <c r="N274" t="s">
        <v>259</v>
      </c>
      <c r="P274" t="s">
        <v>54</v>
      </c>
      <c r="Q274" t="str">
        <f t="shared" si="4"/>
        <v>SAM_SalesTeam5_Sales Director</v>
      </c>
      <c r="R274">
        <f>VLOOKUP(Q274,Roles!$A$2:$B$300,2,FALSE)</f>
        <v>11</v>
      </c>
    </row>
    <row r="275" spans="1:18">
      <c r="A275" t="s">
        <v>653</v>
      </c>
      <c r="B275" t="s">
        <v>102</v>
      </c>
      <c r="C275" t="s">
        <v>103</v>
      </c>
      <c r="D275" t="s">
        <v>191</v>
      </c>
      <c r="E275" t="s">
        <v>206</v>
      </c>
      <c r="F275" t="s">
        <v>206</v>
      </c>
      <c r="G275" t="str" cm="1">
        <f t="array" ref="G275">_xlfn.SWITCH(C275,
"SAM", "Salesforce",
"ITES","Jira",
"ENGG","Python",
"RND","Microsoft Platforms")</f>
        <v>Microsoft Platforms</v>
      </c>
      <c r="H275">
        <f>VLOOKUP(E275,Roles!$C$1:$D$197,2,FALSE)</f>
        <v>8</v>
      </c>
      <c r="I275" s="1">
        <v>45827</v>
      </c>
      <c r="J275" t="s">
        <v>564</v>
      </c>
      <c r="K275" s="1">
        <v>45896</v>
      </c>
      <c r="L275" s="1">
        <v>45915</v>
      </c>
      <c r="M275" s="1">
        <v>45981</v>
      </c>
      <c r="N275" t="s">
        <v>53</v>
      </c>
      <c r="O275">
        <v>1</v>
      </c>
      <c r="P275" t="s">
        <v>61</v>
      </c>
      <c r="Q275" t="str">
        <f t="shared" si="4"/>
        <v>RND_ResearchTeam10_R&amp;D Manager</v>
      </c>
      <c r="R275">
        <f>VLOOKUP(Q275,Roles!$A$2:$B$300,2,FALSE)</f>
        <v>68</v>
      </c>
    </row>
    <row r="276" spans="1:18">
      <c r="A276" t="s">
        <v>654</v>
      </c>
      <c r="B276" t="s">
        <v>69</v>
      </c>
      <c r="C276" t="s">
        <v>70</v>
      </c>
      <c r="D276" t="s">
        <v>175</v>
      </c>
      <c r="E276" t="s">
        <v>289</v>
      </c>
      <c r="F276" t="s">
        <v>289</v>
      </c>
      <c r="G276" t="str" cm="1">
        <f t="array" ref="G276">_xlfn.SWITCH(C276,
"SAM", "Salesforce",
"ITES","Jira",
"ENGG","Python",
"RND","Microsoft Platforms")</f>
        <v>Python</v>
      </c>
      <c r="H276">
        <f>VLOOKUP(E276,Roles!$C$1:$D$197,2,FALSE)</f>
        <v>6</v>
      </c>
      <c r="I276" s="1">
        <v>45929</v>
      </c>
      <c r="J276" t="s">
        <v>274</v>
      </c>
      <c r="K276" s="1">
        <v>45990</v>
      </c>
      <c r="L276" s="1">
        <v>46005</v>
      </c>
      <c r="M276" s="1">
        <v>46049</v>
      </c>
      <c r="N276" t="s">
        <v>53</v>
      </c>
      <c r="O276">
        <v>0</v>
      </c>
      <c r="P276" t="s">
        <v>61</v>
      </c>
      <c r="Q276" t="str">
        <f t="shared" si="4"/>
        <v>ENGG_EngineeringTeam3_Principal Engineer</v>
      </c>
      <c r="R276">
        <f>VLOOKUP(Q276,Roles!$A$2:$B$300,2,FALSE)</f>
        <v>188</v>
      </c>
    </row>
    <row r="277" spans="1:18">
      <c r="A277" t="s">
        <v>655</v>
      </c>
      <c r="B277" t="s">
        <v>102</v>
      </c>
      <c r="C277" t="s">
        <v>103</v>
      </c>
      <c r="D277" t="s">
        <v>120</v>
      </c>
      <c r="E277" t="s">
        <v>105</v>
      </c>
      <c r="F277" t="s">
        <v>105</v>
      </c>
      <c r="G277" t="str" cm="1">
        <f t="array" ref="G277">_xlfn.SWITCH(C277,
"SAM", "Salesforce",
"ITES","Jira",
"ENGG","Python",
"RND","Microsoft Platforms")</f>
        <v>Microsoft Platforms</v>
      </c>
      <c r="H277">
        <f>VLOOKUP(E277,Roles!$C$1:$D$197,2,FALSE)</f>
        <v>8</v>
      </c>
      <c r="I277" s="1">
        <v>45930</v>
      </c>
      <c r="J277" t="s">
        <v>656</v>
      </c>
      <c r="K277" s="1">
        <v>46000</v>
      </c>
      <c r="L277" s="1">
        <v>46017</v>
      </c>
      <c r="M277" s="1">
        <v>46055</v>
      </c>
      <c r="N277" t="s">
        <v>53</v>
      </c>
      <c r="O277">
        <v>2</v>
      </c>
      <c r="P277" t="s">
        <v>61</v>
      </c>
      <c r="Q277" t="str">
        <f t="shared" si="4"/>
        <v>RND_ResearchTeam9_Innovation Manager</v>
      </c>
      <c r="R277">
        <f>VLOOKUP(Q277,Roles!$A$2:$B$300,2,FALSE)</f>
        <v>155</v>
      </c>
    </row>
    <row r="278" spans="1:18">
      <c r="A278" t="s">
        <v>657</v>
      </c>
      <c r="B278" t="s">
        <v>48</v>
      </c>
      <c r="C278" t="s">
        <v>49</v>
      </c>
      <c r="D278" t="s">
        <v>92</v>
      </c>
      <c r="E278" t="s">
        <v>51</v>
      </c>
      <c r="F278" t="s">
        <v>51</v>
      </c>
      <c r="G278" t="str" cm="1">
        <f t="array" ref="G278">_xlfn.SWITCH(C278,
"SAM", "Salesforce",
"ITES","Jira",
"ENGG","Python",
"RND","Microsoft Platforms")</f>
        <v>Salesforce</v>
      </c>
      <c r="H278">
        <f>VLOOKUP(E278,Roles!$C$1:$D$197,2,FALSE)</f>
        <v>7</v>
      </c>
      <c r="I278" s="1">
        <v>45897</v>
      </c>
      <c r="J278" t="s">
        <v>658</v>
      </c>
      <c r="K278" s="1">
        <v>45951</v>
      </c>
      <c r="N278" t="s">
        <v>53</v>
      </c>
      <c r="P278" t="s">
        <v>54</v>
      </c>
      <c r="Q278" t="str">
        <f t="shared" si="4"/>
        <v>SAM_SalesTeam5_Brand Manager</v>
      </c>
      <c r="R278">
        <f>VLOOKUP(Q278,Roles!$A$2:$B$300,2,FALSE)</f>
        <v>15</v>
      </c>
    </row>
    <row r="279" spans="1:18">
      <c r="A279" t="s">
        <v>659</v>
      </c>
      <c r="B279" t="s">
        <v>69</v>
      </c>
      <c r="C279" t="s">
        <v>70</v>
      </c>
      <c r="D279" t="s">
        <v>171</v>
      </c>
      <c r="E279" t="s">
        <v>72</v>
      </c>
      <c r="F279" t="s">
        <v>72</v>
      </c>
      <c r="G279" t="str" cm="1">
        <f t="array" ref="G279">_xlfn.SWITCH(C279,
"SAM", "Salesforce",
"ITES","Jira",
"ENGG","Python",
"RND","Microsoft Platforms")</f>
        <v>Python</v>
      </c>
      <c r="H279">
        <f>VLOOKUP(E279,Roles!$C$1:$D$197,2,FALSE)</f>
        <v>5</v>
      </c>
      <c r="I279" s="1">
        <v>45836</v>
      </c>
      <c r="J279" t="s">
        <v>660</v>
      </c>
      <c r="K279" s="1">
        <v>45909</v>
      </c>
      <c r="N279" t="s">
        <v>53</v>
      </c>
      <c r="P279" t="s">
        <v>54</v>
      </c>
      <c r="Q279" t="str">
        <f t="shared" si="4"/>
        <v>ENGG_EngineeringTeam7_Platform Delivery Lead</v>
      </c>
      <c r="R279">
        <f>VLOOKUP(Q279,Roles!$A$2:$B$300,2,FALSE)</f>
        <v>96</v>
      </c>
    </row>
    <row r="280" spans="1:18">
      <c r="A280" t="s">
        <v>661</v>
      </c>
      <c r="B280" t="s">
        <v>69</v>
      </c>
      <c r="C280" t="s">
        <v>70</v>
      </c>
      <c r="D280" t="s">
        <v>75</v>
      </c>
      <c r="E280" t="s">
        <v>76</v>
      </c>
      <c r="F280" t="s">
        <v>76</v>
      </c>
      <c r="G280" t="str" cm="1">
        <f t="array" ref="G280">_xlfn.SWITCH(C280,
"SAM", "Salesforce",
"ITES","Jira",
"ENGG","Python",
"RND","Microsoft Platforms")</f>
        <v>Python</v>
      </c>
      <c r="H280">
        <f>VLOOKUP(E280,Roles!$C$1:$D$197,2,FALSE)</f>
        <v>11</v>
      </c>
      <c r="I280" s="1">
        <v>45885</v>
      </c>
      <c r="J280" t="s">
        <v>262</v>
      </c>
      <c r="K280" s="1">
        <v>45938</v>
      </c>
      <c r="N280" t="s">
        <v>53</v>
      </c>
      <c r="P280" t="s">
        <v>54</v>
      </c>
      <c r="Q280" t="str">
        <f t="shared" si="4"/>
        <v>ENGG_EngineeringTeam10_Staff Engineer</v>
      </c>
      <c r="R280">
        <f>VLOOKUP(Q280,Roles!$A$2:$B$300,2,FALSE)</f>
        <v>6</v>
      </c>
    </row>
    <row r="281" spans="1:18">
      <c r="A281" t="s">
        <v>662</v>
      </c>
      <c r="B281" t="s">
        <v>56</v>
      </c>
      <c r="C281" t="s">
        <v>57</v>
      </c>
      <c r="D281" t="s">
        <v>158</v>
      </c>
      <c r="E281" t="s">
        <v>273</v>
      </c>
      <c r="F281" t="s">
        <v>273</v>
      </c>
      <c r="G281" t="str" cm="1">
        <f t="array" ref="G281">_xlfn.SWITCH(C281,
"SAM", "Salesforce",
"ITES","Jira",
"ENGG","Python",
"RND","Microsoft Platforms")</f>
        <v>Jira</v>
      </c>
      <c r="H281">
        <f>VLOOKUP(E281,Roles!$C$1:$D$197,2,FALSE)</f>
        <v>76</v>
      </c>
      <c r="I281" s="1">
        <v>45816</v>
      </c>
      <c r="J281" t="s">
        <v>663</v>
      </c>
      <c r="K281" s="1">
        <v>45865</v>
      </c>
      <c r="L281" s="1">
        <v>45885</v>
      </c>
      <c r="M281" s="1">
        <v>45951</v>
      </c>
      <c r="N281" t="s">
        <v>53</v>
      </c>
      <c r="O281">
        <v>0</v>
      </c>
      <c r="P281" t="s">
        <v>61</v>
      </c>
      <c r="Q281" t="str">
        <f t="shared" si="4"/>
        <v>ITES_ITTeam7_IT Manager</v>
      </c>
      <c r="R281">
        <f>VLOOKUP(Q281,Roles!$A$2:$B$300,2,FALSE)</f>
        <v>99</v>
      </c>
    </row>
    <row r="282" spans="1:18">
      <c r="A282" t="s">
        <v>664</v>
      </c>
      <c r="B282" t="s">
        <v>69</v>
      </c>
      <c r="C282" t="s">
        <v>70</v>
      </c>
      <c r="D282" t="s">
        <v>218</v>
      </c>
      <c r="E282" t="s">
        <v>165</v>
      </c>
      <c r="F282" t="s">
        <v>165</v>
      </c>
      <c r="G282" t="str" cm="1">
        <f t="array" ref="G282">_xlfn.SWITCH(C282,
"SAM", "Salesforce",
"ITES","Jira",
"ENGG","Python",
"RND","Microsoft Platforms")</f>
        <v>Python</v>
      </c>
      <c r="H282">
        <f>VLOOKUP(E282,Roles!$C$1:$D$197,2,FALSE)</f>
        <v>3</v>
      </c>
      <c r="I282" s="1">
        <v>45846</v>
      </c>
      <c r="J282" t="s">
        <v>665</v>
      </c>
      <c r="K282" s="1">
        <v>45904</v>
      </c>
      <c r="N282" t="s">
        <v>53</v>
      </c>
      <c r="P282" t="s">
        <v>54</v>
      </c>
      <c r="Q282" t="str">
        <f t="shared" si="4"/>
        <v>ENGG_EngineeringTeam9_VP Engineering</v>
      </c>
      <c r="R282">
        <f>VLOOKUP(Q282,Roles!$A$2:$B$300,2,FALSE)</f>
        <v>160</v>
      </c>
    </row>
    <row r="283" spans="1:18">
      <c r="A283" t="s">
        <v>666</v>
      </c>
      <c r="B283" t="s">
        <v>69</v>
      </c>
      <c r="C283" t="s">
        <v>70</v>
      </c>
      <c r="D283" t="s">
        <v>171</v>
      </c>
      <c r="E283" t="s">
        <v>86</v>
      </c>
      <c r="F283" t="s">
        <v>86</v>
      </c>
      <c r="G283" t="str" cm="1">
        <f t="array" ref="G283">_xlfn.SWITCH(C283,
"SAM", "Salesforce",
"ITES","Jira",
"ENGG","Python",
"RND","Microsoft Platforms")</f>
        <v>Python</v>
      </c>
      <c r="H283">
        <f>VLOOKUP(E283,Roles!$C$1:$D$197,2,FALSE)</f>
        <v>11</v>
      </c>
      <c r="I283" s="1">
        <v>45826</v>
      </c>
      <c r="J283" t="s">
        <v>183</v>
      </c>
      <c r="K283" s="1">
        <v>45876</v>
      </c>
      <c r="N283" t="s">
        <v>53</v>
      </c>
      <c r="P283" t="s">
        <v>54</v>
      </c>
      <c r="Q283" t="str">
        <f t="shared" si="4"/>
        <v>ENGG_EngineeringTeam7_Software Developer 1</v>
      </c>
      <c r="R283">
        <f>VLOOKUP(Q283,Roles!$A$2:$B$300,2,FALSE)</f>
        <v>187</v>
      </c>
    </row>
    <row r="284" spans="1:18">
      <c r="A284" t="s">
        <v>667</v>
      </c>
      <c r="B284" t="s">
        <v>56</v>
      </c>
      <c r="C284" t="s">
        <v>57</v>
      </c>
      <c r="D284" t="s">
        <v>158</v>
      </c>
      <c r="E284" t="s">
        <v>114</v>
      </c>
      <c r="F284" t="s">
        <v>114</v>
      </c>
      <c r="G284" t="str" cm="1">
        <f t="array" ref="G284">_xlfn.SWITCH(C284,
"SAM", "Salesforce",
"ITES","Jira",
"ENGG","Python",
"RND","Microsoft Platforms")</f>
        <v>Jira</v>
      </c>
      <c r="H284">
        <f>VLOOKUP(E284,Roles!$C$1:$D$197,2,FALSE)</f>
        <v>11</v>
      </c>
      <c r="I284" s="1">
        <v>45813</v>
      </c>
      <c r="J284" t="s">
        <v>668</v>
      </c>
      <c r="K284" s="1">
        <v>45864</v>
      </c>
      <c r="L284" s="1">
        <v>45875</v>
      </c>
      <c r="M284" s="1">
        <v>45905</v>
      </c>
      <c r="N284" t="s">
        <v>53</v>
      </c>
      <c r="O284">
        <v>2</v>
      </c>
      <c r="P284" t="s">
        <v>61</v>
      </c>
      <c r="Q284" t="str">
        <f t="shared" si="4"/>
        <v>ITES_ITTeam7_Technical Support Analyst</v>
      </c>
      <c r="R284">
        <f>VLOOKUP(Q284,Roles!$A$2:$B$300,2,FALSE)</f>
        <v>45</v>
      </c>
    </row>
    <row r="285" spans="1:18">
      <c r="A285" t="s">
        <v>669</v>
      </c>
      <c r="B285" t="s">
        <v>56</v>
      </c>
      <c r="C285" t="s">
        <v>57</v>
      </c>
      <c r="D285" t="s">
        <v>182</v>
      </c>
      <c r="E285" t="s">
        <v>80</v>
      </c>
      <c r="F285" t="s">
        <v>80</v>
      </c>
      <c r="G285" t="str" cm="1">
        <f t="array" ref="G285">_xlfn.SWITCH(C285,
"SAM", "Salesforce",
"ITES","Jira",
"ENGG","Python",
"RND","Microsoft Platforms")</f>
        <v>Jira</v>
      </c>
      <c r="H285">
        <f>VLOOKUP(E285,Roles!$C$1:$D$197,2,FALSE)</f>
        <v>9</v>
      </c>
      <c r="I285" s="1">
        <v>45882</v>
      </c>
      <c r="J285" t="s">
        <v>670</v>
      </c>
      <c r="K285" s="1">
        <v>45946</v>
      </c>
      <c r="N285" t="s">
        <v>53</v>
      </c>
      <c r="P285" t="s">
        <v>54</v>
      </c>
      <c r="Q285" t="str">
        <f t="shared" si="4"/>
        <v>ITES_ITTeam8_Network Administrator</v>
      </c>
      <c r="R285">
        <f>VLOOKUP(Q285,Roles!$A$2:$B$300,2,FALSE)</f>
        <v>189</v>
      </c>
    </row>
    <row r="286" spans="1:18">
      <c r="A286" t="s">
        <v>671</v>
      </c>
      <c r="B286" t="s">
        <v>69</v>
      </c>
      <c r="C286" t="s">
        <v>70</v>
      </c>
      <c r="D286" t="s">
        <v>75</v>
      </c>
      <c r="E286" t="s">
        <v>138</v>
      </c>
      <c r="F286" t="s">
        <v>138</v>
      </c>
      <c r="G286" t="str" cm="1">
        <f t="array" ref="G286">_xlfn.SWITCH(C286,
"SAM", "Salesforce",
"ITES","Jira",
"ENGG","Python",
"RND","Microsoft Platforms")</f>
        <v>Python</v>
      </c>
      <c r="H286">
        <f>VLOOKUP(E286,Roles!$C$1:$D$197,2,FALSE)</f>
        <v>7</v>
      </c>
      <c r="I286" s="1">
        <v>45842</v>
      </c>
      <c r="J286" t="s">
        <v>672</v>
      </c>
      <c r="K286" s="1">
        <v>45898</v>
      </c>
      <c r="L286" s="1">
        <v>45917</v>
      </c>
      <c r="M286" s="1">
        <v>45938</v>
      </c>
      <c r="N286" t="s">
        <v>53</v>
      </c>
      <c r="O286">
        <v>2</v>
      </c>
      <c r="P286" t="s">
        <v>61</v>
      </c>
      <c r="Q286" t="str">
        <f t="shared" si="4"/>
        <v>ENGG_EngineeringTeam10_Engineering Manager</v>
      </c>
      <c r="R286">
        <f>VLOOKUP(Q286,Roles!$A$2:$B$300,2,FALSE)</f>
        <v>103</v>
      </c>
    </row>
    <row r="287" spans="1:18">
      <c r="A287" t="s">
        <v>673</v>
      </c>
      <c r="B287" t="s">
        <v>69</v>
      </c>
      <c r="C287" t="s">
        <v>70</v>
      </c>
      <c r="D287" t="s">
        <v>151</v>
      </c>
      <c r="E287" t="s">
        <v>138</v>
      </c>
      <c r="F287" t="s">
        <v>138</v>
      </c>
      <c r="G287" t="str" cm="1">
        <f t="array" ref="G287">_xlfn.SWITCH(C287,
"SAM", "Salesforce",
"ITES","Jira",
"ENGG","Python",
"RND","Microsoft Platforms")</f>
        <v>Python</v>
      </c>
      <c r="H287">
        <f>VLOOKUP(E287,Roles!$C$1:$D$197,2,FALSE)</f>
        <v>7</v>
      </c>
      <c r="I287" s="1">
        <v>45918</v>
      </c>
      <c r="J287" t="s">
        <v>430</v>
      </c>
      <c r="K287" s="1">
        <v>45964</v>
      </c>
      <c r="L287" s="1">
        <v>45976</v>
      </c>
      <c r="M287" s="1">
        <v>46045</v>
      </c>
      <c r="N287" t="s">
        <v>53</v>
      </c>
      <c r="O287">
        <v>0</v>
      </c>
      <c r="P287" t="s">
        <v>61</v>
      </c>
      <c r="Q287" t="str">
        <f t="shared" si="4"/>
        <v>ENGG_EngineeringTeam8_Engineering Manager</v>
      </c>
      <c r="R287">
        <f>VLOOKUP(Q287,Roles!$A$2:$B$300,2,FALSE)</f>
        <v>27</v>
      </c>
    </row>
    <row r="288" spans="1:18">
      <c r="A288" t="s">
        <v>674</v>
      </c>
      <c r="B288" t="s">
        <v>69</v>
      </c>
      <c r="C288" t="s">
        <v>70</v>
      </c>
      <c r="D288" t="s">
        <v>175</v>
      </c>
      <c r="E288" t="s">
        <v>86</v>
      </c>
      <c r="F288" t="s">
        <v>86</v>
      </c>
      <c r="G288" t="str" cm="1">
        <f t="array" ref="G288">_xlfn.SWITCH(C288,
"SAM", "Salesforce",
"ITES","Jira",
"ENGG","Python",
"RND","Microsoft Platforms")</f>
        <v>Python</v>
      </c>
      <c r="H288">
        <f>VLOOKUP(E288,Roles!$C$1:$D$197,2,FALSE)</f>
        <v>11</v>
      </c>
      <c r="I288" s="1">
        <v>45913</v>
      </c>
      <c r="J288" t="s">
        <v>675</v>
      </c>
      <c r="K288" s="1">
        <v>45963</v>
      </c>
      <c r="N288" t="s">
        <v>259</v>
      </c>
      <c r="P288" t="s">
        <v>54</v>
      </c>
      <c r="Q288" t="str">
        <f t="shared" si="4"/>
        <v>ENGG_EngineeringTeam3_Software Developer 1</v>
      </c>
      <c r="R288">
        <f>VLOOKUP(Q288,Roles!$A$2:$B$300,2,FALSE)</f>
        <v>34</v>
      </c>
    </row>
    <row r="289" spans="1:18">
      <c r="A289" t="s">
        <v>676</v>
      </c>
      <c r="B289" t="s">
        <v>102</v>
      </c>
      <c r="C289" t="s">
        <v>103</v>
      </c>
      <c r="D289" t="s">
        <v>124</v>
      </c>
      <c r="E289" t="s">
        <v>105</v>
      </c>
      <c r="F289" t="s">
        <v>105</v>
      </c>
      <c r="G289" t="str" cm="1">
        <f t="array" ref="G289">_xlfn.SWITCH(C289,
"SAM", "Salesforce",
"ITES","Jira",
"ENGG","Python",
"RND","Microsoft Platforms")</f>
        <v>Microsoft Platforms</v>
      </c>
      <c r="H289">
        <f>VLOOKUP(E289,Roles!$C$1:$D$197,2,FALSE)</f>
        <v>8</v>
      </c>
      <c r="I289" s="1">
        <v>45859</v>
      </c>
      <c r="J289" t="s">
        <v>501</v>
      </c>
      <c r="K289" s="1">
        <v>45931</v>
      </c>
      <c r="N289" t="s">
        <v>53</v>
      </c>
      <c r="P289" t="s">
        <v>54</v>
      </c>
      <c r="Q289" t="str">
        <f t="shared" si="4"/>
        <v>RND_ResearchTeam7_Innovation Manager</v>
      </c>
      <c r="R289">
        <f>VLOOKUP(Q289,Roles!$A$2:$B$300,2,FALSE)</f>
        <v>110</v>
      </c>
    </row>
    <row r="290" spans="1:18">
      <c r="A290" t="s">
        <v>677</v>
      </c>
      <c r="B290" t="s">
        <v>48</v>
      </c>
      <c r="C290" t="s">
        <v>49</v>
      </c>
      <c r="D290" t="s">
        <v>168</v>
      </c>
      <c r="E290" t="s">
        <v>51</v>
      </c>
      <c r="F290" t="s">
        <v>51</v>
      </c>
      <c r="G290" t="str" cm="1">
        <f t="array" ref="G290">_xlfn.SWITCH(C290,
"SAM", "Salesforce",
"ITES","Jira",
"ENGG","Python",
"RND","Microsoft Platforms")</f>
        <v>Salesforce</v>
      </c>
      <c r="H290">
        <f>VLOOKUP(E290,Roles!$C$1:$D$197,2,FALSE)</f>
        <v>7</v>
      </c>
      <c r="I290" s="1">
        <v>45853</v>
      </c>
      <c r="J290" t="s">
        <v>678</v>
      </c>
      <c r="K290" s="1">
        <v>45927</v>
      </c>
      <c r="N290" t="s">
        <v>53</v>
      </c>
      <c r="P290" t="s">
        <v>54</v>
      </c>
      <c r="Q290" t="str">
        <f t="shared" si="4"/>
        <v>SAM_SalesTeam1_Brand Manager</v>
      </c>
      <c r="R290">
        <f>VLOOKUP(Q290,Roles!$A$2:$B$300,2,FALSE)</f>
        <v>32</v>
      </c>
    </row>
    <row r="291" spans="1:18">
      <c r="A291" t="s">
        <v>679</v>
      </c>
      <c r="B291" t="s">
        <v>56</v>
      </c>
      <c r="C291" t="s">
        <v>57</v>
      </c>
      <c r="D291" t="s">
        <v>113</v>
      </c>
      <c r="E291" t="s">
        <v>340</v>
      </c>
      <c r="F291" t="s">
        <v>340</v>
      </c>
      <c r="G291" t="str" cm="1">
        <f t="array" ref="G291">_xlfn.SWITCH(C291,
"SAM", "Salesforce",
"ITES","Jira",
"ENGG","Python",
"RND","Microsoft Platforms")</f>
        <v>Jira</v>
      </c>
      <c r="H291">
        <f>VLOOKUP(E291,Roles!$C$1:$D$197,2,FALSE)</f>
        <v>10</v>
      </c>
      <c r="I291" s="1">
        <v>45847</v>
      </c>
      <c r="J291" t="s">
        <v>680</v>
      </c>
      <c r="K291" s="1">
        <v>45914</v>
      </c>
      <c r="N291" t="s">
        <v>53</v>
      </c>
      <c r="P291" t="s">
        <v>54</v>
      </c>
      <c r="Q291" t="str">
        <f t="shared" si="4"/>
        <v>ITES_ITTeam3_Desktop Support Specialist</v>
      </c>
      <c r="R291">
        <f>VLOOKUP(Q291,Roles!$A$2:$B$300,2,FALSE)</f>
        <v>176</v>
      </c>
    </row>
    <row r="292" spans="1:18">
      <c r="A292" t="s">
        <v>681</v>
      </c>
      <c r="B292" t="s">
        <v>102</v>
      </c>
      <c r="C292" t="s">
        <v>103</v>
      </c>
      <c r="D292" t="s">
        <v>321</v>
      </c>
      <c r="E292" t="s">
        <v>248</v>
      </c>
      <c r="F292" t="s">
        <v>248</v>
      </c>
      <c r="G292" t="str" cm="1">
        <f t="array" ref="G292">_xlfn.SWITCH(C292,
"SAM", "Salesforce",
"ITES","Jira",
"ENGG","Python",
"RND","Microsoft Platforms")</f>
        <v>Microsoft Platforms</v>
      </c>
      <c r="H292">
        <f>VLOOKUP(E292,Roles!$C$1:$D$197,2,FALSE)</f>
        <v>5</v>
      </c>
      <c r="I292" s="1">
        <v>45845</v>
      </c>
      <c r="J292" t="s">
        <v>214</v>
      </c>
      <c r="K292" s="1">
        <v>45913</v>
      </c>
      <c r="N292" t="s">
        <v>53</v>
      </c>
      <c r="P292" t="s">
        <v>54</v>
      </c>
      <c r="Q292" t="str">
        <f t="shared" si="4"/>
        <v>RND_ResearchTeam6_Senior R&amp;D Manager</v>
      </c>
      <c r="R292">
        <f>VLOOKUP(Q292,Roles!$A$2:$B$300,2,FALSE)</f>
        <v>190</v>
      </c>
    </row>
    <row r="293" spans="1:18">
      <c r="A293" t="s">
        <v>682</v>
      </c>
      <c r="B293" t="s">
        <v>102</v>
      </c>
      <c r="C293" t="s">
        <v>103</v>
      </c>
      <c r="D293" t="s">
        <v>124</v>
      </c>
      <c r="E293" t="s">
        <v>206</v>
      </c>
      <c r="F293" t="s">
        <v>206</v>
      </c>
      <c r="G293" t="str" cm="1">
        <f t="array" ref="G293">_xlfn.SWITCH(C293,
"SAM", "Salesforce",
"ITES","Jira",
"ENGG","Python",
"RND","Microsoft Platforms")</f>
        <v>Microsoft Platforms</v>
      </c>
      <c r="H293">
        <f>VLOOKUP(E293,Roles!$C$1:$D$197,2,FALSE)</f>
        <v>8</v>
      </c>
      <c r="I293" s="1">
        <v>45927</v>
      </c>
      <c r="J293" t="s">
        <v>229</v>
      </c>
      <c r="K293" s="1">
        <v>45985</v>
      </c>
      <c r="N293" t="s">
        <v>53</v>
      </c>
      <c r="P293" t="s">
        <v>54</v>
      </c>
      <c r="Q293" t="str">
        <f t="shared" si="4"/>
        <v>RND_ResearchTeam7_R&amp;D Manager</v>
      </c>
      <c r="R293">
        <f>VLOOKUP(Q293,Roles!$A$2:$B$300,2,FALSE)</f>
        <v>191</v>
      </c>
    </row>
    <row r="294" spans="1:18">
      <c r="A294" t="s">
        <v>683</v>
      </c>
      <c r="B294" t="s">
        <v>102</v>
      </c>
      <c r="C294" t="s">
        <v>103</v>
      </c>
      <c r="D294" t="s">
        <v>227</v>
      </c>
      <c r="E294" t="s">
        <v>121</v>
      </c>
      <c r="F294" t="s">
        <v>121</v>
      </c>
      <c r="G294" t="str" cm="1">
        <f t="array" ref="G294">_xlfn.SWITCH(C294,
"SAM", "Salesforce",
"ITES","Jira",
"ENGG","Python",
"RND","Microsoft Platforms")</f>
        <v>Microsoft Platforms</v>
      </c>
      <c r="H294">
        <f>VLOOKUP(E294,Roles!$C$1:$D$197,2,FALSE)</f>
        <v>11</v>
      </c>
      <c r="I294" s="1">
        <v>45910</v>
      </c>
      <c r="J294" t="s">
        <v>684</v>
      </c>
      <c r="K294" s="1">
        <v>45967</v>
      </c>
      <c r="L294" s="1">
        <v>45981</v>
      </c>
      <c r="M294" s="1">
        <v>46062</v>
      </c>
      <c r="N294" t="s">
        <v>53</v>
      </c>
      <c r="O294">
        <v>1</v>
      </c>
      <c r="P294" t="s">
        <v>61</v>
      </c>
      <c r="Q294" t="str">
        <f t="shared" si="4"/>
        <v>RND_ResearchTeam5_Research Analyst</v>
      </c>
      <c r="R294">
        <f>VLOOKUP(Q294,Roles!$A$2:$B$300,2,FALSE)</f>
        <v>183</v>
      </c>
    </row>
    <row r="295" spans="1:18">
      <c r="A295" t="s">
        <v>685</v>
      </c>
      <c r="B295" t="s">
        <v>56</v>
      </c>
      <c r="C295" t="s">
        <v>57</v>
      </c>
      <c r="D295" t="s">
        <v>110</v>
      </c>
      <c r="E295" t="s">
        <v>80</v>
      </c>
      <c r="F295" t="s">
        <v>80</v>
      </c>
      <c r="G295" t="str" cm="1">
        <f t="array" ref="G295">_xlfn.SWITCH(C295,
"SAM", "Salesforce",
"ITES","Jira",
"ENGG","Python",
"RND","Microsoft Platforms")</f>
        <v>Jira</v>
      </c>
      <c r="H295">
        <f>VLOOKUP(E295,Roles!$C$1:$D$197,2,FALSE)</f>
        <v>9</v>
      </c>
      <c r="I295" s="1">
        <v>45895</v>
      </c>
      <c r="J295" t="s">
        <v>686</v>
      </c>
      <c r="K295" s="1">
        <v>45966</v>
      </c>
      <c r="N295" t="s">
        <v>53</v>
      </c>
      <c r="P295" t="s">
        <v>54</v>
      </c>
      <c r="Q295" t="str">
        <f t="shared" si="4"/>
        <v>ITES_ITTeam9_Network Administrator</v>
      </c>
      <c r="R295">
        <f>VLOOKUP(Q295,Roles!$A$2:$B$300,2,FALSE)</f>
        <v>192</v>
      </c>
    </row>
    <row r="296" spans="1:18">
      <c r="A296" t="s">
        <v>687</v>
      </c>
      <c r="B296" t="s">
        <v>48</v>
      </c>
      <c r="C296" t="s">
        <v>49</v>
      </c>
      <c r="D296" t="s">
        <v>98</v>
      </c>
      <c r="E296" t="s">
        <v>51</v>
      </c>
      <c r="F296" t="s">
        <v>51</v>
      </c>
      <c r="G296" t="str" cm="1">
        <f t="array" ref="G296">_xlfn.SWITCH(C296,
"SAM", "Salesforce",
"ITES","Jira",
"ENGG","Python",
"RND","Microsoft Platforms")</f>
        <v>Salesforce</v>
      </c>
      <c r="H296">
        <f>VLOOKUP(E296,Roles!$C$1:$D$197,2,FALSE)</f>
        <v>7</v>
      </c>
      <c r="I296" s="1">
        <v>45930</v>
      </c>
      <c r="J296" t="s">
        <v>688</v>
      </c>
      <c r="K296" s="1">
        <v>45987</v>
      </c>
      <c r="N296" t="s">
        <v>53</v>
      </c>
      <c r="P296" t="s">
        <v>54</v>
      </c>
      <c r="Q296" t="str">
        <f t="shared" si="4"/>
        <v>SAM_SalesTeam8_Brand Manager</v>
      </c>
      <c r="R296">
        <f>VLOOKUP(Q296,Roles!$A$2:$B$300,2,FALSE)</f>
        <v>193</v>
      </c>
    </row>
    <row r="297" spans="1:18">
      <c r="A297" t="s">
        <v>689</v>
      </c>
      <c r="B297" t="s">
        <v>48</v>
      </c>
      <c r="C297" t="s">
        <v>49</v>
      </c>
      <c r="D297" t="s">
        <v>185</v>
      </c>
      <c r="E297" t="s">
        <v>99</v>
      </c>
      <c r="F297" t="s">
        <v>99</v>
      </c>
      <c r="G297" t="str" cm="1">
        <f t="array" ref="G297">_xlfn.SWITCH(C297,
"SAM", "Salesforce",
"ITES","Jira",
"ENGG","Python",
"RND","Microsoft Platforms")</f>
        <v>Salesforce</v>
      </c>
      <c r="H297">
        <f>VLOOKUP(E297,Roles!$C$1:$D$197,2,FALSE)</f>
        <v>10</v>
      </c>
      <c r="I297" s="1">
        <v>45927</v>
      </c>
      <c r="J297" t="s">
        <v>627</v>
      </c>
      <c r="K297" s="1">
        <v>45984</v>
      </c>
      <c r="N297" t="s">
        <v>53</v>
      </c>
      <c r="P297" t="s">
        <v>54</v>
      </c>
      <c r="Q297" t="str">
        <f t="shared" si="4"/>
        <v>SAM_SalesTeam10_Digital Marketing Specialist</v>
      </c>
      <c r="R297">
        <f>VLOOKUP(Q297,Roles!$A$2:$B$300,2,FALSE)</f>
        <v>36</v>
      </c>
    </row>
    <row r="298" spans="1:18">
      <c r="A298" t="s">
        <v>690</v>
      </c>
      <c r="B298" t="s">
        <v>56</v>
      </c>
      <c r="C298" t="s">
        <v>57</v>
      </c>
      <c r="D298" t="s">
        <v>79</v>
      </c>
      <c r="E298" t="s">
        <v>59</v>
      </c>
      <c r="F298" t="s">
        <v>59</v>
      </c>
      <c r="G298" t="str" cm="1">
        <f t="array" ref="G298">_xlfn.SWITCH(C298,
"SAM", "Salesforce",
"ITES","Jira",
"ENGG","Python",
"RND","Microsoft Platforms")</f>
        <v>Jira</v>
      </c>
      <c r="H298">
        <f>VLOOKUP(E298,Roles!$C$1:$D$197,2,FALSE)</f>
        <v>9</v>
      </c>
      <c r="I298" s="1">
        <v>45828</v>
      </c>
      <c r="J298" t="s">
        <v>691</v>
      </c>
      <c r="K298" s="1">
        <v>45890</v>
      </c>
      <c r="N298" t="s">
        <v>53</v>
      </c>
      <c r="P298" t="s">
        <v>54</v>
      </c>
      <c r="Q298" t="str">
        <f t="shared" si="4"/>
        <v>ITES_ITTeam2_System Administrator</v>
      </c>
      <c r="R298">
        <f>VLOOKUP(Q298,Roles!$A$2:$B$300,2,FALSE)</f>
        <v>194</v>
      </c>
    </row>
    <row r="299" spans="1:18">
      <c r="A299" t="s">
        <v>692</v>
      </c>
      <c r="B299" t="s">
        <v>69</v>
      </c>
      <c r="C299" t="s">
        <v>70</v>
      </c>
      <c r="D299" t="s">
        <v>151</v>
      </c>
      <c r="E299" t="s">
        <v>219</v>
      </c>
      <c r="F299" t="s">
        <v>219</v>
      </c>
      <c r="G299" t="str" cm="1">
        <f t="array" ref="G299">_xlfn.SWITCH(C299,
"SAM", "Salesforce",
"ITES","Jira",
"ENGG","Python",
"RND","Microsoft Platforms")</f>
        <v>Python</v>
      </c>
      <c r="H299">
        <f>VLOOKUP(E299,Roles!$C$1:$D$197,2,FALSE)</f>
        <v>9</v>
      </c>
      <c r="I299" s="1">
        <v>45890</v>
      </c>
      <c r="J299" t="s">
        <v>693</v>
      </c>
      <c r="K299" s="1">
        <v>45936</v>
      </c>
      <c r="N299" t="s">
        <v>53</v>
      </c>
      <c r="P299" t="s">
        <v>54</v>
      </c>
      <c r="Q299" t="str">
        <f t="shared" si="4"/>
        <v>ENGG_EngineeringTeam8_Senior Staff Engineer</v>
      </c>
      <c r="R299">
        <f>VLOOKUP(Q299,Roles!$A$2:$B$300,2,FALSE)</f>
        <v>195</v>
      </c>
    </row>
    <row r="300" spans="1:18">
      <c r="A300" t="s">
        <v>694</v>
      </c>
      <c r="B300" t="s">
        <v>48</v>
      </c>
      <c r="C300" t="s">
        <v>49</v>
      </c>
      <c r="D300" t="s">
        <v>209</v>
      </c>
      <c r="E300" t="s">
        <v>142</v>
      </c>
      <c r="F300" t="s">
        <v>142</v>
      </c>
      <c r="G300" t="str" cm="1">
        <f t="array" ref="G300">_xlfn.SWITCH(C300,
"SAM", "Salesforce",
"ITES","Jira",
"ENGG","Python",
"RND","Microsoft Platforms")</f>
        <v>Salesforce</v>
      </c>
      <c r="H300">
        <f>VLOOKUP(E300,Roles!$C$1:$D$197,2,FALSE)</f>
        <v>7</v>
      </c>
      <c r="I300" s="1">
        <v>45834</v>
      </c>
      <c r="J300" t="s">
        <v>695</v>
      </c>
      <c r="K300" s="1">
        <v>45891</v>
      </c>
      <c r="L300" s="1">
        <v>45910</v>
      </c>
      <c r="M300" s="1">
        <v>45985</v>
      </c>
      <c r="N300" t="s">
        <v>53</v>
      </c>
      <c r="O300">
        <v>0</v>
      </c>
      <c r="P300" t="s">
        <v>61</v>
      </c>
      <c r="Q300" t="str">
        <f t="shared" si="4"/>
        <v>SAM_SalesTeam7_Sales Manager</v>
      </c>
      <c r="R300">
        <f>VLOOKUP(Q300,Roles!$A$2:$B$300,2,FALSE)</f>
        <v>44</v>
      </c>
    </row>
    <row r="301" spans="1:18">
      <c r="A301" t="s">
        <v>696</v>
      </c>
      <c r="B301" t="s">
        <v>56</v>
      </c>
      <c r="C301" t="s">
        <v>57</v>
      </c>
      <c r="D301" t="s">
        <v>117</v>
      </c>
      <c r="E301" t="s">
        <v>161</v>
      </c>
      <c r="F301" t="s">
        <v>161</v>
      </c>
      <c r="G301" t="str" cm="1">
        <f t="array" ref="G301">_xlfn.SWITCH(C301,
"SAM", "Salesforce",
"ITES","Jira",
"ENGG","Python",
"RND","Microsoft Platforms")</f>
        <v>Jira</v>
      </c>
      <c r="H301">
        <f>VLOOKUP(E301,Roles!$C$1:$D$197,2,FALSE)</f>
        <v>10</v>
      </c>
      <c r="I301" s="1">
        <v>45885</v>
      </c>
      <c r="J301" t="s">
        <v>697</v>
      </c>
      <c r="K301" s="1">
        <v>45944</v>
      </c>
      <c r="N301" t="s">
        <v>53</v>
      </c>
      <c r="P301" t="s">
        <v>54</v>
      </c>
      <c r="Q301" t="str">
        <f t="shared" si="4"/>
        <v>ITES_ITTeam10_Computer Technician</v>
      </c>
      <c r="R301">
        <f>VLOOKUP(Q301,Roles!$A$2:$B$300,2,FALSE)</f>
        <v>196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AD98-AC3A-4D19-BD17-FB89E510102B}">
  <dimension ref="A1:K301"/>
  <sheetViews>
    <sheetView topLeftCell="B1" workbookViewId="0">
      <selection activeCell="D2" sqref="D2"/>
    </sheetView>
  </sheetViews>
  <sheetFormatPr defaultColWidth="24.453125" defaultRowHeight="14.5"/>
  <cols>
    <col min="1" max="1" width="6.7265625" bestFit="1" customWidth="1"/>
    <col min="3" max="3" width="6.7265625" bestFit="1" customWidth="1"/>
    <col min="4" max="4" width="17.1796875" style="1" customWidth="1"/>
    <col min="5" max="5" width="27.54296875" style="1" bestFit="1" customWidth="1"/>
    <col min="6" max="6" width="11.54296875" style="1" bestFit="1" customWidth="1"/>
    <col min="7" max="7" width="14.81640625" style="1" bestFit="1" customWidth="1"/>
    <col min="8" max="9" width="15.1796875" bestFit="1" customWidth="1"/>
    <col min="10" max="10" width="11.81640625" bestFit="1" customWidth="1"/>
    <col min="11" max="11" width="15.1796875" bestFit="1" customWidth="1"/>
  </cols>
  <sheetData>
    <row r="1" spans="1:11">
      <c r="A1" t="s">
        <v>46</v>
      </c>
      <c r="B1" t="s">
        <v>33</v>
      </c>
      <c r="C1" t="s">
        <v>30</v>
      </c>
      <c r="D1" s="1" t="s">
        <v>37</v>
      </c>
      <c r="E1" s="1" t="s">
        <v>39</v>
      </c>
      <c r="F1" s="1" t="s">
        <v>40</v>
      </c>
      <c r="G1" s="1" t="s">
        <v>41</v>
      </c>
      <c r="H1" t="s">
        <v>42</v>
      </c>
      <c r="I1" t="s">
        <v>43</v>
      </c>
      <c r="J1" s="1" t="s">
        <v>698</v>
      </c>
      <c r="K1" s="1" t="s">
        <v>699</v>
      </c>
    </row>
    <row r="2" spans="1:11">
      <c r="A2">
        <f>Table1[[#This Row],[Role ID]]</f>
        <v>1</v>
      </c>
      <c r="B2" t="str">
        <f>Table1[[#This Row],[Role]]</f>
        <v>Brand Manager</v>
      </c>
      <c r="C2" t="str">
        <f>Table1[[#This Row],[Stream Internal]]</f>
        <v>SAM</v>
      </c>
      <c r="D2" s="1">
        <f>IF(ISBLANK(Table1[[#This Row],[Demand Date]]),"",Table1[[#This Row],[Demand Date]])</f>
        <v>45878</v>
      </c>
      <c r="E2" s="1">
        <f>IF(ISBLANK(Table1[[#This Row],[Date Job Requirement Released]]),"",Table1[[#This Row],[Date Job Requirement Released]])</f>
        <v>45928</v>
      </c>
      <c r="F2" s="1" t="str">
        <f>IF(ISBLANK(Table1[[#This Row],[Date Offered]]),"",Table1[[#This Row],[Date Offered]])</f>
        <v/>
      </c>
      <c r="G2" s="1" t="str">
        <f>IF(ISBLANK(Table1[[#This Row],[Date Onboarded]]),"",Table1[[#This Row],[Date Onboarded]])</f>
        <v/>
      </c>
      <c r="H2" t="str">
        <f>Table1[[#This Row],[Internal/External]]</f>
        <v>Internal</v>
      </c>
      <c r="I2">
        <f>Table1[[#This Row],[Pipeline Updated]]</f>
        <v>0</v>
      </c>
      <c r="J2" t="str">
        <f>IF(OR(E2="",F2=""),"",F2-E2)</f>
        <v/>
      </c>
      <c r="K2" t="str">
        <f>IF(OR(E2="",G2=""),"",G2-E2)</f>
        <v/>
      </c>
    </row>
    <row r="3" spans="1:11">
      <c r="A3">
        <f>Table1[[#This Row],[Role ID]]</f>
        <v>2</v>
      </c>
      <c r="B3" t="str">
        <f>Table1[[#This Row],[Role]]</f>
        <v>System Administrator</v>
      </c>
      <c r="C3" t="str">
        <f>Table1[[#This Row],[Stream Internal]]</f>
        <v>ITES</v>
      </c>
      <c r="D3" s="1">
        <f>IF(ISBLANK(Table1[[#This Row],[Demand Date]]),"",Table1[[#This Row],[Demand Date]])</f>
        <v>45891</v>
      </c>
      <c r="E3" s="1">
        <f>IF(ISBLANK(Table1[[#This Row],[Date Job Requirement Released]]),"",Table1[[#This Row],[Date Job Requirement Released]])</f>
        <v>45947</v>
      </c>
      <c r="F3" s="1">
        <f>IF(ISBLANK(Table1[[#This Row],[Date Offered]]),"",Table1[[#This Row],[Date Offered]])</f>
        <v>45962</v>
      </c>
      <c r="G3" s="1">
        <f>IF(ISBLANK(Table1[[#This Row],[Date Onboarded]]),"",Table1[[#This Row],[Date Onboarded]])</f>
        <v>45975</v>
      </c>
      <c r="H3" t="str">
        <f>Table1[[#This Row],[Internal/External]]</f>
        <v>Internal</v>
      </c>
      <c r="I3">
        <f>Table1[[#This Row],[Pipeline Updated]]</f>
        <v>2</v>
      </c>
      <c r="J3">
        <f>IF(OR(E3="",F3=""),"",F3-E3)</f>
        <v>15</v>
      </c>
      <c r="K3">
        <f t="shared" ref="K3:K66" si="0">IF(OR(E3="",G3=""),"",G3-E3)</f>
        <v>28</v>
      </c>
    </row>
    <row r="4" spans="1:11">
      <c r="A4">
        <f>Table1[[#This Row],[Role ID]]</f>
        <v>3</v>
      </c>
      <c r="B4" t="str">
        <f>Table1[[#This Row],[Role]]</f>
        <v>IT Support Specialist</v>
      </c>
      <c r="C4" t="str">
        <f>Table1[[#This Row],[Stream Internal]]</f>
        <v>ITES</v>
      </c>
      <c r="D4" s="1">
        <f>IF(ISBLANK(Table1[[#This Row],[Demand Date]]),"",Table1[[#This Row],[Demand Date]])</f>
        <v>45901</v>
      </c>
      <c r="E4" s="1">
        <f>IF(ISBLANK(Table1[[#This Row],[Date Job Requirement Released]]),"",Table1[[#This Row],[Date Job Requirement Released]])</f>
        <v>45972</v>
      </c>
      <c r="F4" s="1" t="str">
        <f>IF(ISBLANK(Table1[[#This Row],[Date Offered]]),"",Table1[[#This Row],[Date Offered]])</f>
        <v/>
      </c>
      <c r="G4" s="1" t="str">
        <f>IF(ISBLANK(Table1[[#This Row],[Date Onboarded]]),"",Table1[[#This Row],[Date Onboarded]])</f>
        <v/>
      </c>
      <c r="H4" t="str">
        <f>Table1[[#This Row],[Internal/External]]</f>
        <v>Internal</v>
      </c>
      <c r="I4">
        <f>Table1[[#This Row],[Pipeline Updated]]</f>
        <v>0</v>
      </c>
      <c r="J4" t="str">
        <f t="shared" ref="J4:J67" si="1">IF(OR(E4="",F4=""),"",F4-E4)</f>
        <v/>
      </c>
      <c r="K4" t="str">
        <f t="shared" si="0"/>
        <v/>
      </c>
    </row>
    <row r="5" spans="1:11">
      <c r="A5">
        <f>Table1[[#This Row],[Role ID]]</f>
        <v>4</v>
      </c>
      <c r="B5" t="str">
        <f>Table1[[#This Row],[Role]]</f>
        <v>Sales Director</v>
      </c>
      <c r="C5" t="str">
        <f>Table1[[#This Row],[Stream Internal]]</f>
        <v>SAM</v>
      </c>
      <c r="D5" s="1">
        <f>IF(ISBLANK(Table1[[#This Row],[Demand Date]]),"",Table1[[#This Row],[Demand Date]])</f>
        <v>45889</v>
      </c>
      <c r="E5" s="1">
        <f>IF(ISBLANK(Table1[[#This Row],[Date Job Requirement Released]]),"",Table1[[#This Row],[Date Job Requirement Released]])</f>
        <v>45963</v>
      </c>
      <c r="F5" s="1" t="str">
        <f>IF(ISBLANK(Table1[[#This Row],[Date Offered]]),"",Table1[[#This Row],[Date Offered]])</f>
        <v/>
      </c>
      <c r="G5" s="1" t="str">
        <f>IF(ISBLANK(Table1[[#This Row],[Date Onboarded]]),"",Table1[[#This Row],[Date Onboarded]])</f>
        <v/>
      </c>
      <c r="H5" t="str">
        <f>Table1[[#This Row],[Internal/External]]</f>
        <v>Internal</v>
      </c>
      <c r="I5">
        <f>Table1[[#This Row],[Pipeline Updated]]</f>
        <v>0</v>
      </c>
      <c r="J5" t="str">
        <f t="shared" si="1"/>
        <v/>
      </c>
      <c r="K5" t="str">
        <f t="shared" si="0"/>
        <v/>
      </c>
    </row>
    <row r="6" spans="1:11">
      <c r="A6">
        <f>Table1[[#This Row],[Role ID]]</f>
        <v>5</v>
      </c>
      <c r="B6" t="str">
        <f>Table1[[#This Row],[Role]]</f>
        <v>Platform Delivery Lead</v>
      </c>
      <c r="C6" t="str">
        <f>Table1[[#This Row],[Stream Internal]]</f>
        <v>ENGG</v>
      </c>
      <c r="D6" s="1">
        <f>IF(ISBLANK(Table1[[#This Row],[Demand Date]]),"",Table1[[#This Row],[Demand Date]])</f>
        <v>45881</v>
      </c>
      <c r="E6" s="1">
        <f>IF(ISBLANK(Table1[[#This Row],[Date Job Requirement Released]]),"",Table1[[#This Row],[Date Job Requirement Released]])</f>
        <v>45931</v>
      </c>
      <c r="F6" s="1" t="str">
        <f>IF(ISBLANK(Table1[[#This Row],[Date Offered]]),"",Table1[[#This Row],[Date Offered]])</f>
        <v/>
      </c>
      <c r="G6" s="1" t="str">
        <f>IF(ISBLANK(Table1[[#This Row],[Date Onboarded]]),"",Table1[[#This Row],[Date Onboarded]])</f>
        <v/>
      </c>
      <c r="H6" t="str">
        <f>Table1[[#This Row],[Internal/External]]</f>
        <v>Internal</v>
      </c>
      <c r="I6">
        <f>Table1[[#This Row],[Pipeline Updated]]</f>
        <v>0</v>
      </c>
      <c r="J6" t="str">
        <f t="shared" si="1"/>
        <v/>
      </c>
      <c r="K6" t="str">
        <f t="shared" si="0"/>
        <v/>
      </c>
    </row>
    <row r="7" spans="1:11">
      <c r="A7">
        <f>Table1[[#This Row],[Role ID]]</f>
        <v>6</v>
      </c>
      <c r="B7" t="str">
        <f>Table1[[#This Row],[Role]]</f>
        <v>Staff Engineer</v>
      </c>
      <c r="C7" t="str">
        <f>Table1[[#This Row],[Stream Internal]]</f>
        <v>ENGG</v>
      </c>
      <c r="D7" s="1">
        <f>IF(ISBLANK(Table1[[#This Row],[Demand Date]]),"",Table1[[#This Row],[Demand Date]])</f>
        <v>45926</v>
      </c>
      <c r="E7" s="1">
        <f>IF(ISBLANK(Table1[[#This Row],[Date Job Requirement Released]]),"",Table1[[#This Row],[Date Job Requirement Released]])</f>
        <v>45990</v>
      </c>
      <c r="F7" s="1" t="str">
        <f>IF(ISBLANK(Table1[[#This Row],[Date Offered]]),"",Table1[[#This Row],[Date Offered]])</f>
        <v/>
      </c>
      <c r="G7" s="1" t="str">
        <f>IF(ISBLANK(Table1[[#This Row],[Date Onboarded]]),"",Table1[[#This Row],[Date Onboarded]])</f>
        <v/>
      </c>
      <c r="H7" t="str">
        <f>Table1[[#This Row],[Internal/External]]</f>
        <v>Internal</v>
      </c>
      <c r="I7">
        <f>Table1[[#This Row],[Pipeline Updated]]</f>
        <v>0</v>
      </c>
      <c r="J7" t="str">
        <f t="shared" si="1"/>
        <v/>
      </c>
      <c r="K7" t="str">
        <f t="shared" si="0"/>
        <v/>
      </c>
    </row>
    <row r="8" spans="1:11">
      <c r="A8">
        <f>Table1[[#This Row],[Role ID]]</f>
        <v>7</v>
      </c>
      <c r="B8" t="str">
        <f>Table1[[#This Row],[Role]]</f>
        <v>Network Administrator</v>
      </c>
      <c r="C8" t="str">
        <f>Table1[[#This Row],[Stream Internal]]</f>
        <v>ITES</v>
      </c>
      <c r="D8" s="1">
        <f>IF(ISBLANK(Table1[[#This Row],[Demand Date]]),"",Table1[[#This Row],[Demand Date]])</f>
        <v>45856</v>
      </c>
      <c r="E8" s="1">
        <f>IF(ISBLANK(Table1[[#This Row],[Date Job Requirement Released]]),"",Table1[[#This Row],[Date Job Requirement Released]])</f>
        <v>45910</v>
      </c>
      <c r="F8" s="1">
        <f>IF(ISBLANK(Table1[[#This Row],[Date Offered]]),"",Table1[[#This Row],[Date Offered]])</f>
        <v>45925</v>
      </c>
      <c r="G8" s="1">
        <f>IF(ISBLANK(Table1[[#This Row],[Date Onboarded]]),"",Table1[[#This Row],[Date Onboarded]])</f>
        <v>45958</v>
      </c>
      <c r="H8" t="str">
        <f>Table1[[#This Row],[Internal/External]]</f>
        <v>Internal</v>
      </c>
      <c r="I8">
        <f>Table1[[#This Row],[Pipeline Updated]]</f>
        <v>0</v>
      </c>
      <c r="J8">
        <f t="shared" si="1"/>
        <v>15</v>
      </c>
      <c r="K8">
        <f t="shared" si="0"/>
        <v>48</v>
      </c>
    </row>
    <row r="9" spans="1:11">
      <c r="A9">
        <f>Table1[[#This Row],[Role ID]]</f>
        <v>8</v>
      </c>
      <c r="B9" t="str">
        <f>Table1[[#This Row],[Role]]</f>
        <v>System Administrator</v>
      </c>
      <c r="C9" t="str">
        <f>Table1[[#This Row],[Stream Internal]]</f>
        <v>ITES</v>
      </c>
      <c r="D9" s="1">
        <f>IF(ISBLANK(Table1[[#This Row],[Demand Date]]),"",Table1[[#This Row],[Demand Date]])</f>
        <v>45834</v>
      </c>
      <c r="E9" s="1">
        <f>IF(ISBLANK(Table1[[#This Row],[Date Job Requirement Released]]),"",Table1[[#This Row],[Date Job Requirement Released]])</f>
        <v>45900</v>
      </c>
      <c r="F9" s="1">
        <f>IF(ISBLANK(Table1[[#This Row],[Date Offered]]),"",Table1[[#This Row],[Date Offered]])</f>
        <v>45912</v>
      </c>
      <c r="G9" s="1">
        <f>IF(ISBLANK(Table1[[#This Row],[Date Onboarded]]),"",Table1[[#This Row],[Date Onboarded]])</f>
        <v>45999</v>
      </c>
      <c r="H9" t="str">
        <f>Table1[[#This Row],[Internal/External]]</f>
        <v>Internal</v>
      </c>
      <c r="I9">
        <f>Table1[[#This Row],[Pipeline Updated]]</f>
        <v>0</v>
      </c>
      <c r="J9">
        <f t="shared" si="1"/>
        <v>12</v>
      </c>
      <c r="K9">
        <f t="shared" si="0"/>
        <v>99</v>
      </c>
    </row>
    <row r="10" spans="1:11">
      <c r="A10">
        <f>Table1[[#This Row],[Role ID]]</f>
        <v>9</v>
      </c>
      <c r="B10" t="str">
        <f>Table1[[#This Row],[Role]]</f>
        <v>Software Developer 1</v>
      </c>
      <c r="C10" t="str">
        <f>Table1[[#This Row],[Stream Internal]]</f>
        <v>ENGG</v>
      </c>
      <c r="D10" s="1">
        <f>IF(ISBLANK(Table1[[#This Row],[Demand Date]]),"",Table1[[#This Row],[Demand Date]])</f>
        <v>45864</v>
      </c>
      <c r="E10" s="1">
        <f>IF(ISBLANK(Table1[[#This Row],[Date Job Requirement Released]]),"",Table1[[#This Row],[Date Job Requirement Released]])</f>
        <v>45931</v>
      </c>
      <c r="F10" s="1">
        <f>IF(ISBLANK(Table1[[#This Row],[Date Offered]]),"",Table1[[#This Row],[Date Offered]])</f>
        <v>45946</v>
      </c>
      <c r="G10" s="1">
        <f>IF(ISBLANK(Table1[[#This Row],[Date Onboarded]]),"",Table1[[#This Row],[Date Onboarded]])</f>
        <v>45972</v>
      </c>
      <c r="H10" t="str">
        <f>Table1[[#This Row],[Internal/External]]</f>
        <v>Internal</v>
      </c>
      <c r="I10">
        <f>Table1[[#This Row],[Pipeline Updated]]</f>
        <v>2</v>
      </c>
      <c r="J10">
        <f t="shared" si="1"/>
        <v>15</v>
      </c>
      <c r="K10">
        <f t="shared" si="0"/>
        <v>41</v>
      </c>
    </row>
    <row r="11" spans="1:11">
      <c r="A11">
        <f>Table1[[#This Row],[Role ID]]</f>
        <v>10</v>
      </c>
      <c r="B11" t="str">
        <f>Table1[[#This Row],[Role]]</f>
        <v>Sales Director</v>
      </c>
      <c r="C11" t="str">
        <f>Table1[[#This Row],[Stream Internal]]</f>
        <v>SAM</v>
      </c>
      <c r="D11" s="1">
        <f>IF(ISBLANK(Table1[[#This Row],[Demand Date]]),"",Table1[[#This Row],[Demand Date]])</f>
        <v>45904</v>
      </c>
      <c r="E11" s="1">
        <f>IF(ISBLANK(Table1[[#This Row],[Date Job Requirement Released]]),"",Table1[[#This Row],[Date Job Requirement Released]])</f>
        <v>45959</v>
      </c>
      <c r="F11" s="1">
        <f>IF(ISBLANK(Table1[[#This Row],[Date Offered]]),"",Table1[[#This Row],[Date Offered]])</f>
        <v>45975</v>
      </c>
      <c r="G11" s="1">
        <f>IF(ISBLANK(Table1[[#This Row],[Date Onboarded]]),"",Table1[[#This Row],[Date Onboarded]])</f>
        <v>46007</v>
      </c>
      <c r="H11" t="str">
        <f>Table1[[#This Row],[Internal/External]]</f>
        <v>Internal</v>
      </c>
      <c r="I11">
        <f>Table1[[#This Row],[Pipeline Updated]]</f>
        <v>2</v>
      </c>
      <c r="J11">
        <f t="shared" si="1"/>
        <v>16</v>
      </c>
      <c r="K11">
        <f t="shared" si="0"/>
        <v>48</v>
      </c>
    </row>
    <row r="12" spans="1:11">
      <c r="A12">
        <f>Table1[[#This Row],[Role ID]]</f>
        <v>11</v>
      </c>
      <c r="B12" t="str">
        <f>Table1[[#This Row],[Role]]</f>
        <v>Sales Director</v>
      </c>
      <c r="C12" t="str">
        <f>Table1[[#This Row],[Stream Internal]]</f>
        <v>SAM</v>
      </c>
      <c r="D12" s="1">
        <f>IF(ISBLANK(Table1[[#This Row],[Demand Date]]),"",Table1[[#This Row],[Demand Date]])</f>
        <v>45872</v>
      </c>
      <c r="E12" s="1">
        <f>IF(ISBLANK(Table1[[#This Row],[Date Job Requirement Released]]),"",Table1[[#This Row],[Date Job Requirement Released]])</f>
        <v>45942</v>
      </c>
      <c r="F12" s="1">
        <f>IF(ISBLANK(Table1[[#This Row],[Date Offered]]),"",Table1[[#This Row],[Date Offered]])</f>
        <v>45955</v>
      </c>
      <c r="G12" s="1">
        <f>IF(ISBLANK(Table1[[#This Row],[Date Onboarded]]),"",Table1[[#This Row],[Date Onboarded]])</f>
        <v>46016</v>
      </c>
      <c r="H12" t="str">
        <f>Table1[[#This Row],[Internal/External]]</f>
        <v>Internal</v>
      </c>
      <c r="I12">
        <f>Table1[[#This Row],[Pipeline Updated]]</f>
        <v>0</v>
      </c>
      <c r="J12">
        <f t="shared" si="1"/>
        <v>13</v>
      </c>
      <c r="K12">
        <f t="shared" si="0"/>
        <v>74</v>
      </c>
    </row>
    <row r="13" spans="1:11">
      <c r="A13">
        <f>Table1[[#This Row],[Role ID]]</f>
        <v>12</v>
      </c>
      <c r="B13" t="str">
        <f>Table1[[#This Row],[Role]]</f>
        <v>System Administrator</v>
      </c>
      <c r="C13" t="str">
        <f>Table1[[#This Row],[Stream Internal]]</f>
        <v>ITES</v>
      </c>
      <c r="D13" s="1">
        <f>IF(ISBLANK(Table1[[#This Row],[Demand Date]]),"",Table1[[#This Row],[Demand Date]])</f>
        <v>45927</v>
      </c>
      <c r="E13" s="1">
        <f>IF(ISBLANK(Table1[[#This Row],[Date Job Requirement Released]]),"",Table1[[#This Row],[Date Job Requirement Released]])</f>
        <v>45994</v>
      </c>
      <c r="F13" s="1" t="str">
        <f>IF(ISBLANK(Table1[[#This Row],[Date Offered]]),"",Table1[[#This Row],[Date Offered]])</f>
        <v/>
      </c>
      <c r="G13" s="1" t="str">
        <f>IF(ISBLANK(Table1[[#This Row],[Date Onboarded]]),"",Table1[[#This Row],[Date Onboarded]])</f>
        <v/>
      </c>
      <c r="H13" t="str">
        <f>Table1[[#This Row],[Internal/External]]</f>
        <v>Internal</v>
      </c>
      <c r="I13">
        <f>Table1[[#This Row],[Pipeline Updated]]</f>
        <v>0</v>
      </c>
      <c r="J13" t="str">
        <f t="shared" si="1"/>
        <v/>
      </c>
      <c r="K13" t="str">
        <f t="shared" si="0"/>
        <v/>
      </c>
    </row>
    <row r="14" spans="1:11">
      <c r="A14">
        <f>Table1[[#This Row],[Role ID]]</f>
        <v>13</v>
      </c>
      <c r="B14" t="str">
        <f>Table1[[#This Row],[Role]]</f>
        <v>Digital Marketing Specialist</v>
      </c>
      <c r="C14" t="str">
        <f>Table1[[#This Row],[Stream Internal]]</f>
        <v>SAM</v>
      </c>
      <c r="D14" s="1">
        <f>IF(ISBLANK(Table1[[#This Row],[Demand Date]]),"",Table1[[#This Row],[Demand Date]])</f>
        <v>45888</v>
      </c>
      <c r="E14" s="1">
        <f>IF(ISBLANK(Table1[[#This Row],[Date Job Requirement Released]]),"",Table1[[#This Row],[Date Job Requirement Released]])</f>
        <v>45955</v>
      </c>
      <c r="F14" s="1">
        <f>IF(ISBLANK(Table1[[#This Row],[Date Offered]]),"",Table1[[#This Row],[Date Offered]])</f>
        <v>45966</v>
      </c>
      <c r="G14" s="1">
        <f>IF(ISBLANK(Table1[[#This Row],[Date Onboarded]]),"",Table1[[#This Row],[Date Onboarded]])</f>
        <v>46053</v>
      </c>
      <c r="H14" t="str">
        <f>Table1[[#This Row],[Internal/External]]</f>
        <v>Internal</v>
      </c>
      <c r="I14">
        <f>Table1[[#This Row],[Pipeline Updated]]</f>
        <v>1</v>
      </c>
      <c r="J14">
        <f t="shared" si="1"/>
        <v>11</v>
      </c>
      <c r="K14">
        <f t="shared" si="0"/>
        <v>98</v>
      </c>
    </row>
    <row r="15" spans="1:11">
      <c r="A15">
        <f>Table1[[#This Row],[Role ID]]</f>
        <v>14</v>
      </c>
      <c r="B15" t="str">
        <f>Table1[[#This Row],[Role]]</f>
        <v>Innovation Manager</v>
      </c>
      <c r="C15" t="str">
        <f>Table1[[#This Row],[Stream Internal]]</f>
        <v>RND</v>
      </c>
      <c r="D15" s="1">
        <f>IF(ISBLANK(Table1[[#This Row],[Demand Date]]),"",Table1[[#This Row],[Demand Date]])</f>
        <v>45823</v>
      </c>
      <c r="E15" s="1">
        <f>IF(ISBLANK(Table1[[#This Row],[Date Job Requirement Released]]),"",Table1[[#This Row],[Date Job Requirement Released]])</f>
        <v>45877</v>
      </c>
      <c r="F15" s="1">
        <f>IF(ISBLANK(Table1[[#This Row],[Date Offered]]),"",Table1[[#This Row],[Date Offered]])</f>
        <v>45895</v>
      </c>
      <c r="G15" s="1">
        <f>IF(ISBLANK(Table1[[#This Row],[Date Onboarded]]),"",Table1[[#This Row],[Date Onboarded]])</f>
        <v>45913</v>
      </c>
      <c r="H15" t="str">
        <f>Table1[[#This Row],[Internal/External]]</f>
        <v>Internal</v>
      </c>
      <c r="I15">
        <f>Table1[[#This Row],[Pipeline Updated]]</f>
        <v>0</v>
      </c>
      <c r="J15">
        <f t="shared" si="1"/>
        <v>18</v>
      </c>
      <c r="K15">
        <f t="shared" si="0"/>
        <v>36</v>
      </c>
    </row>
    <row r="16" spans="1:11">
      <c r="A16">
        <f>Table1[[#This Row],[Role ID]]</f>
        <v>15</v>
      </c>
      <c r="B16" t="str">
        <f>Table1[[#This Row],[Role]]</f>
        <v>Brand Manager</v>
      </c>
      <c r="C16" t="str">
        <f>Table1[[#This Row],[Stream Internal]]</f>
        <v>SAM</v>
      </c>
      <c r="D16" s="1">
        <f>IF(ISBLANK(Table1[[#This Row],[Demand Date]]),"",Table1[[#This Row],[Demand Date]])</f>
        <v>45925</v>
      </c>
      <c r="E16" s="1">
        <f>IF(ISBLANK(Table1[[#This Row],[Date Job Requirement Released]]),"",Table1[[#This Row],[Date Job Requirement Released]])</f>
        <v>45988</v>
      </c>
      <c r="F16" s="1">
        <f>IF(ISBLANK(Table1[[#This Row],[Date Offered]]),"",Table1[[#This Row],[Date Offered]])</f>
        <v>45999</v>
      </c>
      <c r="G16" s="1">
        <f>IF(ISBLANK(Table1[[#This Row],[Date Onboarded]]),"",Table1[[#This Row],[Date Onboarded]])</f>
        <v>46052</v>
      </c>
      <c r="H16" t="str">
        <f>Table1[[#This Row],[Internal/External]]</f>
        <v>Internal</v>
      </c>
      <c r="I16">
        <f>Table1[[#This Row],[Pipeline Updated]]</f>
        <v>2</v>
      </c>
      <c r="J16">
        <f t="shared" si="1"/>
        <v>11</v>
      </c>
      <c r="K16">
        <f t="shared" si="0"/>
        <v>64</v>
      </c>
    </row>
    <row r="17" spans="1:11">
      <c r="A17">
        <f>Table1[[#This Row],[Role ID]]</f>
        <v>16</v>
      </c>
      <c r="B17" t="str">
        <f>Table1[[#This Row],[Role]]</f>
        <v>System Administrator</v>
      </c>
      <c r="C17" t="str">
        <f>Table1[[#This Row],[Stream Internal]]</f>
        <v>ITES</v>
      </c>
      <c r="D17" s="1">
        <f>IF(ISBLANK(Table1[[#This Row],[Demand Date]]),"",Table1[[#This Row],[Demand Date]])</f>
        <v>45840</v>
      </c>
      <c r="E17" s="1">
        <f>IF(ISBLANK(Table1[[#This Row],[Date Job Requirement Released]]),"",Table1[[#This Row],[Date Job Requirement Released]])</f>
        <v>45887</v>
      </c>
      <c r="F17" s="1" t="str">
        <f>IF(ISBLANK(Table1[[#This Row],[Date Offered]]),"",Table1[[#This Row],[Date Offered]])</f>
        <v/>
      </c>
      <c r="G17" s="1" t="str">
        <f>IF(ISBLANK(Table1[[#This Row],[Date Onboarded]]),"",Table1[[#This Row],[Date Onboarded]])</f>
        <v/>
      </c>
      <c r="H17" t="str">
        <f>Table1[[#This Row],[Internal/External]]</f>
        <v>Internal</v>
      </c>
      <c r="I17">
        <f>Table1[[#This Row],[Pipeline Updated]]</f>
        <v>0</v>
      </c>
      <c r="J17" t="str">
        <f t="shared" si="1"/>
        <v/>
      </c>
      <c r="K17" t="str">
        <f t="shared" si="0"/>
        <v/>
      </c>
    </row>
    <row r="18" spans="1:11">
      <c r="A18">
        <f>Table1[[#This Row],[Role ID]]</f>
        <v>17</v>
      </c>
      <c r="B18" t="str">
        <f>Table1[[#This Row],[Role]]</f>
        <v>Technical Support Analyst</v>
      </c>
      <c r="C18" t="str">
        <f>Table1[[#This Row],[Stream Internal]]</f>
        <v>ITES</v>
      </c>
      <c r="D18" s="1">
        <f>IF(ISBLANK(Table1[[#This Row],[Demand Date]]),"",Table1[[#This Row],[Demand Date]])</f>
        <v>45862</v>
      </c>
      <c r="E18" s="1">
        <f>IF(ISBLANK(Table1[[#This Row],[Date Job Requirement Released]]),"",Table1[[#This Row],[Date Job Requirement Released]])</f>
        <v>45929</v>
      </c>
      <c r="F18" s="1">
        <f>IF(ISBLANK(Table1[[#This Row],[Date Offered]]),"",Table1[[#This Row],[Date Offered]])</f>
        <v>45939</v>
      </c>
      <c r="G18" s="1">
        <f>IF(ISBLANK(Table1[[#This Row],[Date Onboarded]]),"",Table1[[#This Row],[Date Onboarded]])</f>
        <v>46009</v>
      </c>
      <c r="H18" t="str">
        <f>Table1[[#This Row],[Internal/External]]</f>
        <v>Internal</v>
      </c>
      <c r="I18">
        <f>Table1[[#This Row],[Pipeline Updated]]</f>
        <v>2</v>
      </c>
      <c r="J18">
        <f t="shared" si="1"/>
        <v>10</v>
      </c>
      <c r="K18">
        <f t="shared" si="0"/>
        <v>80</v>
      </c>
    </row>
    <row r="19" spans="1:11">
      <c r="A19">
        <f>Table1[[#This Row],[Role ID]]</f>
        <v>18</v>
      </c>
      <c r="B19" t="str">
        <f>Table1[[#This Row],[Role]]</f>
        <v>Technical Support Analyst</v>
      </c>
      <c r="C19" t="str">
        <f>Table1[[#This Row],[Stream Internal]]</f>
        <v>ITES</v>
      </c>
      <c r="D19" s="1">
        <f>IF(ISBLANK(Table1[[#This Row],[Demand Date]]),"",Table1[[#This Row],[Demand Date]])</f>
        <v>45921</v>
      </c>
      <c r="E19" s="1">
        <f>IF(ISBLANK(Table1[[#This Row],[Date Job Requirement Released]]),"",Table1[[#This Row],[Date Job Requirement Released]])</f>
        <v>45989</v>
      </c>
      <c r="F19" s="1">
        <f>IF(ISBLANK(Table1[[#This Row],[Date Offered]]),"",Table1[[#This Row],[Date Offered]])</f>
        <v>46007</v>
      </c>
      <c r="G19" s="1">
        <f>IF(ISBLANK(Table1[[#This Row],[Date Onboarded]]),"",Table1[[#This Row],[Date Onboarded]])</f>
        <v>46016</v>
      </c>
      <c r="H19" t="str">
        <f>Table1[[#This Row],[Internal/External]]</f>
        <v>Internal</v>
      </c>
      <c r="I19">
        <f>Table1[[#This Row],[Pipeline Updated]]</f>
        <v>1</v>
      </c>
      <c r="J19">
        <f t="shared" si="1"/>
        <v>18</v>
      </c>
      <c r="K19">
        <f t="shared" si="0"/>
        <v>27</v>
      </c>
    </row>
    <row r="20" spans="1:11">
      <c r="A20">
        <f>Table1[[#This Row],[Role ID]]</f>
        <v>19</v>
      </c>
      <c r="B20" t="str">
        <f>Table1[[#This Row],[Role]]</f>
        <v>Research Analyst</v>
      </c>
      <c r="C20" t="str">
        <f>Table1[[#This Row],[Stream Internal]]</f>
        <v>RND</v>
      </c>
      <c r="D20" s="1">
        <f>IF(ISBLANK(Table1[[#This Row],[Demand Date]]),"",Table1[[#This Row],[Demand Date]])</f>
        <v>45919</v>
      </c>
      <c r="E20" s="1">
        <f>IF(ISBLANK(Table1[[#This Row],[Date Job Requirement Released]]),"",Table1[[#This Row],[Date Job Requirement Released]])</f>
        <v>45988</v>
      </c>
      <c r="F20" s="1">
        <f>IF(ISBLANK(Table1[[#This Row],[Date Offered]]),"",Table1[[#This Row],[Date Offered]])</f>
        <v>45999</v>
      </c>
      <c r="G20" s="1">
        <f>IF(ISBLANK(Table1[[#This Row],[Date Onboarded]]),"",Table1[[#This Row],[Date Onboarded]])</f>
        <v>46007</v>
      </c>
      <c r="H20" t="str">
        <f>Table1[[#This Row],[Internal/External]]</f>
        <v>Internal</v>
      </c>
      <c r="I20">
        <f>Table1[[#This Row],[Pipeline Updated]]</f>
        <v>2</v>
      </c>
      <c r="J20">
        <f t="shared" si="1"/>
        <v>11</v>
      </c>
      <c r="K20">
        <f t="shared" si="0"/>
        <v>19</v>
      </c>
    </row>
    <row r="21" spans="1:11">
      <c r="A21">
        <f>Table1[[#This Row],[Role ID]]</f>
        <v>20</v>
      </c>
      <c r="B21" t="str">
        <f>Table1[[#This Row],[Role]]</f>
        <v>Research Analyst</v>
      </c>
      <c r="C21" t="str">
        <f>Table1[[#This Row],[Stream Internal]]</f>
        <v>RND</v>
      </c>
      <c r="D21" s="1">
        <f>IF(ISBLANK(Table1[[#This Row],[Demand Date]]),"",Table1[[#This Row],[Demand Date]])</f>
        <v>45907</v>
      </c>
      <c r="E21" s="1">
        <f>IF(ISBLANK(Table1[[#This Row],[Date Job Requirement Released]]),"",Table1[[#This Row],[Date Job Requirement Released]])</f>
        <v>45952</v>
      </c>
      <c r="F21" s="1" t="str">
        <f>IF(ISBLANK(Table1[[#This Row],[Date Offered]]),"",Table1[[#This Row],[Date Offered]])</f>
        <v/>
      </c>
      <c r="G21" s="1" t="str">
        <f>IF(ISBLANK(Table1[[#This Row],[Date Onboarded]]),"",Table1[[#This Row],[Date Onboarded]])</f>
        <v/>
      </c>
      <c r="H21" t="str">
        <f>Table1[[#This Row],[Internal/External]]</f>
        <v>Internal</v>
      </c>
      <c r="I21">
        <f>Table1[[#This Row],[Pipeline Updated]]</f>
        <v>0</v>
      </c>
      <c r="J21" t="str">
        <f t="shared" si="1"/>
        <v/>
      </c>
      <c r="K21" t="str">
        <f t="shared" si="0"/>
        <v/>
      </c>
    </row>
    <row r="22" spans="1:11">
      <c r="A22">
        <f>Table1[[#This Row],[Role ID]]</f>
        <v>21</v>
      </c>
      <c r="B22" t="str">
        <f>Table1[[#This Row],[Role]]</f>
        <v>Sales Director</v>
      </c>
      <c r="C22" t="str">
        <f>Table1[[#This Row],[Stream Internal]]</f>
        <v>SAM</v>
      </c>
      <c r="D22" s="1">
        <f>IF(ISBLANK(Table1[[#This Row],[Demand Date]]),"",Table1[[#This Row],[Demand Date]])</f>
        <v>45871</v>
      </c>
      <c r="E22" s="1">
        <f>IF(ISBLANK(Table1[[#This Row],[Date Job Requirement Released]]),"",Table1[[#This Row],[Date Job Requirement Released]])</f>
        <v>45940</v>
      </c>
      <c r="F22" s="1">
        <f>IF(ISBLANK(Table1[[#This Row],[Date Offered]]),"",Table1[[#This Row],[Date Offered]])</f>
        <v>45960</v>
      </c>
      <c r="G22" s="1">
        <f>IF(ISBLANK(Table1[[#This Row],[Date Onboarded]]),"",Table1[[#This Row],[Date Onboarded]])</f>
        <v>45967</v>
      </c>
      <c r="H22" t="str">
        <f>Table1[[#This Row],[Internal/External]]</f>
        <v>Internal</v>
      </c>
      <c r="I22">
        <f>Table1[[#This Row],[Pipeline Updated]]</f>
        <v>0</v>
      </c>
      <c r="J22">
        <f t="shared" si="1"/>
        <v>20</v>
      </c>
      <c r="K22">
        <f t="shared" si="0"/>
        <v>27</v>
      </c>
    </row>
    <row r="23" spans="1:11">
      <c r="A23">
        <f>Table1[[#This Row],[Role ID]]</f>
        <v>22</v>
      </c>
      <c r="B23" t="str">
        <f>Table1[[#This Row],[Role]]</f>
        <v>Research Analyst</v>
      </c>
      <c r="C23" t="str">
        <f>Table1[[#This Row],[Stream Internal]]</f>
        <v>RND</v>
      </c>
      <c r="D23" s="1">
        <f>IF(ISBLANK(Table1[[#This Row],[Demand Date]]),"",Table1[[#This Row],[Demand Date]])</f>
        <v>45845</v>
      </c>
      <c r="E23" s="1">
        <f>IF(ISBLANK(Table1[[#This Row],[Date Job Requirement Released]]),"",Table1[[#This Row],[Date Job Requirement Released]])</f>
        <v>45903</v>
      </c>
      <c r="F23" s="1">
        <f>IF(ISBLANK(Table1[[#This Row],[Date Offered]]),"",Table1[[#This Row],[Date Offered]])</f>
        <v>45917</v>
      </c>
      <c r="G23" s="1">
        <f>IF(ISBLANK(Table1[[#This Row],[Date Onboarded]]),"",Table1[[#This Row],[Date Onboarded]])</f>
        <v>45971</v>
      </c>
      <c r="H23" t="str">
        <f>Table1[[#This Row],[Internal/External]]</f>
        <v>Internal</v>
      </c>
      <c r="I23">
        <f>Table1[[#This Row],[Pipeline Updated]]</f>
        <v>1</v>
      </c>
      <c r="J23">
        <f t="shared" si="1"/>
        <v>14</v>
      </c>
      <c r="K23">
        <f t="shared" si="0"/>
        <v>68</v>
      </c>
    </row>
    <row r="24" spans="1:11">
      <c r="A24">
        <f>Table1[[#This Row],[Role ID]]</f>
        <v>23</v>
      </c>
      <c r="B24" t="str">
        <f>Table1[[#This Row],[Role]]</f>
        <v>Application Support Analyst</v>
      </c>
      <c r="C24" t="str">
        <f>Table1[[#This Row],[Stream Internal]]</f>
        <v>ITES</v>
      </c>
      <c r="D24" s="1">
        <f>IF(ISBLANK(Table1[[#This Row],[Demand Date]]),"",Table1[[#This Row],[Demand Date]])</f>
        <v>45900</v>
      </c>
      <c r="E24" s="1">
        <f>IF(ISBLANK(Table1[[#This Row],[Date Job Requirement Released]]),"",Table1[[#This Row],[Date Job Requirement Released]])</f>
        <v>45955</v>
      </c>
      <c r="F24" s="1" t="str">
        <f>IF(ISBLANK(Table1[[#This Row],[Date Offered]]),"",Table1[[#This Row],[Date Offered]])</f>
        <v/>
      </c>
      <c r="G24" s="1" t="str">
        <f>IF(ISBLANK(Table1[[#This Row],[Date Onboarded]]),"",Table1[[#This Row],[Date Onboarded]])</f>
        <v/>
      </c>
      <c r="H24" t="str">
        <f>Table1[[#This Row],[Internal/External]]</f>
        <v>Internal</v>
      </c>
      <c r="I24">
        <f>Table1[[#This Row],[Pipeline Updated]]</f>
        <v>0</v>
      </c>
      <c r="J24" t="str">
        <f t="shared" si="1"/>
        <v/>
      </c>
      <c r="K24" t="str">
        <f t="shared" si="0"/>
        <v/>
      </c>
    </row>
    <row r="25" spans="1:11">
      <c r="A25">
        <f>Table1[[#This Row],[Role ID]]</f>
        <v>24</v>
      </c>
      <c r="B25" t="str">
        <f>Table1[[#This Row],[Role]]</f>
        <v>Engineering Manager</v>
      </c>
      <c r="C25" t="str">
        <f>Table1[[#This Row],[Stream Internal]]</f>
        <v>ENGG</v>
      </c>
      <c r="D25" s="1">
        <f>IF(ISBLANK(Table1[[#This Row],[Demand Date]]),"",Table1[[#This Row],[Demand Date]])</f>
        <v>45869</v>
      </c>
      <c r="E25" s="1">
        <f>IF(ISBLANK(Table1[[#This Row],[Date Job Requirement Released]]),"",Table1[[#This Row],[Date Job Requirement Released]])</f>
        <v>45918</v>
      </c>
      <c r="F25" s="1" t="str">
        <f>IF(ISBLANK(Table1[[#This Row],[Date Offered]]),"",Table1[[#This Row],[Date Offered]])</f>
        <v/>
      </c>
      <c r="G25" s="1" t="str">
        <f>IF(ISBLANK(Table1[[#This Row],[Date Onboarded]]),"",Table1[[#This Row],[Date Onboarded]])</f>
        <v/>
      </c>
      <c r="H25" t="str">
        <f>Table1[[#This Row],[Internal/External]]</f>
        <v>Internal</v>
      </c>
      <c r="I25">
        <f>Table1[[#This Row],[Pipeline Updated]]</f>
        <v>0</v>
      </c>
      <c r="J25" t="str">
        <f t="shared" si="1"/>
        <v/>
      </c>
      <c r="K25" t="str">
        <f t="shared" si="0"/>
        <v/>
      </c>
    </row>
    <row r="26" spans="1:11">
      <c r="A26">
        <f>Table1[[#This Row],[Role ID]]</f>
        <v>25</v>
      </c>
      <c r="B26" t="str">
        <f>Table1[[#This Row],[Role]]</f>
        <v>Sales Manager</v>
      </c>
      <c r="C26" t="str">
        <f>Table1[[#This Row],[Stream Internal]]</f>
        <v>SAM</v>
      </c>
      <c r="D26" s="1">
        <f>IF(ISBLANK(Table1[[#This Row],[Demand Date]]),"",Table1[[#This Row],[Demand Date]])</f>
        <v>45878</v>
      </c>
      <c r="E26" s="1">
        <f>IF(ISBLANK(Table1[[#This Row],[Date Job Requirement Released]]),"",Table1[[#This Row],[Date Job Requirement Released]])</f>
        <v>45932</v>
      </c>
      <c r="F26" s="1">
        <f>IF(ISBLANK(Table1[[#This Row],[Date Offered]]),"",Table1[[#This Row],[Date Offered]])</f>
        <v>45947</v>
      </c>
      <c r="G26" s="1">
        <f>IF(ISBLANK(Table1[[#This Row],[Date Onboarded]]),"",Table1[[#This Row],[Date Onboarded]])</f>
        <v>46025</v>
      </c>
      <c r="H26" t="str">
        <f>Table1[[#This Row],[Internal/External]]</f>
        <v>Internal</v>
      </c>
      <c r="I26">
        <f>Table1[[#This Row],[Pipeline Updated]]</f>
        <v>1</v>
      </c>
      <c r="J26">
        <f t="shared" si="1"/>
        <v>15</v>
      </c>
      <c r="K26">
        <f t="shared" si="0"/>
        <v>93</v>
      </c>
    </row>
    <row r="27" spans="1:11">
      <c r="A27">
        <f>Table1[[#This Row],[Role ID]]</f>
        <v>6</v>
      </c>
      <c r="B27" t="str">
        <f>Table1[[#This Row],[Role]]</f>
        <v>Staff Engineer</v>
      </c>
      <c r="C27" t="str">
        <f>Table1[[#This Row],[Stream Internal]]</f>
        <v>ENGG</v>
      </c>
      <c r="D27" s="1">
        <f>IF(ISBLANK(Table1[[#This Row],[Demand Date]]),"",Table1[[#This Row],[Demand Date]])</f>
        <v>45815</v>
      </c>
      <c r="E27" s="1">
        <f>IF(ISBLANK(Table1[[#This Row],[Date Job Requirement Released]]),"",Table1[[#This Row],[Date Job Requirement Released]])</f>
        <v>45885</v>
      </c>
      <c r="F27" s="1" t="str">
        <f>IF(ISBLANK(Table1[[#This Row],[Date Offered]]),"",Table1[[#This Row],[Date Offered]])</f>
        <v/>
      </c>
      <c r="G27" s="1" t="str">
        <f>IF(ISBLANK(Table1[[#This Row],[Date Onboarded]]),"",Table1[[#This Row],[Date Onboarded]])</f>
        <v/>
      </c>
      <c r="H27" t="str">
        <f>Table1[[#This Row],[Internal/External]]</f>
        <v>Internal</v>
      </c>
      <c r="I27">
        <f>Table1[[#This Row],[Pipeline Updated]]</f>
        <v>0</v>
      </c>
      <c r="J27" t="str">
        <f t="shared" si="1"/>
        <v/>
      </c>
      <c r="K27" t="str">
        <f t="shared" si="0"/>
        <v/>
      </c>
    </row>
    <row r="28" spans="1:11">
      <c r="A28">
        <f>Table1[[#This Row],[Role ID]]</f>
        <v>20</v>
      </c>
      <c r="B28" t="str">
        <f>Table1[[#This Row],[Role]]</f>
        <v>Research Analyst</v>
      </c>
      <c r="C28" t="str">
        <f>Table1[[#This Row],[Stream Internal]]</f>
        <v>RND</v>
      </c>
      <c r="D28" s="1">
        <f>IF(ISBLANK(Table1[[#This Row],[Demand Date]]),"",Table1[[#This Row],[Demand Date]])</f>
        <v>45831</v>
      </c>
      <c r="E28" s="1">
        <f>IF(ISBLANK(Table1[[#This Row],[Date Job Requirement Released]]),"",Table1[[#This Row],[Date Job Requirement Released]])</f>
        <v>45899</v>
      </c>
      <c r="F28" s="1">
        <f>IF(ISBLANK(Table1[[#This Row],[Date Offered]]),"",Table1[[#This Row],[Date Offered]])</f>
        <v>45913</v>
      </c>
      <c r="G28" s="1">
        <f>IF(ISBLANK(Table1[[#This Row],[Date Onboarded]]),"",Table1[[#This Row],[Date Onboarded]])</f>
        <v>45966</v>
      </c>
      <c r="H28" t="str">
        <f>Table1[[#This Row],[Internal/External]]</f>
        <v>Internal</v>
      </c>
      <c r="I28">
        <f>Table1[[#This Row],[Pipeline Updated]]</f>
        <v>2</v>
      </c>
      <c r="J28">
        <f t="shared" si="1"/>
        <v>14</v>
      </c>
      <c r="K28">
        <f t="shared" si="0"/>
        <v>67</v>
      </c>
    </row>
    <row r="29" spans="1:11">
      <c r="A29">
        <f>Table1[[#This Row],[Role ID]]</f>
        <v>26</v>
      </c>
      <c r="B29" t="str">
        <f>Table1[[#This Row],[Role]]</f>
        <v>Digital Marketing Specialist</v>
      </c>
      <c r="C29" t="str">
        <f>Table1[[#This Row],[Stream Internal]]</f>
        <v>SAM</v>
      </c>
      <c r="D29" s="1">
        <f>IF(ISBLANK(Table1[[#This Row],[Demand Date]]),"",Table1[[#This Row],[Demand Date]])</f>
        <v>45929</v>
      </c>
      <c r="E29" s="1">
        <f>IF(ISBLANK(Table1[[#This Row],[Date Job Requirement Released]]),"",Table1[[#This Row],[Date Job Requirement Released]])</f>
        <v>46000</v>
      </c>
      <c r="F29" s="1" t="str">
        <f>IF(ISBLANK(Table1[[#This Row],[Date Offered]]),"",Table1[[#This Row],[Date Offered]])</f>
        <v/>
      </c>
      <c r="G29" s="1" t="str">
        <f>IF(ISBLANK(Table1[[#This Row],[Date Onboarded]]),"",Table1[[#This Row],[Date Onboarded]])</f>
        <v/>
      </c>
      <c r="H29" t="str">
        <f>Table1[[#This Row],[Internal/External]]</f>
        <v>Internal</v>
      </c>
      <c r="I29">
        <f>Table1[[#This Row],[Pipeline Updated]]</f>
        <v>0</v>
      </c>
      <c r="J29" t="str">
        <f t="shared" si="1"/>
        <v/>
      </c>
      <c r="K29" t="str">
        <f t="shared" si="0"/>
        <v/>
      </c>
    </row>
    <row r="30" spans="1:11">
      <c r="A30">
        <f>Table1[[#This Row],[Role ID]]</f>
        <v>27</v>
      </c>
      <c r="B30" t="str">
        <f>Table1[[#This Row],[Role]]</f>
        <v>Engineering Manager</v>
      </c>
      <c r="C30" t="str">
        <f>Table1[[#This Row],[Stream Internal]]</f>
        <v>ENGG</v>
      </c>
      <c r="D30" s="1">
        <f>IF(ISBLANK(Table1[[#This Row],[Demand Date]]),"",Table1[[#This Row],[Demand Date]])</f>
        <v>45921</v>
      </c>
      <c r="E30" s="1">
        <f>IF(ISBLANK(Table1[[#This Row],[Date Job Requirement Released]]),"",Table1[[#This Row],[Date Job Requirement Released]])</f>
        <v>45990</v>
      </c>
      <c r="F30" s="1" t="str">
        <f>IF(ISBLANK(Table1[[#This Row],[Date Offered]]),"",Table1[[#This Row],[Date Offered]])</f>
        <v/>
      </c>
      <c r="G30" s="1" t="str">
        <f>IF(ISBLANK(Table1[[#This Row],[Date Onboarded]]),"",Table1[[#This Row],[Date Onboarded]])</f>
        <v/>
      </c>
      <c r="H30" t="str">
        <f>Table1[[#This Row],[Internal/External]]</f>
        <v>Internal</v>
      </c>
      <c r="I30">
        <f>Table1[[#This Row],[Pipeline Updated]]</f>
        <v>0</v>
      </c>
      <c r="J30" t="str">
        <f t="shared" si="1"/>
        <v/>
      </c>
      <c r="K30" t="str">
        <f t="shared" si="0"/>
        <v/>
      </c>
    </row>
    <row r="31" spans="1:11">
      <c r="A31">
        <f>Table1[[#This Row],[Role ID]]</f>
        <v>22</v>
      </c>
      <c r="B31" t="str">
        <f>Table1[[#This Row],[Role]]</f>
        <v>Research Analyst</v>
      </c>
      <c r="C31" t="str">
        <f>Table1[[#This Row],[Stream Internal]]</f>
        <v>RND</v>
      </c>
      <c r="D31" s="1">
        <f>IF(ISBLANK(Table1[[#This Row],[Demand Date]]),"",Table1[[#This Row],[Demand Date]])</f>
        <v>45814</v>
      </c>
      <c r="E31" s="1">
        <f>IF(ISBLANK(Table1[[#This Row],[Date Job Requirement Released]]),"",Table1[[#This Row],[Date Job Requirement Released]])</f>
        <v>45860</v>
      </c>
      <c r="F31" s="1" t="str">
        <f>IF(ISBLANK(Table1[[#This Row],[Date Offered]]),"",Table1[[#This Row],[Date Offered]])</f>
        <v/>
      </c>
      <c r="G31" s="1" t="str">
        <f>IF(ISBLANK(Table1[[#This Row],[Date Onboarded]]),"",Table1[[#This Row],[Date Onboarded]])</f>
        <v/>
      </c>
      <c r="H31" t="str">
        <f>Table1[[#This Row],[Internal/External]]</f>
        <v>Internal</v>
      </c>
      <c r="I31">
        <f>Table1[[#This Row],[Pipeline Updated]]</f>
        <v>0</v>
      </c>
      <c r="J31" t="str">
        <f t="shared" si="1"/>
        <v/>
      </c>
      <c r="K31" t="str">
        <f t="shared" si="0"/>
        <v/>
      </c>
    </row>
    <row r="32" spans="1:11">
      <c r="A32">
        <f>Table1[[#This Row],[Role ID]]</f>
        <v>28</v>
      </c>
      <c r="B32" t="str">
        <f>Table1[[#This Row],[Role]]</f>
        <v>Engineering Manager</v>
      </c>
      <c r="C32" t="str">
        <f>Table1[[#This Row],[Stream Internal]]</f>
        <v>ENGG</v>
      </c>
      <c r="D32" s="1">
        <f>IF(ISBLANK(Table1[[#This Row],[Demand Date]]),"",Table1[[#This Row],[Demand Date]])</f>
        <v>45869</v>
      </c>
      <c r="E32" s="1">
        <f>IF(ISBLANK(Table1[[#This Row],[Date Job Requirement Released]]),"",Table1[[#This Row],[Date Job Requirement Released]])</f>
        <v>45934</v>
      </c>
      <c r="F32" s="1" t="str">
        <f>IF(ISBLANK(Table1[[#This Row],[Date Offered]]),"",Table1[[#This Row],[Date Offered]])</f>
        <v/>
      </c>
      <c r="G32" s="1" t="str">
        <f>IF(ISBLANK(Table1[[#This Row],[Date Onboarded]]),"",Table1[[#This Row],[Date Onboarded]])</f>
        <v/>
      </c>
      <c r="H32" t="str">
        <f>Table1[[#This Row],[Internal/External]]</f>
        <v>Internal</v>
      </c>
      <c r="I32">
        <f>Table1[[#This Row],[Pipeline Updated]]</f>
        <v>0</v>
      </c>
      <c r="J32" t="str">
        <f t="shared" si="1"/>
        <v/>
      </c>
      <c r="K32" t="str">
        <f t="shared" si="0"/>
        <v/>
      </c>
    </row>
    <row r="33" spans="1:11">
      <c r="A33">
        <f>Table1[[#This Row],[Role ID]]</f>
        <v>29</v>
      </c>
      <c r="B33" t="str">
        <f>Table1[[#This Row],[Role]]</f>
        <v>System Administrator</v>
      </c>
      <c r="C33" t="str">
        <f>Table1[[#This Row],[Stream Internal]]</f>
        <v>ITES</v>
      </c>
      <c r="D33" s="1">
        <f>IF(ISBLANK(Table1[[#This Row],[Demand Date]]),"",Table1[[#This Row],[Demand Date]])</f>
        <v>45925</v>
      </c>
      <c r="E33" s="1">
        <f>IF(ISBLANK(Table1[[#This Row],[Date Job Requirement Released]]),"",Table1[[#This Row],[Date Job Requirement Released]])</f>
        <v>45970</v>
      </c>
      <c r="F33" s="1" t="str">
        <f>IF(ISBLANK(Table1[[#This Row],[Date Offered]]),"",Table1[[#This Row],[Date Offered]])</f>
        <v/>
      </c>
      <c r="G33" s="1" t="str">
        <f>IF(ISBLANK(Table1[[#This Row],[Date Onboarded]]),"",Table1[[#This Row],[Date Onboarded]])</f>
        <v/>
      </c>
      <c r="H33" t="str">
        <f>Table1[[#This Row],[Internal/External]]</f>
        <v>Internal</v>
      </c>
      <c r="I33">
        <f>Table1[[#This Row],[Pipeline Updated]]</f>
        <v>0</v>
      </c>
      <c r="J33" t="str">
        <f t="shared" si="1"/>
        <v/>
      </c>
      <c r="K33" t="str">
        <f t="shared" si="0"/>
        <v/>
      </c>
    </row>
    <row r="34" spans="1:11">
      <c r="A34">
        <f>Table1[[#This Row],[Role ID]]</f>
        <v>30</v>
      </c>
      <c r="B34" t="str">
        <f>Table1[[#This Row],[Role]]</f>
        <v>Computer Technician</v>
      </c>
      <c r="C34" t="str">
        <f>Table1[[#This Row],[Stream Internal]]</f>
        <v>ITES</v>
      </c>
      <c r="D34" s="1">
        <f>IF(ISBLANK(Table1[[#This Row],[Demand Date]]),"",Table1[[#This Row],[Demand Date]])</f>
        <v>45892</v>
      </c>
      <c r="E34" s="1">
        <f>IF(ISBLANK(Table1[[#This Row],[Date Job Requirement Released]]),"",Table1[[#This Row],[Date Job Requirement Released]])</f>
        <v>45962</v>
      </c>
      <c r="F34" s="1">
        <f>IF(ISBLANK(Table1[[#This Row],[Date Offered]]),"",Table1[[#This Row],[Date Offered]])</f>
        <v>45981</v>
      </c>
      <c r="G34" s="1">
        <f>IF(ISBLANK(Table1[[#This Row],[Date Onboarded]]),"",Table1[[#This Row],[Date Onboarded]])</f>
        <v>46044</v>
      </c>
      <c r="H34" t="str">
        <f>Table1[[#This Row],[Internal/External]]</f>
        <v>Internal</v>
      </c>
      <c r="I34">
        <f>Table1[[#This Row],[Pipeline Updated]]</f>
        <v>1</v>
      </c>
      <c r="J34">
        <f t="shared" si="1"/>
        <v>19</v>
      </c>
      <c r="K34">
        <f t="shared" si="0"/>
        <v>82</v>
      </c>
    </row>
    <row r="35" spans="1:11">
      <c r="A35">
        <f>Table1[[#This Row],[Role ID]]</f>
        <v>31</v>
      </c>
      <c r="B35" t="str">
        <f>Table1[[#This Row],[Role]]</f>
        <v>VP Engineering</v>
      </c>
      <c r="C35" t="str">
        <f>Table1[[#This Row],[Stream Internal]]</f>
        <v>ENGG</v>
      </c>
      <c r="D35" s="1">
        <f>IF(ISBLANK(Table1[[#This Row],[Demand Date]]),"",Table1[[#This Row],[Demand Date]])</f>
        <v>45829</v>
      </c>
      <c r="E35" s="1">
        <f>IF(ISBLANK(Table1[[#This Row],[Date Job Requirement Released]]),"",Table1[[#This Row],[Date Job Requirement Released]])</f>
        <v>45881</v>
      </c>
      <c r="F35" s="1" t="str">
        <f>IF(ISBLANK(Table1[[#This Row],[Date Offered]]),"",Table1[[#This Row],[Date Offered]])</f>
        <v/>
      </c>
      <c r="G35" s="1" t="str">
        <f>IF(ISBLANK(Table1[[#This Row],[Date Onboarded]]),"",Table1[[#This Row],[Date Onboarded]])</f>
        <v/>
      </c>
      <c r="H35" t="str">
        <f>Table1[[#This Row],[Internal/External]]</f>
        <v>Internal</v>
      </c>
      <c r="I35">
        <f>Table1[[#This Row],[Pipeline Updated]]</f>
        <v>0</v>
      </c>
      <c r="J35" t="str">
        <f t="shared" si="1"/>
        <v/>
      </c>
      <c r="K35" t="str">
        <f t="shared" si="0"/>
        <v/>
      </c>
    </row>
    <row r="36" spans="1:11">
      <c r="A36">
        <f>Table1[[#This Row],[Role ID]]</f>
        <v>32</v>
      </c>
      <c r="B36" t="str">
        <f>Table1[[#This Row],[Role]]</f>
        <v>Brand Manager</v>
      </c>
      <c r="C36" t="str">
        <f>Table1[[#This Row],[Stream Internal]]</f>
        <v>SAM</v>
      </c>
      <c r="D36" s="1">
        <f>IF(ISBLANK(Table1[[#This Row],[Demand Date]]),"",Table1[[#This Row],[Demand Date]])</f>
        <v>45863</v>
      </c>
      <c r="E36" s="1">
        <f>IF(ISBLANK(Table1[[#This Row],[Date Job Requirement Released]]),"",Table1[[#This Row],[Date Job Requirement Released]])</f>
        <v>45930</v>
      </c>
      <c r="F36" s="1" t="str">
        <f>IF(ISBLANK(Table1[[#This Row],[Date Offered]]),"",Table1[[#This Row],[Date Offered]])</f>
        <v/>
      </c>
      <c r="G36" s="1" t="str">
        <f>IF(ISBLANK(Table1[[#This Row],[Date Onboarded]]),"",Table1[[#This Row],[Date Onboarded]])</f>
        <v/>
      </c>
      <c r="H36" t="str">
        <f>Table1[[#This Row],[Internal/External]]</f>
        <v>Internal</v>
      </c>
      <c r="I36">
        <f>Table1[[#This Row],[Pipeline Updated]]</f>
        <v>0</v>
      </c>
      <c r="J36" t="str">
        <f t="shared" si="1"/>
        <v/>
      </c>
      <c r="K36" t="str">
        <f t="shared" si="0"/>
        <v/>
      </c>
    </row>
    <row r="37" spans="1:11">
      <c r="A37">
        <f>Table1[[#This Row],[Role ID]]</f>
        <v>33</v>
      </c>
      <c r="B37" t="str">
        <f>Table1[[#This Row],[Role]]</f>
        <v>Senior SDE</v>
      </c>
      <c r="C37" t="str">
        <f>Table1[[#This Row],[Stream Internal]]</f>
        <v>ENGG</v>
      </c>
      <c r="D37" s="1">
        <f>IF(ISBLANK(Table1[[#This Row],[Demand Date]]),"",Table1[[#This Row],[Demand Date]])</f>
        <v>45836</v>
      </c>
      <c r="E37" s="1">
        <f>IF(ISBLANK(Table1[[#This Row],[Date Job Requirement Released]]),"",Table1[[#This Row],[Date Job Requirement Released]])</f>
        <v>45889</v>
      </c>
      <c r="F37" s="1" t="str">
        <f>IF(ISBLANK(Table1[[#This Row],[Date Offered]]),"",Table1[[#This Row],[Date Offered]])</f>
        <v/>
      </c>
      <c r="G37" s="1" t="str">
        <f>IF(ISBLANK(Table1[[#This Row],[Date Onboarded]]),"",Table1[[#This Row],[Date Onboarded]])</f>
        <v/>
      </c>
      <c r="H37" t="str">
        <f>Table1[[#This Row],[Internal/External]]</f>
        <v>Internal</v>
      </c>
      <c r="I37">
        <f>Table1[[#This Row],[Pipeline Updated]]</f>
        <v>0</v>
      </c>
      <c r="J37" t="str">
        <f t="shared" si="1"/>
        <v/>
      </c>
      <c r="K37" t="str">
        <f t="shared" si="0"/>
        <v/>
      </c>
    </row>
    <row r="38" spans="1:11">
      <c r="A38">
        <f>Table1[[#This Row],[Role ID]]</f>
        <v>34</v>
      </c>
      <c r="B38" t="str">
        <f>Table1[[#This Row],[Role]]</f>
        <v>Software Developer 1</v>
      </c>
      <c r="C38" t="str">
        <f>Table1[[#This Row],[Stream Internal]]</f>
        <v>ENGG</v>
      </c>
      <c r="D38" s="1">
        <f>IF(ISBLANK(Table1[[#This Row],[Demand Date]]),"",Table1[[#This Row],[Demand Date]])</f>
        <v>45885</v>
      </c>
      <c r="E38" s="1">
        <f>IF(ISBLANK(Table1[[#This Row],[Date Job Requirement Released]]),"",Table1[[#This Row],[Date Job Requirement Released]])</f>
        <v>45931</v>
      </c>
      <c r="F38" s="1">
        <f>IF(ISBLANK(Table1[[#This Row],[Date Offered]]),"",Table1[[#This Row],[Date Offered]])</f>
        <v>45950</v>
      </c>
      <c r="G38" s="1">
        <f>IF(ISBLANK(Table1[[#This Row],[Date Onboarded]]),"",Table1[[#This Row],[Date Onboarded]])</f>
        <v>46008</v>
      </c>
      <c r="H38" t="str">
        <f>Table1[[#This Row],[Internal/External]]</f>
        <v>Internal</v>
      </c>
      <c r="I38">
        <f>Table1[[#This Row],[Pipeline Updated]]</f>
        <v>2</v>
      </c>
      <c r="J38">
        <f t="shared" si="1"/>
        <v>19</v>
      </c>
      <c r="K38">
        <f t="shared" si="0"/>
        <v>77</v>
      </c>
    </row>
    <row r="39" spans="1:11">
      <c r="A39">
        <f>Table1[[#This Row],[Role ID]]</f>
        <v>28</v>
      </c>
      <c r="B39" t="str">
        <f>Table1[[#This Row],[Role]]</f>
        <v>Engineering Manager</v>
      </c>
      <c r="C39" t="str">
        <f>Table1[[#This Row],[Stream Internal]]</f>
        <v>ENGG</v>
      </c>
      <c r="D39" s="1">
        <f>IF(ISBLANK(Table1[[#This Row],[Demand Date]]),"",Table1[[#This Row],[Demand Date]])</f>
        <v>45849</v>
      </c>
      <c r="E39" s="1">
        <f>IF(ISBLANK(Table1[[#This Row],[Date Job Requirement Released]]),"",Table1[[#This Row],[Date Job Requirement Released]])</f>
        <v>45916</v>
      </c>
      <c r="F39" s="1">
        <f>IF(ISBLANK(Table1[[#This Row],[Date Offered]]),"",Table1[[#This Row],[Date Offered]])</f>
        <v>45926</v>
      </c>
      <c r="G39" s="1">
        <f>IF(ISBLANK(Table1[[#This Row],[Date Onboarded]]),"",Table1[[#This Row],[Date Onboarded]])</f>
        <v>46004</v>
      </c>
      <c r="H39" t="str">
        <f>Table1[[#This Row],[Internal/External]]</f>
        <v>Internal</v>
      </c>
      <c r="I39">
        <f>Table1[[#This Row],[Pipeline Updated]]</f>
        <v>2</v>
      </c>
      <c r="J39">
        <f t="shared" si="1"/>
        <v>10</v>
      </c>
      <c r="K39">
        <f t="shared" si="0"/>
        <v>88</v>
      </c>
    </row>
    <row r="40" spans="1:11">
      <c r="A40">
        <f>Table1[[#This Row],[Role ID]]</f>
        <v>11</v>
      </c>
      <c r="B40" t="str">
        <f>Table1[[#This Row],[Role]]</f>
        <v>Sales Director</v>
      </c>
      <c r="C40" t="str">
        <f>Table1[[#This Row],[Stream Internal]]</f>
        <v>SAM</v>
      </c>
      <c r="D40" s="1">
        <f>IF(ISBLANK(Table1[[#This Row],[Demand Date]]),"",Table1[[#This Row],[Demand Date]])</f>
        <v>45809</v>
      </c>
      <c r="E40" s="1">
        <f>IF(ISBLANK(Table1[[#This Row],[Date Job Requirement Released]]),"",Table1[[#This Row],[Date Job Requirement Released]])</f>
        <v>45859</v>
      </c>
      <c r="F40" s="1" t="str">
        <f>IF(ISBLANK(Table1[[#This Row],[Date Offered]]),"",Table1[[#This Row],[Date Offered]])</f>
        <v/>
      </c>
      <c r="G40" s="1" t="str">
        <f>IF(ISBLANK(Table1[[#This Row],[Date Onboarded]]),"",Table1[[#This Row],[Date Onboarded]])</f>
        <v/>
      </c>
      <c r="H40" t="str">
        <f>Table1[[#This Row],[Internal/External]]</f>
        <v>Internal</v>
      </c>
      <c r="I40">
        <f>Table1[[#This Row],[Pipeline Updated]]</f>
        <v>0</v>
      </c>
      <c r="J40" t="str">
        <f t="shared" si="1"/>
        <v/>
      </c>
      <c r="K40" t="str">
        <f t="shared" si="0"/>
        <v/>
      </c>
    </row>
    <row r="41" spans="1:11">
      <c r="A41">
        <f>Table1[[#This Row],[Role ID]]</f>
        <v>35</v>
      </c>
      <c r="B41" t="str">
        <f>Table1[[#This Row],[Role]]</f>
        <v>Application Support Analyst</v>
      </c>
      <c r="C41" t="str">
        <f>Table1[[#This Row],[Stream Internal]]</f>
        <v>ITES</v>
      </c>
      <c r="D41" s="1">
        <f>IF(ISBLANK(Table1[[#This Row],[Demand Date]]),"",Table1[[#This Row],[Demand Date]])</f>
        <v>45919</v>
      </c>
      <c r="E41" s="1">
        <f>IF(ISBLANK(Table1[[#This Row],[Date Job Requirement Released]]),"",Table1[[#This Row],[Date Job Requirement Released]])</f>
        <v>45991</v>
      </c>
      <c r="F41" s="1" t="str">
        <f>IF(ISBLANK(Table1[[#This Row],[Date Offered]]),"",Table1[[#This Row],[Date Offered]])</f>
        <v/>
      </c>
      <c r="G41" s="1" t="str">
        <f>IF(ISBLANK(Table1[[#This Row],[Date Onboarded]]),"",Table1[[#This Row],[Date Onboarded]])</f>
        <v/>
      </c>
      <c r="H41" t="str">
        <f>Table1[[#This Row],[Internal/External]]</f>
        <v>Internal</v>
      </c>
      <c r="I41">
        <f>Table1[[#This Row],[Pipeline Updated]]</f>
        <v>0</v>
      </c>
      <c r="J41" t="str">
        <f t="shared" si="1"/>
        <v/>
      </c>
      <c r="K41" t="str">
        <f t="shared" si="0"/>
        <v/>
      </c>
    </row>
    <row r="42" spans="1:11">
      <c r="A42">
        <f>Table1[[#This Row],[Role ID]]</f>
        <v>36</v>
      </c>
      <c r="B42" t="str">
        <f>Table1[[#This Row],[Role]]</f>
        <v>Digital Marketing Specialist</v>
      </c>
      <c r="C42" t="str">
        <f>Table1[[#This Row],[Stream Internal]]</f>
        <v>SAM</v>
      </c>
      <c r="D42" s="1">
        <f>IF(ISBLANK(Table1[[#This Row],[Demand Date]]),"",Table1[[#This Row],[Demand Date]])</f>
        <v>45883</v>
      </c>
      <c r="E42" s="1">
        <f>IF(ISBLANK(Table1[[#This Row],[Date Job Requirement Released]]),"",Table1[[#This Row],[Date Job Requirement Released]])</f>
        <v>45953</v>
      </c>
      <c r="F42" s="1" t="str">
        <f>IF(ISBLANK(Table1[[#This Row],[Date Offered]]),"",Table1[[#This Row],[Date Offered]])</f>
        <v/>
      </c>
      <c r="G42" s="1" t="str">
        <f>IF(ISBLANK(Table1[[#This Row],[Date Onboarded]]),"",Table1[[#This Row],[Date Onboarded]])</f>
        <v/>
      </c>
      <c r="H42" t="str">
        <f>Table1[[#This Row],[Internal/External]]</f>
        <v>Internal</v>
      </c>
      <c r="I42">
        <f>Table1[[#This Row],[Pipeline Updated]]</f>
        <v>0</v>
      </c>
      <c r="J42" t="str">
        <f t="shared" si="1"/>
        <v/>
      </c>
      <c r="K42" t="str">
        <f t="shared" si="0"/>
        <v/>
      </c>
    </row>
    <row r="43" spans="1:11">
      <c r="A43">
        <f>Table1[[#This Row],[Role ID]]</f>
        <v>37</v>
      </c>
      <c r="B43" t="str">
        <f>Table1[[#This Row],[Role]]</f>
        <v>Customer Support Specialist</v>
      </c>
      <c r="C43" t="str">
        <f>Table1[[#This Row],[Stream Internal]]</f>
        <v>SAM</v>
      </c>
      <c r="D43" s="1">
        <f>IF(ISBLANK(Table1[[#This Row],[Demand Date]]),"",Table1[[#This Row],[Demand Date]])</f>
        <v>45839</v>
      </c>
      <c r="E43" s="1">
        <f>IF(ISBLANK(Table1[[#This Row],[Date Job Requirement Released]]),"",Table1[[#This Row],[Date Job Requirement Released]])</f>
        <v>45908</v>
      </c>
      <c r="F43" s="1" t="str">
        <f>IF(ISBLANK(Table1[[#This Row],[Date Offered]]),"",Table1[[#This Row],[Date Offered]])</f>
        <v/>
      </c>
      <c r="G43" s="1" t="str">
        <f>IF(ISBLANK(Table1[[#This Row],[Date Onboarded]]),"",Table1[[#This Row],[Date Onboarded]])</f>
        <v/>
      </c>
      <c r="H43" t="str">
        <f>Table1[[#This Row],[Internal/External]]</f>
        <v>Internal</v>
      </c>
      <c r="I43">
        <f>Table1[[#This Row],[Pipeline Updated]]</f>
        <v>0</v>
      </c>
      <c r="J43" t="str">
        <f t="shared" si="1"/>
        <v/>
      </c>
      <c r="K43" t="str">
        <f t="shared" si="0"/>
        <v/>
      </c>
    </row>
    <row r="44" spans="1:11">
      <c r="A44">
        <f>Table1[[#This Row],[Role ID]]</f>
        <v>38</v>
      </c>
      <c r="B44" t="str">
        <f>Table1[[#This Row],[Role]]</f>
        <v>Principal Investigator</v>
      </c>
      <c r="C44" t="str">
        <f>Table1[[#This Row],[Stream Internal]]</f>
        <v>RND</v>
      </c>
      <c r="D44" s="1">
        <f>IF(ISBLANK(Table1[[#This Row],[Demand Date]]),"",Table1[[#This Row],[Demand Date]])</f>
        <v>45929</v>
      </c>
      <c r="E44" s="1">
        <f>IF(ISBLANK(Table1[[#This Row],[Date Job Requirement Released]]),"",Table1[[#This Row],[Date Job Requirement Released]])</f>
        <v>45999</v>
      </c>
      <c r="F44" s="1">
        <f>IF(ISBLANK(Table1[[#This Row],[Date Offered]]),"",Table1[[#This Row],[Date Offered]])</f>
        <v>46011</v>
      </c>
      <c r="G44" s="1">
        <f>IF(ISBLANK(Table1[[#This Row],[Date Onboarded]]),"",Table1[[#This Row],[Date Onboarded]])</f>
        <v>46025</v>
      </c>
      <c r="H44" t="str">
        <f>Table1[[#This Row],[Internal/External]]</f>
        <v>Internal</v>
      </c>
      <c r="I44">
        <f>Table1[[#This Row],[Pipeline Updated]]</f>
        <v>0</v>
      </c>
      <c r="J44">
        <f t="shared" si="1"/>
        <v>12</v>
      </c>
      <c r="K44">
        <f t="shared" si="0"/>
        <v>26</v>
      </c>
    </row>
    <row r="45" spans="1:11">
      <c r="A45">
        <f>Table1[[#This Row],[Role ID]]</f>
        <v>39</v>
      </c>
      <c r="B45" t="str">
        <f>Table1[[#This Row],[Role]]</f>
        <v>Senior SDE</v>
      </c>
      <c r="C45" t="str">
        <f>Table1[[#This Row],[Stream Internal]]</f>
        <v>ENGG</v>
      </c>
      <c r="D45" s="1">
        <f>IF(ISBLANK(Table1[[#This Row],[Demand Date]]),"",Table1[[#This Row],[Demand Date]])</f>
        <v>45897</v>
      </c>
      <c r="E45" s="1">
        <f>IF(ISBLANK(Table1[[#This Row],[Date Job Requirement Released]]),"",Table1[[#This Row],[Date Job Requirement Released]])</f>
        <v>45948</v>
      </c>
      <c r="F45" s="1" t="str">
        <f>IF(ISBLANK(Table1[[#This Row],[Date Offered]]),"",Table1[[#This Row],[Date Offered]])</f>
        <v/>
      </c>
      <c r="G45" s="1" t="str">
        <f>IF(ISBLANK(Table1[[#This Row],[Date Onboarded]]),"",Table1[[#This Row],[Date Onboarded]])</f>
        <v/>
      </c>
      <c r="H45" t="str">
        <f>Table1[[#This Row],[Internal/External]]</f>
        <v>Internal</v>
      </c>
      <c r="I45">
        <f>Table1[[#This Row],[Pipeline Updated]]</f>
        <v>0</v>
      </c>
      <c r="J45" t="str">
        <f t="shared" si="1"/>
        <v/>
      </c>
      <c r="K45" t="str">
        <f t="shared" si="0"/>
        <v/>
      </c>
    </row>
    <row r="46" spans="1:11">
      <c r="A46">
        <f>Table1[[#This Row],[Role ID]]</f>
        <v>40</v>
      </c>
      <c r="B46" t="str">
        <f>Table1[[#This Row],[Role]]</f>
        <v>Network Administrator</v>
      </c>
      <c r="C46" t="str">
        <f>Table1[[#This Row],[Stream Internal]]</f>
        <v>ITES</v>
      </c>
      <c r="D46" s="1">
        <f>IF(ISBLANK(Table1[[#This Row],[Demand Date]]),"",Table1[[#This Row],[Demand Date]])</f>
        <v>45910</v>
      </c>
      <c r="E46" s="1">
        <f>IF(ISBLANK(Table1[[#This Row],[Date Job Requirement Released]]),"",Table1[[#This Row],[Date Job Requirement Released]])</f>
        <v>45979</v>
      </c>
      <c r="F46" s="1">
        <f>IF(ISBLANK(Table1[[#This Row],[Date Offered]]),"",Table1[[#This Row],[Date Offered]])</f>
        <v>45992</v>
      </c>
      <c r="G46" s="1">
        <f>IF(ISBLANK(Table1[[#This Row],[Date Onboarded]]),"",Table1[[#This Row],[Date Onboarded]])</f>
        <v>46075</v>
      </c>
      <c r="H46" t="str">
        <f>Table1[[#This Row],[Internal/External]]</f>
        <v>Internal</v>
      </c>
      <c r="I46">
        <f>Table1[[#This Row],[Pipeline Updated]]</f>
        <v>1</v>
      </c>
      <c r="J46">
        <f t="shared" si="1"/>
        <v>13</v>
      </c>
      <c r="K46">
        <f t="shared" si="0"/>
        <v>96</v>
      </c>
    </row>
    <row r="47" spans="1:11">
      <c r="A47">
        <f>Table1[[#This Row],[Role ID]]</f>
        <v>41</v>
      </c>
      <c r="B47" t="str">
        <f>Table1[[#This Row],[Role]]</f>
        <v>Principal Investigator</v>
      </c>
      <c r="C47" t="str">
        <f>Table1[[#This Row],[Stream Internal]]</f>
        <v>RND</v>
      </c>
      <c r="D47" s="1">
        <f>IF(ISBLANK(Table1[[#This Row],[Demand Date]]),"",Table1[[#This Row],[Demand Date]])</f>
        <v>45877</v>
      </c>
      <c r="E47" s="1">
        <f>IF(ISBLANK(Table1[[#This Row],[Date Job Requirement Released]]),"",Table1[[#This Row],[Date Job Requirement Released]])</f>
        <v>45937</v>
      </c>
      <c r="F47" s="1" t="str">
        <f>IF(ISBLANK(Table1[[#This Row],[Date Offered]]),"",Table1[[#This Row],[Date Offered]])</f>
        <v/>
      </c>
      <c r="G47" s="1" t="str">
        <f>IF(ISBLANK(Table1[[#This Row],[Date Onboarded]]),"",Table1[[#This Row],[Date Onboarded]])</f>
        <v/>
      </c>
      <c r="H47" t="str">
        <f>Table1[[#This Row],[Internal/External]]</f>
        <v>Internal</v>
      </c>
      <c r="I47">
        <f>Table1[[#This Row],[Pipeline Updated]]</f>
        <v>0</v>
      </c>
      <c r="J47" t="str">
        <f t="shared" si="1"/>
        <v/>
      </c>
      <c r="K47" t="str">
        <f t="shared" si="0"/>
        <v/>
      </c>
    </row>
    <row r="48" spans="1:11">
      <c r="A48">
        <f>Table1[[#This Row],[Role ID]]</f>
        <v>42</v>
      </c>
      <c r="B48" t="str">
        <f>Table1[[#This Row],[Role]]</f>
        <v>Field Service Technician</v>
      </c>
      <c r="C48" t="str">
        <f>Table1[[#This Row],[Stream Internal]]</f>
        <v>ITES</v>
      </c>
      <c r="D48" s="1">
        <f>IF(ISBLANK(Table1[[#This Row],[Demand Date]]),"",Table1[[#This Row],[Demand Date]])</f>
        <v>45897</v>
      </c>
      <c r="E48" s="1">
        <f>IF(ISBLANK(Table1[[#This Row],[Date Job Requirement Released]]),"",Table1[[#This Row],[Date Job Requirement Released]])</f>
        <v>45949</v>
      </c>
      <c r="F48" s="1" t="str">
        <f>IF(ISBLANK(Table1[[#This Row],[Date Offered]]),"",Table1[[#This Row],[Date Offered]])</f>
        <v/>
      </c>
      <c r="G48" s="1" t="str">
        <f>IF(ISBLANK(Table1[[#This Row],[Date Onboarded]]),"",Table1[[#This Row],[Date Onboarded]])</f>
        <v/>
      </c>
      <c r="H48" t="str">
        <f>Table1[[#This Row],[Internal/External]]</f>
        <v>Internal</v>
      </c>
      <c r="I48">
        <f>Table1[[#This Row],[Pipeline Updated]]</f>
        <v>0</v>
      </c>
      <c r="J48" t="str">
        <f t="shared" si="1"/>
        <v/>
      </c>
      <c r="K48" t="str">
        <f t="shared" si="0"/>
        <v/>
      </c>
    </row>
    <row r="49" spans="1:11">
      <c r="A49">
        <f>Table1[[#This Row],[Role ID]]</f>
        <v>41</v>
      </c>
      <c r="B49" t="str">
        <f>Table1[[#This Row],[Role]]</f>
        <v>Principal Investigator</v>
      </c>
      <c r="C49" t="str">
        <f>Table1[[#This Row],[Stream Internal]]</f>
        <v>RND</v>
      </c>
      <c r="D49" s="1">
        <f>IF(ISBLANK(Table1[[#This Row],[Demand Date]]),"",Table1[[#This Row],[Demand Date]])</f>
        <v>45850</v>
      </c>
      <c r="E49" s="1">
        <f>IF(ISBLANK(Table1[[#This Row],[Date Job Requirement Released]]),"",Table1[[#This Row],[Date Job Requirement Released]])</f>
        <v>45905</v>
      </c>
      <c r="F49" s="1">
        <f>IF(ISBLANK(Table1[[#This Row],[Date Offered]]),"",Table1[[#This Row],[Date Offered]])</f>
        <v>45918</v>
      </c>
      <c r="G49" s="1">
        <f>IF(ISBLANK(Table1[[#This Row],[Date Onboarded]]),"",Table1[[#This Row],[Date Onboarded]])</f>
        <v>45941</v>
      </c>
      <c r="H49" t="str">
        <f>Table1[[#This Row],[Internal/External]]</f>
        <v>Internal</v>
      </c>
      <c r="I49">
        <f>Table1[[#This Row],[Pipeline Updated]]</f>
        <v>2</v>
      </c>
      <c r="J49">
        <f t="shared" si="1"/>
        <v>13</v>
      </c>
      <c r="K49">
        <f t="shared" si="0"/>
        <v>36</v>
      </c>
    </row>
    <row r="50" spans="1:11">
      <c r="A50">
        <f>Table1[[#This Row],[Role ID]]</f>
        <v>43</v>
      </c>
      <c r="B50" t="str">
        <f>Table1[[#This Row],[Role]]</f>
        <v>R&amp;D Manager</v>
      </c>
      <c r="C50" t="str">
        <f>Table1[[#This Row],[Stream Internal]]</f>
        <v>RND</v>
      </c>
      <c r="D50" s="1">
        <f>IF(ISBLANK(Table1[[#This Row],[Demand Date]]),"",Table1[[#This Row],[Demand Date]])</f>
        <v>45883</v>
      </c>
      <c r="E50" s="1">
        <f>IF(ISBLANK(Table1[[#This Row],[Date Job Requirement Released]]),"",Table1[[#This Row],[Date Job Requirement Released]])</f>
        <v>45948</v>
      </c>
      <c r="F50" s="1">
        <f>IF(ISBLANK(Table1[[#This Row],[Date Offered]]),"",Table1[[#This Row],[Date Offered]])</f>
        <v>45963</v>
      </c>
      <c r="G50" s="1">
        <f>IF(ISBLANK(Table1[[#This Row],[Date Onboarded]]),"",Table1[[#This Row],[Date Onboarded]])</f>
        <v>45980</v>
      </c>
      <c r="H50" t="str">
        <f>Table1[[#This Row],[Internal/External]]</f>
        <v>Internal</v>
      </c>
      <c r="I50">
        <f>Table1[[#This Row],[Pipeline Updated]]</f>
        <v>0</v>
      </c>
      <c r="J50">
        <f t="shared" si="1"/>
        <v>15</v>
      </c>
      <c r="K50">
        <f t="shared" si="0"/>
        <v>32</v>
      </c>
    </row>
    <row r="51" spans="1:11">
      <c r="A51">
        <f>Table1[[#This Row],[Role ID]]</f>
        <v>44</v>
      </c>
      <c r="B51" t="str">
        <f>Table1[[#This Row],[Role]]</f>
        <v>Sales Manager</v>
      </c>
      <c r="C51" t="str">
        <f>Table1[[#This Row],[Stream Internal]]</f>
        <v>SAM</v>
      </c>
      <c r="D51" s="1">
        <f>IF(ISBLANK(Table1[[#This Row],[Demand Date]]),"",Table1[[#This Row],[Demand Date]])</f>
        <v>45836</v>
      </c>
      <c r="E51" s="1">
        <f>IF(ISBLANK(Table1[[#This Row],[Date Job Requirement Released]]),"",Table1[[#This Row],[Date Job Requirement Released]])</f>
        <v>45905</v>
      </c>
      <c r="F51" s="1" t="str">
        <f>IF(ISBLANK(Table1[[#This Row],[Date Offered]]),"",Table1[[#This Row],[Date Offered]])</f>
        <v/>
      </c>
      <c r="G51" s="1" t="str">
        <f>IF(ISBLANK(Table1[[#This Row],[Date Onboarded]]),"",Table1[[#This Row],[Date Onboarded]])</f>
        <v/>
      </c>
      <c r="H51" t="str">
        <f>Table1[[#This Row],[Internal/External]]</f>
        <v>Internal</v>
      </c>
      <c r="I51">
        <f>Table1[[#This Row],[Pipeline Updated]]</f>
        <v>0</v>
      </c>
      <c r="J51" t="str">
        <f t="shared" si="1"/>
        <v/>
      </c>
      <c r="K51" t="str">
        <f t="shared" si="0"/>
        <v/>
      </c>
    </row>
    <row r="52" spans="1:11">
      <c r="A52">
        <f>Table1[[#This Row],[Role ID]]</f>
        <v>45</v>
      </c>
      <c r="B52" t="str">
        <f>Table1[[#This Row],[Role]]</f>
        <v>Technical Support Analyst</v>
      </c>
      <c r="C52" t="str">
        <f>Table1[[#This Row],[Stream Internal]]</f>
        <v>ITES</v>
      </c>
      <c r="D52" s="1">
        <f>IF(ISBLANK(Table1[[#This Row],[Demand Date]]),"",Table1[[#This Row],[Demand Date]])</f>
        <v>45924</v>
      </c>
      <c r="E52" s="1">
        <f>IF(ISBLANK(Table1[[#This Row],[Date Job Requirement Released]]),"",Table1[[#This Row],[Date Job Requirement Released]])</f>
        <v>45973</v>
      </c>
      <c r="F52" s="1" t="str">
        <f>IF(ISBLANK(Table1[[#This Row],[Date Offered]]),"",Table1[[#This Row],[Date Offered]])</f>
        <v/>
      </c>
      <c r="G52" s="1" t="str">
        <f>IF(ISBLANK(Table1[[#This Row],[Date Onboarded]]),"",Table1[[#This Row],[Date Onboarded]])</f>
        <v/>
      </c>
      <c r="H52" t="str">
        <f>Table1[[#This Row],[Internal/External]]</f>
        <v>Internal</v>
      </c>
      <c r="I52">
        <f>Table1[[#This Row],[Pipeline Updated]]</f>
        <v>0</v>
      </c>
      <c r="J52" t="str">
        <f t="shared" si="1"/>
        <v/>
      </c>
      <c r="K52" t="str">
        <f t="shared" si="0"/>
        <v/>
      </c>
    </row>
    <row r="53" spans="1:11">
      <c r="A53">
        <f>Table1[[#This Row],[Role ID]]</f>
        <v>21</v>
      </c>
      <c r="B53" t="str">
        <f>Table1[[#This Row],[Role]]</f>
        <v>Sales Director</v>
      </c>
      <c r="C53" t="str">
        <f>Table1[[#This Row],[Stream Internal]]</f>
        <v>SAM</v>
      </c>
      <c r="D53" s="1">
        <f>IF(ISBLANK(Table1[[#This Row],[Demand Date]]),"",Table1[[#This Row],[Demand Date]])</f>
        <v>45918</v>
      </c>
      <c r="E53" s="1">
        <f>IF(ISBLANK(Table1[[#This Row],[Date Job Requirement Released]]),"",Table1[[#This Row],[Date Job Requirement Released]])</f>
        <v>45972</v>
      </c>
      <c r="F53" s="1" t="str">
        <f>IF(ISBLANK(Table1[[#This Row],[Date Offered]]),"",Table1[[#This Row],[Date Offered]])</f>
        <v/>
      </c>
      <c r="G53" s="1" t="str">
        <f>IF(ISBLANK(Table1[[#This Row],[Date Onboarded]]),"",Table1[[#This Row],[Date Onboarded]])</f>
        <v/>
      </c>
      <c r="H53" t="str">
        <f>Table1[[#This Row],[Internal/External]]</f>
        <v>Internal</v>
      </c>
      <c r="I53">
        <f>Table1[[#This Row],[Pipeline Updated]]</f>
        <v>0</v>
      </c>
      <c r="J53" t="str">
        <f t="shared" si="1"/>
        <v/>
      </c>
      <c r="K53" t="str">
        <f t="shared" si="0"/>
        <v/>
      </c>
    </row>
    <row r="54" spans="1:11">
      <c r="A54">
        <f>Table1[[#This Row],[Role ID]]</f>
        <v>46</v>
      </c>
      <c r="B54" t="str">
        <f>Table1[[#This Row],[Role]]</f>
        <v>Software Developer 1</v>
      </c>
      <c r="C54" t="str">
        <f>Table1[[#This Row],[Stream Internal]]</f>
        <v>ENGG</v>
      </c>
      <c r="D54" s="1">
        <f>IF(ISBLANK(Table1[[#This Row],[Demand Date]]),"",Table1[[#This Row],[Demand Date]])</f>
        <v>45866</v>
      </c>
      <c r="E54" s="1">
        <f>IF(ISBLANK(Table1[[#This Row],[Date Job Requirement Released]]),"",Table1[[#This Row],[Date Job Requirement Released]])</f>
        <v>45922</v>
      </c>
      <c r="F54" s="1" t="str">
        <f>IF(ISBLANK(Table1[[#This Row],[Date Offered]]),"",Table1[[#This Row],[Date Offered]])</f>
        <v/>
      </c>
      <c r="G54" s="1" t="str">
        <f>IF(ISBLANK(Table1[[#This Row],[Date Onboarded]]),"",Table1[[#This Row],[Date Onboarded]])</f>
        <v/>
      </c>
      <c r="H54" t="str">
        <f>Table1[[#This Row],[Internal/External]]</f>
        <v>Internal</v>
      </c>
      <c r="I54">
        <f>Table1[[#This Row],[Pipeline Updated]]</f>
        <v>0</v>
      </c>
      <c r="J54" t="str">
        <f t="shared" si="1"/>
        <v/>
      </c>
      <c r="K54" t="str">
        <f t="shared" si="0"/>
        <v/>
      </c>
    </row>
    <row r="55" spans="1:11">
      <c r="A55">
        <f>Table1[[#This Row],[Role ID]]</f>
        <v>47</v>
      </c>
      <c r="B55" t="str">
        <f>Table1[[#This Row],[Role]]</f>
        <v>Senior Staff Engineer</v>
      </c>
      <c r="C55" t="str">
        <f>Table1[[#This Row],[Stream Internal]]</f>
        <v>ENGG</v>
      </c>
      <c r="D55" s="1">
        <f>IF(ISBLANK(Table1[[#This Row],[Demand Date]]),"",Table1[[#This Row],[Demand Date]])</f>
        <v>45865</v>
      </c>
      <c r="E55" s="1">
        <f>IF(ISBLANK(Table1[[#This Row],[Date Job Requirement Released]]),"",Table1[[#This Row],[Date Job Requirement Released]])</f>
        <v>45920</v>
      </c>
      <c r="F55" s="1" t="str">
        <f>IF(ISBLANK(Table1[[#This Row],[Date Offered]]),"",Table1[[#This Row],[Date Offered]])</f>
        <v/>
      </c>
      <c r="G55" s="1" t="str">
        <f>IF(ISBLANK(Table1[[#This Row],[Date Onboarded]]),"",Table1[[#This Row],[Date Onboarded]])</f>
        <v/>
      </c>
      <c r="H55" t="str">
        <f>Table1[[#This Row],[Internal/External]]</f>
        <v>Internal</v>
      </c>
      <c r="I55">
        <f>Table1[[#This Row],[Pipeline Updated]]</f>
        <v>0</v>
      </c>
      <c r="J55" t="str">
        <f t="shared" si="1"/>
        <v/>
      </c>
      <c r="K55" t="str">
        <f t="shared" si="0"/>
        <v/>
      </c>
    </row>
    <row r="56" spans="1:11">
      <c r="A56">
        <f>Table1[[#This Row],[Role ID]]</f>
        <v>1</v>
      </c>
      <c r="B56" t="str">
        <f>Table1[[#This Row],[Role]]</f>
        <v>Brand Manager</v>
      </c>
      <c r="C56" t="str">
        <f>Table1[[#This Row],[Stream Internal]]</f>
        <v>SAM</v>
      </c>
      <c r="D56" s="1">
        <f>IF(ISBLANK(Table1[[#This Row],[Demand Date]]),"",Table1[[#This Row],[Demand Date]])</f>
        <v>45906</v>
      </c>
      <c r="E56" s="1">
        <f>IF(ISBLANK(Table1[[#This Row],[Date Job Requirement Released]]),"",Table1[[#This Row],[Date Job Requirement Released]])</f>
        <v>45975</v>
      </c>
      <c r="F56" s="1" t="str">
        <f>IF(ISBLANK(Table1[[#This Row],[Date Offered]]),"",Table1[[#This Row],[Date Offered]])</f>
        <v/>
      </c>
      <c r="G56" s="1" t="str">
        <f>IF(ISBLANK(Table1[[#This Row],[Date Onboarded]]),"",Table1[[#This Row],[Date Onboarded]])</f>
        <v/>
      </c>
      <c r="H56" t="str">
        <f>Table1[[#This Row],[Internal/External]]</f>
        <v>Internal</v>
      </c>
      <c r="I56">
        <f>Table1[[#This Row],[Pipeline Updated]]</f>
        <v>0</v>
      </c>
      <c r="J56" t="str">
        <f t="shared" si="1"/>
        <v/>
      </c>
      <c r="K56" t="str">
        <f t="shared" si="0"/>
        <v/>
      </c>
    </row>
    <row r="57" spans="1:11">
      <c r="A57">
        <f>Table1[[#This Row],[Role ID]]</f>
        <v>48</v>
      </c>
      <c r="B57" t="str">
        <f>Table1[[#This Row],[Role]]</f>
        <v>Brand Manager</v>
      </c>
      <c r="C57" t="str">
        <f>Table1[[#This Row],[Stream Internal]]</f>
        <v>SAM</v>
      </c>
      <c r="D57" s="1">
        <f>IF(ISBLANK(Table1[[#This Row],[Demand Date]]),"",Table1[[#This Row],[Demand Date]])</f>
        <v>45883</v>
      </c>
      <c r="E57" s="1">
        <f>IF(ISBLANK(Table1[[#This Row],[Date Job Requirement Released]]),"",Table1[[#This Row],[Date Job Requirement Released]])</f>
        <v>45941</v>
      </c>
      <c r="F57" s="1" t="str">
        <f>IF(ISBLANK(Table1[[#This Row],[Date Offered]]),"",Table1[[#This Row],[Date Offered]])</f>
        <v/>
      </c>
      <c r="G57" s="1" t="str">
        <f>IF(ISBLANK(Table1[[#This Row],[Date Onboarded]]),"",Table1[[#This Row],[Date Onboarded]])</f>
        <v/>
      </c>
      <c r="H57" t="str">
        <f>Table1[[#This Row],[Internal/External]]</f>
        <v>Internal</v>
      </c>
      <c r="I57">
        <f>Table1[[#This Row],[Pipeline Updated]]</f>
        <v>0</v>
      </c>
      <c r="J57" t="str">
        <f t="shared" si="1"/>
        <v/>
      </c>
      <c r="K57" t="str">
        <f t="shared" si="0"/>
        <v/>
      </c>
    </row>
    <row r="58" spans="1:11">
      <c r="A58">
        <f>Table1[[#This Row],[Role ID]]</f>
        <v>41</v>
      </c>
      <c r="B58" t="str">
        <f>Table1[[#This Row],[Role]]</f>
        <v>Principal Investigator</v>
      </c>
      <c r="C58" t="str">
        <f>Table1[[#This Row],[Stream Internal]]</f>
        <v>RND</v>
      </c>
      <c r="D58" s="1">
        <f>IF(ISBLANK(Table1[[#This Row],[Demand Date]]),"",Table1[[#This Row],[Demand Date]])</f>
        <v>45915</v>
      </c>
      <c r="E58" s="1">
        <f>IF(ISBLANK(Table1[[#This Row],[Date Job Requirement Released]]),"",Table1[[#This Row],[Date Job Requirement Released]])</f>
        <v>45974</v>
      </c>
      <c r="F58" s="1" t="str">
        <f>IF(ISBLANK(Table1[[#This Row],[Date Offered]]),"",Table1[[#This Row],[Date Offered]])</f>
        <v/>
      </c>
      <c r="G58" s="1" t="str">
        <f>IF(ISBLANK(Table1[[#This Row],[Date Onboarded]]),"",Table1[[#This Row],[Date Onboarded]])</f>
        <v/>
      </c>
      <c r="H58" t="str">
        <f>Table1[[#This Row],[Internal/External]]</f>
        <v>Internal</v>
      </c>
      <c r="I58">
        <f>Table1[[#This Row],[Pipeline Updated]]</f>
        <v>0</v>
      </c>
      <c r="J58" t="str">
        <f t="shared" si="1"/>
        <v/>
      </c>
      <c r="K58" t="str">
        <f t="shared" si="0"/>
        <v/>
      </c>
    </row>
    <row r="59" spans="1:11">
      <c r="A59">
        <f>Table1[[#This Row],[Role ID]]</f>
        <v>49</v>
      </c>
      <c r="B59" t="str">
        <f>Table1[[#This Row],[Role]]</f>
        <v>R&amp;D Engineer</v>
      </c>
      <c r="C59" t="str">
        <f>Table1[[#This Row],[Stream Internal]]</f>
        <v>RND</v>
      </c>
      <c r="D59" s="1">
        <f>IF(ISBLANK(Table1[[#This Row],[Demand Date]]),"",Table1[[#This Row],[Demand Date]])</f>
        <v>45901</v>
      </c>
      <c r="E59" s="1">
        <f>IF(ISBLANK(Table1[[#This Row],[Date Job Requirement Released]]),"",Table1[[#This Row],[Date Job Requirement Released]])</f>
        <v>45960</v>
      </c>
      <c r="F59" s="1" t="str">
        <f>IF(ISBLANK(Table1[[#This Row],[Date Offered]]),"",Table1[[#This Row],[Date Offered]])</f>
        <v/>
      </c>
      <c r="G59" s="1" t="str">
        <f>IF(ISBLANK(Table1[[#This Row],[Date Onboarded]]),"",Table1[[#This Row],[Date Onboarded]])</f>
        <v/>
      </c>
      <c r="H59" t="str">
        <f>Table1[[#This Row],[Internal/External]]</f>
        <v>Internal</v>
      </c>
      <c r="I59">
        <f>Table1[[#This Row],[Pipeline Updated]]</f>
        <v>0</v>
      </c>
      <c r="J59" t="str">
        <f t="shared" si="1"/>
        <v/>
      </c>
      <c r="K59" t="str">
        <f t="shared" si="0"/>
        <v/>
      </c>
    </row>
    <row r="60" spans="1:11">
      <c r="A60">
        <f>Table1[[#This Row],[Role ID]]</f>
        <v>50</v>
      </c>
      <c r="B60" t="str">
        <f>Table1[[#This Row],[Role]]</f>
        <v>R&amp;D Engineer</v>
      </c>
      <c r="C60" t="str">
        <f>Table1[[#This Row],[Stream Internal]]</f>
        <v>RND</v>
      </c>
      <c r="D60" s="1">
        <f>IF(ISBLANK(Table1[[#This Row],[Demand Date]]),"",Table1[[#This Row],[Demand Date]])</f>
        <v>45860</v>
      </c>
      <c r="E60" s="1">
        <f>IF(ISBLANK(Table1[[#This Row],[Date Job Requirement Released]]),"",Table1[[#This Row],[Date Job Requirement Released]])</f>
        <v>45923</v>
      </c>
      <c r="F60" s="1">
        <f>IF(ISBLANK(Table1[[#This Row],[Date Offered]]),"",Table1[[#This Row],[Date Offered]])</f>
        <v>45943</v>
      </c>
      <c r="G60" s="1">
        <f>IF(ISBLANK(Table1[[#This Row],[Date Onboarded]]),"",Table1[[#This Row],[Date Onboarded]])</f>
        <v>46029</v>
      </c>
      <c r="H60" t="str">
        <f>Table1[[#This Row],[Internal/External]]</f>
        <v>Internal</v>
      </c>
      <c r="I60">
        <f>Table1[[#This Row],[Pipeline Updated]]</f>
        <v>1</v>
      </c>
      <c r="J60">
        <f t="shared" si="1"/>
        <v>20</v>
      </c>
      <c r="K60">
        <f t="shared" si="0"/>
        <v>106</v>
      </c>
    </row>
    <row r="61" spans="1:11">
      <c r="A61">
        <f>Table1[[#This Row],[Role ID]]</f>
        <v>51</v>
      </c>
      <c r="B61" t="str">
        <f>Table1[[#This Row],[Role]]</f>
        <v>Sales Director</v>
      </c>
      <c r="C61" t="str">
        <f>Table1[[#This Row],[Stream Internal]]</f>
        <v>SAM</v>
      </c>
      <c r="D61" s="1">
        <f>IF(ISBLANK(Table1[[#This Row],[Demand Date]]),"",Table1[[#This Row],[Demand Date]])</f>
        <v>45824</v>
      </c>
      <c r="E61" s="1">
        <f>IF(ISBLANK(Table1[[#This Row],[Date Job Requirement Released]]),"",Table1[[#This Row],[Date Job Requirement Released]])</f>
        <v>45881</v>
      </c>
      <c r="F61" s="1">
        <f>IF(ISBLANK(Table1[[#This Row],[Date Offered]]),"",Table1[[#This Row],[Date Offered]])</f>
        <v>45893</v>
      </c>
      <c r="G61" s="1">
        <f>IF(ISBLANK(Table1[[#This Row],[Date Onboarded]]),"",Table1[[#This Row],[Date Onboarded]])</f>
        <v>45981</v>
      </c>
      <c r="H61" t="str">
        <f>Table1[[#This Row],[Internal/External]]</f>
        <v>Internal</v>
      </c>
      <c r="I61">
        <f>Table1[[#This Row],[Pipeline Updated]]</f>
        <v>0</v>
      </c>
      <c r="J61">
        <f t="shared" si="1"/>
        <v>12</v>
      </c>
      <c r="K61">
        <f t="shared" si="0"/>
        <v>100</v>
      </c>
    </row>
    <row r="62" spans="1:11">
      <c r="A62">
        <f>Table1[[#This Row],[Role ID]]</f>
        <v>52</v>
      </c>
      <c r="B62" t="str">
        <f>Table1[[#This Row],[Role]]</f>
        <v>Platform Delivery Lead</v>
      </c>
      <c r="C62" t="str">
        <f>Table1[[#This Row],[Stream Internal]]</f>
        <v>ENGG</v>
      </c>
      <c r="D62" s="1">
        <f>IF(ISBLANK(Table1[[#This Row],[Demand Date]]),"",Table1[[#This Row],[Demand Date]])</f>
        <v>45874</v>
      </c>
      <c r="E62" s="1">
        <f>IF(ISBLANK(Table1[[#This Row],[Date Job Requirement Released]]),"",Table1[[#This Row],[Date Job Requirement Released]])</f>
        <v>45928</v>
      </c>
      <c r="F62" s="1" t="str">
        <f>IF(ISBLANK(Table1[[#This Row],[Date Offered]]),"",Table1[[#This Row],[Date Offered]])</f>
        <v/>
      </c>
      <c r="G62" s="1" t="str">
        <f>IF(ISBLANK(Table1[[#This Row],[Date Onboarded]]),"",Table1[[#This Row],[Date Onboarded]])</f>
        <v/>
      </c>
      <c r="H62" t="str">
        <f>Table1[[#This Row],[Internal/External]]</f>
        <v>Internal</v>
      </c>
      <c r="I62">
        <f>Table1[[#This Row],[Pipeline Updated]]</f>
        <v>0</v>
      </c>
      <c r="J62" t="str">
        <f t="shared" si="1"/>
        <v/>
      </c>
      <c r="K62" t="str">
        <f t="shared" si="0"/>
        <v/>
      </c>
    </row>
    <row r="63" spans="1:11">
      <c r="A63">
        <f>Table1[[#This Row],[Role ID]]</f>
        <v>53</v>
      </c>
      <c r="B63" t="str">
        <f>Table1[[#This Row],[Role]]</f>
        <v>Field Service Technician</v>
      </c>
      <c r="C63" t="str">
        <f>Table1[[#This Row],[Stream Internal]]</f>
        <v>ITES</v>
      </c>
      <c r="D63" s="1">
        <f>IF(ISBLANK(Table1[[#This Row],[Demand Date]]),"",Table1[[#This Row],[Demand Date]])</f>
        <v>45930</v>
      </c>
      <c r="E63" s="1">
        <f>IF(ISBLANK(Table1[[#This Row],[Date Job Requirement Released]]),"",Table1[[#This Row],[Date Job Requirement Released]])</f>
        <v>45980</v>
      </c>
      <c r="F63" s="1" t="str">
        <f>IF(ISBLANK(Table1[[#This Row],[Date Offered]]),"",Table1[[#This Row],[Date Offered]])</f>
        <v/>
      </c>
      <c r="G63" s="1" t="str">
        <f>IF(ISBLANK(Table1[[#This Row],[Date Onboarded]]),"",Table1[[#This Row],[Date Onboarded]])</f>
        <v/>
      </c>
      <c r="H63" t="str">
        <f>Table1[[#This Row],[Internal/External]]</f>
        <v>Internal</v>
      </c>
      <c r="I63">
        <f>Table1[[#This Row],[Pipeline Updated]]</f>
        <v>0</v>
      </c>
      <c r="J63" t="str">
        <f t="shared" si="1"/>
        <v/>
      </c>
      <c r="K63" t="str">
        <f t="shared" si="0"/>
        <v/>
      </c>
    </row>
    <row r="64" spans="1:11">
      <c r="A64">
        <f>Table1[[#This Row],[Role ID]]</f>
        <v>54</v>
      </c>
      <c r="B64" t="str">
        <f>Table1[[#This Row],[Role]]</f>
        <v>Help Desk Technician</v>
      </c>
      <c r="C64" t="str">
        <f>Table1[[#This Row],[Stream Internal]]</f>
        <v>ITES</v>
      </c>
      <c r="D64" s="1">
        <f>IF(ISBLANK(Table1[[#This Row],[Demand Date]]),"",Table1[[#This Row],[Demand Date]])</f>
        <v>45895</v>
      </c>
      <c r="E64" s="1">
        <f>IF(ISBLANK(Table1[[#This Row],[Date Job Requirement Released]]),"",Table1[[#This Row],[Date Job Requirement Released]])</f>
        <v>45945</v>
      </c>
      <c r="F64" s="1" t="str">
        <f>IF(ISBLANK(Table1[[#This Row],[Date Offered]]),"",Table1[[#This Row],[Date Offered]])</f>
        <v/>
      </c>
      <c r="G64" s="1" t="str">
        <f>IF(ISBLANK(Table1[[#This Row],[Date Onboarded]]),"",Table1[[#This Row],[Date Onboarded]])</f>
        <v/>
      </c>
      <c r="H64" t="str">
        <f>Table1[[#This Row],[Internal/External]]</f>
        <v>Internal</v>
      </c>
      <c r="I64">
        <f>Table1[[#This Row],[Pipeline Updated]]</f>
        <v>0</v>
      </c>
      <c r="J64" t="str">
        <f t="shared" si="1"/>
        <v/>
      </c>
      <c r="K64" t="str">
        <f t="shared" si="0"/>
        <v/>
      </c>
    </row>
    <row r="65" spans="1:11">
      <c r="A65">
        <f>Table1[[#This Row],[Role ID]]</f>
        <v>55</v>
      </c>
      <c r="B65" t="str">
        <f>Table1[[#This Row],[Role]]</f>
        <v>Application Support Analyst</v>
      </c>
      <c r="C65" t="str">
        <f>Table1[[#This Row],[Stream Internal]]</f>
        <v>ITES</v>
      </c>
      <c r="D65" s="1">
        <f>IF(ISBLANK(Table1[[#This Row],[Demand Date]]),"",Table1[[#This Row],[Demand Date]])</f>
        <v>45868</v>
      </c>
      <c r="E65" s="1">
        <f>IF(ISBLANK(Table1[[#This Row],[Date Job Requirement Released]]),"",Table1[[#This Row],[Date Job Requirement Released]])</f>
        <v>45929</v>
      </c>
      <c r="F65" s="1" t="str">
        <f>IF(ISBLANK(Table1[[#This Row],[Date Offered]]),"",Table1[[#This Row],[Date Offered]])</f>
        <v/>
      </c>
      <c r="G65" s="1" t="str">
        <f>IF(ISBLANK(Table1[[#This Row],[Date Onboarded]]),"",Table1[[#This Row],[Date Onboarded]])</f>
        <v/>
      </c>
      <c r="H65" t="str">
        <f>Table1[[#This Row],[Internal/External]]</f>
        <v>Internal</v>
      </c>
      <c r="I65">
        <f>Table1[[#This Row],[Pipeline Updated]]</f>
        <v>0</v>
      </c>
      <c r="J65" t="str">
        <f t="shared" si="1"/>
        <v/>
      </c>
      <c r="K65" t="str">
        <f t="shared" si="0"/>
        <v/>
      </c>
    </row>
    <row r="66" spans="1:11">
      <c r="A66">
        <f>Table1[[#This Row],[Role ID]]</f>
        <v>41</v>
      </c>
      <c r="B66" t="str">
        <f>Table1[[#This Row],[Role]]</f>
        <v>Principal Investigator</v>
      </c>
      <c r="C66" t="str">
        <f>Table1[[#This Row],[Stream Internal]]</f>
        <v>RND</v>
      </c>
      <c r="D66" s="1">
        <f>IF(ISBLANK(Table1[[#This Row],[Demand Date]]),"",Table1[[#This Row],[Demand Date]])</f>
        <v>45888</v>
      </c>
      <c r="E66" s="1">
        <f>IF(ISBLANK(Table1[[#This Row],[Date Job Requirement Released]]),"",Table1[[#This Row],[Date Job Requirement Released]])</f>
        <v>45951</v>
      </c>
      <c r="F66" s="1" t="str">
        <f>IF(ISBLANK(Table1[[#This Row],[Date Offered]]),"",Table1[[#This Row],[Date Offered]])</f>
        <v/>
      </c>
      <c r="G66" s="1" t="str">
        <f>IF(ISBLANK(Table1[[#This Row],[Date Onboarded]]),"",Table1[[#This Row],[Date Onboarded]])</f>
        <v/>
      </c>
      <c r="H66" t="str">
        <f>Table1[[#This Row],[Internal/External]]</f>
        <v>Internal</v>
      </c>
      <c r="I66">
        <f>Table1[[#This Row],[Pipeline Updated]]</f>
        <v>0</v>
      </c>
      <c r="J66" t="str">
        <f t="shared" si="1"/>
        <v/>
      </c>
      <c r="K66" t="str">
        <f t="shared" si="0"/>
        <v/>
      </c>
    </row>
    <row r="67" spans="1:11">
      <c r="A67">
        <f>Table1[[#This Row],[Role ID]]</f>
        <v>10</v>
      </c>
      <c r="B67" t="str">
        <f>Table1[[#This Row],[Role]]</f>
        <v>Sales Director</v>
      </c>
      <c r="C67" t="str">
        <f>Table1[[#This Row],[Stream Internal]]</f>
        <v>SAM</v>
      </c>
      <c r="D67" s="1">
        <f>IF(ISBLANK(Table1[[#This Row],[Demand Date]]),"",Table1[[#This Row],[Demand Date]])</f>
        <v>45865</v>
      </c>
      <c r="E67" s="1">
        <f>IF(ISBLANK(Table1[[#This Row],[Date Job Requirement Released]]),"",Table1[[#This Row],[Date Job Requirement Released]])</f>
        <v>45920</v>
      </c>
      <c r="F67" s="1" t="str">
        <f>IF(ISBLANK(Table1[[#This Row],[Date Offered]]),"",Table1[[#This Row],[Date Offered]])</f>
        <v/>
      </c>
      <c r="G67" s="1" t="str">
        <f>IF(ISBLANK(Table1[[#This Row],[Date Onboarded]]),"",Table1[[#This Row],[Date Onboarded]])</f>
        <v/>
      </c>
      <c r="H67" t="str">
        <f>Table1[[#This Row],[Internal/External]]</f>
        <v>Internal</v>
      </c>
      <c r="I67">
        <f>Table1[[#This Row],[Pipeline Updated]]</f>
        <v>0</v>
      </c>
      <c r="J67" t="str">
        <f t="shared" si="1"/>
        <v/>
      </c>
      <c r="K67" t="str">
        <f t="shared" ref="K67:K130" si="2">IF(OR(E67="",G67=""),"",G67-E67)</f>
        <v/>
      </c>
    </row>
    <row r="68" spans="1:11">
      <c r="A68">
        <f>Table1[[#This Row],[Role ID]]</f>
        <v>56</v>
      </c>
      <c r="B68" t="str">
        <f>Table1[[#This Row],[Role]]</f>
        <v>Senior R&amp;D Manager</v>
      </c>
      <c r="C68" t="str">
        <f>Table1[[#This Row],[Stream Internal]]</f>
        <v>RND</v>
      </c>
      <c r="D68" s="1">
        <f>IF(ISBLANK(Table1[[#This Row],[Demand Date]]),"",Table1[[#This Row],[Demand Date]])</f>
        <v>45848</v>
      </c>
      <c r="E68" s="1">
        <f>IF(ISBLANK(Table1[[#This Row],[Date Job Requirement Released]]),"",Table1[[#This Row],[Date Job Requirement Released]])</f>
        <v>45907</v>
      </c>
      <c r="F68" s="1" t="str">
        <f>IF(ISBLANK(Table1[[#This Row],[Date Offered]]),"",Table1[[#This Row],[Date Offered]])</f>
        <v/>
      </c>
      <c r="G68" s="1" t="str">
        <f>IF(ISBLANK(Table1[[#This Row],[Date Onboarded]]),"",Table1[[#This Row],[Date Onboarded]])</f>
        <v/>
      </c>
      <c r="H68" t="str">
        <f>Table1[[#This Row],[Internal/External]]</f>
        <v>Internal</v>
      </c>
      <c r="I68">
        <f>Table1[[#This Row],[Pipeline Updated]]</f>
        <v>0</v>
      </c>
      <c r="J68" t="str">
        <f t="shared" ref="J68:J131" si="3">IF(OR(E68="",F68=""),"",F68-E68)</f>
        <v/>
      </c>
      <c r="K68" t="str">
        <f t="shared" si="2"/>
        <v/>
      </c>
    </row>
    <row r="69" spans="1:11">
      <c r="A69">
        <f>Table1[[#This Row],[Role ID]]</f>
        <v>57</v>
      </c>
      <c r="B69" t="str">
        <f>Table1[[#This Row],[Role]]</f>
        <v>Product Marketing Manager</v>
      </c>
      <c r="C69" t="str">
        <f>Table1[[#This Row],[Stream Internal]]</f>
        <v>SAM</v>
      </c>
      <c r="D69" s="1">
        <f>IF(ISBLANK(Table1[[#This Row],[Demand Date]]),"",Table1[[#This Row],[Demand Date]])</f>
        <v>45841</v>
      </c>
      <c r="E69" s="1">
        <f>IF(ISBLANK(Table1[[#This Row],[Date Job Requirement Released]]),"",Table1[[#This Row],[Date Job Requirement Released]])</f>
        <v>45891</v>
      </c>
      <c r="F69" s="1">
        <f>IF(ISBLANK(Table1[[#This Row],[Date Offered]]),"",Table1[[#This Row],[Date Offered]])</f>
        <v>45906</v>
      </c>
      <c r="G69" s="1">
        <f>IF(ISBLANK(Table1[[#This Row],[Date Onboarded]]),"",Table1[[#This Row],[Date Onboarded]])</f>
        <v>45984</v>
      </c>
      <c r="H69" t="str">
        <f>Table1[[#This Row],[Internal/External]]</f>
        <v>Internal</v>
      </c>
      <c r="I69">
        <f>Table1[[#This Row],[Pipeline Updated]]</f>
        <v>1</v>
      </c>
      <c r="J69">
        <f t="shared" si="3"/>
        <v>15</v>
      </c>
      <c r="K69">
        <f t="shared" si="2"/>
        <v>93</v>
      </c>
    </row>
    <row r="70" spans="1:11">
      <c r="A70">
        <f>Table1[[#This Row],[Role ID]]</f>
        <v>58</v>
      </c>
      <c r="B70" t="str">
        <f>Table1[[#This Row],[Role]]</f>
        <v>Research Analyst</v>
      </c>
      <c r="C70" t="str">
        <f>Table1[[#This Row],[Stream Internal]]</f>
        <v>RND</v>
      </c>
      <c r="D70" s="1">
        <f>IF(ISBLANK(Table1[[#This Row],[Demand Date]]),"",Table1[[#This Row],[Demand Date]])</f>
        <v>45856</v>
      </c>
      <c r="E70" s="1">
        <f>IF(ISBLANK(Table1[[#This Row],[Date Job Requirement Released]]),"",Table1[[#This Row],[Date Job Requirement Released]])</f>
        <v>45916</v>
      </c>
      <c r="F70" s="1">
        <f>IF(ISBLANK(Table1[[#This Row],[Date Offered]]),"",Table1[[#This Row],[Date Offered]])</f>
        <v>45927</v>
      </c>
      <c r="G70" s="1">
        <f>IF(ISBLANK(Table1[[#This Row],[Date Onboarded]]),"",Table1[[#This Row],[Date Onboarded]])</f>
        <v>45984</v>
      </c>
      <c r="H70" t="str">
        <f>Table1[[#This Row],[Internal/External]]</f>
        <v>Internal</v>
      </c>
      <c r="I70">
        <f>Table1[[#This Row],[Pipeline Updated]]</f>
        <v>0</v>
      </c>
      <c r="J70">
        <f t="shared" si="3"/>
        <v>11</v>
      </c>
      <c r="K70">
        <f t="shared" si="2"/>
        <v>68</v>
      </c>
    </row>
    <row r="71" spans="1:11">
      <c r="A71">
        <f>Table1[[#This Row],[Role ID]]</f>
        <v>59</v>
      </c>
      <c r="B71" t="str">
        <f>Table1[[#This Row],[Role]]</f>
        <v>Research Analyst</v>
      </c>
      <c r="C71" t="str">
        <f>Table1[[#This Row],[Stream Internal]]</f>
        <v>RND</v>
      </c>
      <c r="D71" s="1">
        <f>IF(ISBLANK(Table1[[#This Row],[Demand Date]]),"",Table1[[#This Row],[Demand Date]])</f>
        <v>45858</v>
      </c>
      <c r="E71" s="1">
        <f>IF(ISBLANK(Table1[[#This Row],[Date Job Requirement Released]]),"",Table1[[#This Row],[Date Job Requirement Released]])</f>
        <v>45915</v>
      </c>
      <c r="F71" s="1" t="str">
        <f>IF(ISBLANK(Table1[[#This Row],[Date Offered]]),"",Table1[[#This Row],[Date Offered]])</f>
        <v/>
      </c>
      <c r="G71" s="1" t="str">
        <f>IF(ISBLANK(Table1[[#This Row],[Date Onboarded]]),"",Table1[[#This Row],[Date Onboarded]])</f>
        <v/>
      </c>
      <c r="H71" t="str">
        <f>Table1[[#This Row],[Internal/External]]</f>
        <v>Internal</v>
      </c>
      <c r="I71">
        <f>Table1[[#This Row],[Pipeline Updated]]</f>
        <v>0</v>
      </c>
      <c r="J71" t="str">
        <f t="shared" si="3"/>
        <v/>
      </c>
      <c r="K71" t="str">
        <f t="shared" si="2"/>
        <v/>
      </c>
    </row>
    <row r="72" spans="1:11">
      <c r="A72">
        <f>Table1[[#This Row],[Role ID]]</f>
        <v>56</v>
      </c>
      <c r="B72" t="str">
        <f>Table1[[#This Row],[Role]]</f>
        <v>Senior R&amp;D Manager</v>
      </c>
      <c r="C72" t="str">
        <f>Table1[[#This Row],[Stream Internal]]</f>
        <v>RND</v>
      </c>
      <c r="D72" s="1">
        <f>IF(ISBLANK(Table1[[#This Row],[Demand Date]]),"",Table1[[#This Row],[Demand Date]])</f>
        <v>45876</v>
      </c>
      <c r="E72" s="1">
        <f>IF(ISBLANK(Table1[[#This Row],[Date Job Requirement Released]]),"",Table1[[#This Row],[Date Job Requirement Released]])</f>
        <v>45937</v>
      </c>
      <c r="F72" s="1" t="str">
        <f>IF(ISBLANK(Table1[[#This Row],[Date Offered]]),"",Table1[[#This Row],[Date Offered]])</f>
        <v/>
      </c>
      <c r="G72" s="1" t="str">
        <f>IF(ISBLANK(Table1[[#This Row],[Date Onboarded]]),"",Table1[[#This Row],[Date Onboarded]])</f>
        <v/>
      </c>
      <c r="H72" t="str">
        <f>Table1[[#This Row],[Internal/External]]</f>
        <v>External</v>
      </c>
      <c r="I72">
        <f>Table1[[#This Row],[Pipeline Updated]]</f>
        <v>0</v>
      </c>
      <c r="J72" t="str">
        <f t="shared" si="3"/>
        <v/>
      </c>
      <c r="K72" t="str">
        <f t="shared" si="2"/>
        <v/>
      </c>
    </row>
    <row r="73" spans="1:11">
      <c r="A73">
        <f>Table1[[#This Row],[Role ID]]</f>
        <v>60</v>
      </c>
      <c r="B73" t="str">
        <f>Table1[[#This Row],[Role]]</f>
        <v>R&amp;D Project Lead</v>
      </c>
      <c r="C73" t="str">
        <f>Table1[[#This Row],[Stream Internal]]</f>
        <v>RND</v>
      </c>
      <c r="D73" s="1">
        <f>IF(ISBLANK(Table1[[#This Row],[Demand Date]]),"",Table1[[#This Row],[Demand Date]])</f>
        <v>45850</v>
      </c>
      <c r="E73" s="1">
        <f>IF(ISBLANK(Table1[[#This Row],[Date Job Requirement Released]]),"",Table1[[#This Row],[Date Job Requirement Released]])</f>
        <v>45917</v>
      </c>
      <c r="F73" s="1" t="str">
        <f>IF(ISBLANK(Table1[[#This Row],[Date Offered]]),"",Table1[[#This Row],[Date Offered]])</f>
        <v/>
      </c>
      <c r="G73" s="1" t="str">
        <f>IF(ISBLANK(Table1[[#This Row],[Date Onboarded]]),"",Table1[[#This Row],[Date Onboarded]])</f>
        <v/>
      </c>
      <c r="H73" t="str">
        <f>Table1[[#This Row],[Internal/External]]</f>
        <v>Internal</v>
      </c>
      <c r="I73">
        <f>Table1[[#This Row],[Pipeline Updated]]</f>
        <v>0</v>
      </c>
      <c r="J73" t="str">
        <f t="shared" si="3"/>
        <v/>
      </c>
      <c r="K73" t="str">
        <f t="shared" si="2"/>
        <v/>
      </c>
    </row>
    <row r="74" spans="1:11">
      <c r="A74">
        <f>Table1[[#This Row],[Role ID]]</f>
        <v>17</v>
      </c>
      <c r="B74" t="str">
        <f>Table1[[#This Row],[Role]]</f>
        <v>Technical Support Analyst</v>
      </c>
      <c r="C74" t="str">
        <f>Table1[[#This Row],[Stream Internal]]</f>
        <v>ITES</v>
      </c>
      <c r="D74" s="1">
        <f>IF(ISBLANK(Table1[[#This Row],[Demand Date]]),"",Table1[[#This Row],[Demand Date]])</f>
        <v>45886</v>
      </c>
      <c r="E74" s="1">
        <f>IF(ISBLANK(Table1[[#This Row],[Date Job Requirement Released]]),"",Table1[[#This Row],[Date Job Requirement Released]])</f>
        <v>45961</v>
      </c>
      <c r="F74" s="1" t="str">
        <f>IF(ISBLANK(Table1[[#This Row],[Date Offered]]),"",Table1[[#This Row],[Date Offered]])</f>
        <v/>
      </c>
      <c r="G74" s="1" t="str">
        <f>IF(ISBLANK(Table1[[#This Row],[Date Onboarded]]),"",Table1[[#This Row],[Date Onboarded]])</f>
        <v/>
      </c>
      <c r="H74" t="str">
        <f>Table1[[#This Row],[Internal/External]]</f>
        <v>Internal</v>
      </c>
      <c r="I74">
        <f>Table1[[#This Row],[Pipeline Updated]]</f>
        <v>0</v>
      </c>
      <c r="J74" t="str">
        <f t="shared" si="3"/>
        <v/>
      </c>
      <c r="K74" t="str">
        <f t="shared" si="2"/>
        <v/>
      </c>
    </row>
    <row r="75" spans="1:11">
      <c r="A75">
        <f>Table1[[#This Row],[Role ID]]</f>
        <v>61</v>
      </c>
      <c r="B75" t="str">
        <f>Table1[[#This Row],[Role]]</f>
        <v>Sales Manager</v>
      </c>
      <c r="C75" t="str">
        <f>Table1[[#This Row],[Stream Internal]]</f>
        <v>SAM</v>
      </c>
      <c r="D75" s="1">
        <f>IF(ISBLANK(Table1[[#This Row],[Demand Date]]),"",Table1[[#This Row],[Demand Date]])</f>
        <v>45918</v>
      </c>
      <c r="E75" s="1">
        <f>IF(ISBLANK(Table1[[#This Row],[Date Job Requirement Released]]),"",Table1[[#This Row],[Date Job Requirement Released]])</f>
        <v>45971</v>
      </c>
      <c r="F75" s="1">
        <f>IF(ISBLANK(Table1[[#This Row],[Date Offered]]),"",Table1[[#This Row],[Date Offered]])</f>
        <v>45986</v>
      </c>
      <c r="G75" s="1">
        <f>IF(ISBLANK(Table1[[#This Row],[Date Onboarded]]),"",Table1[[#This Row],[Date Onboarded]])</f>
        <v>46050</v>
      </c>
      <c r="H75" t="str">
        <f>Table1[[#This Row],[Internal/External]]</f>
        <v>External</v>
      </c>
      <c r="I75">
        <f>Table1[[#This Row],[Pipeline Updated]]</f>
        <v>1</v>
      </c>
      <c r="J75">
        <f t="shared" si="3"/>
        <v>15</v>
      </c>
      <c r="K75">
        <f t="shared" si="2"/>
        <v>79</v>
      </c>
    </row>
    <row r="76" spans="1:11">
      <c r="A76">
        <f>Table1[[#This Row],[Role ID]]</f>
        <v>62</v>
      </c>
      <c r="B76" t="str">
        <f>Table1[[#This Row],[Role]]</f>
        <v>Principal Investigator</v>
      </c>
      <c r="C76" t="str">
        <f>Table1[[#This Row],[Stream Internal]]</f>
        <v>RND</v>
      </c>
      <c r="D76" s="1">
        <f>IF(ISBLANK(Table1[[#This Row],[Demand Date]]),"",Table1[[#This Row],[Demand Date]])</f>
        <v>45918</v>
      </c>
      <c r="E76" s="1">
        <f>IF(ISBLANK(Table1[[#This Row],[Date Job Requirement Released]]),"",Table1[[#This Row],[Date Job Requirement Released]])</f>
        <v>45987</v>
      </c>
      <c r="F76" s="1" t="str">
        <f>IF(ISBLANK(Table1[[#This Row],[Date Offered]]),"",Table1[[#This Row],[Date Offered]])</f>
        <v/>
      </c>
      <c r="G76" s="1" t="str">
        <f>IF(ISBLANK(Table1[[#This Row],[Date Onboarded]]),"",Table1[[#This Row],[Date Onboarded]])</f>
        <v/>
      </c>
      <c r="H76" t="str">
        <f>Table1[[#This Row],[Internal/External]]</f>
        <v>External</v>
      </c>
      <c r="I76">
        <f>Table1[[#This Row],[Pipeline Updated]]</f>
        <v>0</v>
      </c>
      <c r="J76" t="str">
        <f t="shared" si="3"/>
        <v/>
      </c>
      <c r="K76" t="str">
        <f t="shared" si="2"/>
        <v/>
      </c>
    </row>
    <row r="77" spans="1:11">
      <c r="A77">
        <f>Table1[[#This Row],[Role ID]]</f>
        <v>63</v>
      </c>
      <c r="B77" t="str">
        <f>Table1[[#This Row],[Role]]</f>
        <v>Staff Engineer</v>
      </c>
      <c r="C77" t="str">
        <f>Table1[[#This Row],[Stream Internal]]</f>
        <v>ENGG</v>
      </c>
      <c r="D77" s="1">
        <f>IF(ISBLANK(Table1[[#This Row],[Demand Date]]),"",Table1[[#This Row],[Demand Date]])</f>
        <v>45883</v>
      </c>
      <c r="E77" s="1">
        <f>IF(ISBLANK(Table1[[#This Row],[Date Job Requirement Released]]),"",Table1[[#This Row],[Date Job Requirement Released]])</f>
        <v>45931</v>
      </c>
      <c r="F77" s="1" t="str">
        <f>IF(ISBLANK(Table1[[#This Row],[Date Offered]]),"",Table1[[#This Row],[Date Offered]])</f>
        <v/>
      </c>
      <c r="G77" s="1" t="str">
        <f>IF(ISBLANK(Table1[[#This Row],[Date Onboarded]]),"",Table1[[#This Row],[Date Onboarded]])</f>
        <v/>
      </c>
      <c r="H77" t="str">
        <f>Table1[[#This Row],[Internal/External]]</f>
        <v>Internal</v>
      </c>
      <c r="I77">
        <f>Table1[[#This Row],[Pipeline Updated]]</f>
        <v>0</v>
      </c>
      <c r="J77" t="str">
        <f t="shared" si="3"/>
        <v/>
      </c>
      <c r="K77" t="str">
        <f t="shared" si="2"/>
        <v/>
      </c>
    </row>
    <row r="78" spans="1:11">
      <c r="A78">
        <f>Table1[[#This Row],[Role ID]]</f>
        <v>10</v>
      </c>
      <c r="B78" t="str">
        <f>Table1[[#This Row],[Role]]</f>
        <v>Sales Director</v>
      </c>
      <c r="C78" t="str">
        <f>Table1[[#This Row],[Stream Internal]]</f>
        <v>SAM</v>
      </c>
      <c r="D78" s="1">
        <f>IF(ISBLANK(Table1[[#This Row],[Demand Date]]),"",Table1[[#This Row],[Demand Date]])</f>
        <v>45812</v>
      </c>
      <c r="E78" s="1">
        <f>IF(ISBLANK(Table1[[#This Row],[Date Job Requirement Released]]),"",Table1[[#This Row],[Date Job Requirement Released]])</f>
        <v>45887</v>
      </c>
      <c r="F78" s="1" t="str">
        <f>IF(ISBLANK(Table1[[#This Row],[Date Offered]]),"",Table1[[#This Row],[Date Offered]])</f>
        <v/>
      </c>
      <c r="G78" s="1" t="str">
        <f>IF(ISBLANK(Table1[[#This Row],[Date Onboarded]]),"",Table1[[#This Row],[Date Onboarded]])</f>
        <v/>
      </c>
      <c r="H78" t="str">
        <f>Table1[[#This Row],[Internal/External]]</f>
        <v>Internal</v>
      </c>
      <c r="I78">
        <f>Table1[[#This Row],[Pipeline Updated]]</f>
        <v>0</v>
      </c>
      <c r="J78" t="str">
        <f t="shared" si="3"/>
        <v/>
      </c>
      <c r="K78" t="str">
        <f t="shared" si="2"/>
        <v/>
      </c>
    </row>
    <row r="79" spans="1:11">
      <c r="A79">
        <f>Table1[[#This Row],[Role ID]]</f>
        <v>64</v>
      </c>
      <c r="B79" t="str">
        <f>Table1[[#This Row],[Role]]</f>
        <v>IT Manager</v>
      </c>
      <c r="C79" t="str">
        <f>Table1[[#This Row],[Stream Internal]]</f>
        <v>ITES</v>
      </c>
      <c r="D79" s="1">
        <f>IF(ISBLANK(Table1[[#This Row],[Demand Date]]),"",Table1[[#This Row],[Demand Date]])</f>
        <v>45837</v>
      </c>
      <c r="E79" s="1">
        <f>IF(ISBLANK(Table1[[#This Row],[Date Job Requirement Released]]),"",Table1[[#This Row],[Date Job Requirement Released]])</f>
        <v>45898</v>
      </c>
      <c r="F79" s="1" t="str">
        <f>IF(ISBLANK(Table1[[#This Row],[Date Offered]]),"",Table1[[#This Row],[Date Offered]])</f>
        <v/>
      </c>
      <c r="G79" s="1" t="str">
        <f>IF(ISBLANK(Table1[[#This Row],[Date Onboarded]]),"",Table1[[#This Row],[Date Onboarded]])</f>
        <v/>
      </c>
      <c r="H79" t="str">
        <f>Table1[[#This Row],[Internal/External]]</f>
        <v>External</v>
      </c>
      <c r="I79">
        <f>Table1[[#This Row],[Pipeline Updated]]</f>
        <v>0</v>
      </c>
      <c r="J79" t="str">
        <f t="shared" si="3"/>
        <v/>
      </c>
      <c r="K79" t="str">
        <f t="shared" si="2"/>
        <v/>
      </c>
    </row>
    <row r="80" spans="1:11">
      <c r="A80">
        <f>Table1[[#This Row],[Role ID]]</f>
        <v>65</v>
      </c>
      <c r="B80" t="str">
        <f>Table1[[#This Row],[Role]]</f>
        <v>Senior R&amp;D Manager</v>
      </c>
      <c r="C80" t="str">
        <f>Table1[[#This Row],[Stream Internal]]</f>
        <v>RND</v>
      </c>
      <c r="D80" s="1">
        <f>IF(ISBLANK(Table1[[#This Row],[Demand Date]]),"",Table1[[#This Row],[Demand Date]])</f>
        <v>45883</v>
      </c>
      <c r="E80" s="1">
        <f>IF(ISBLANK(Table1[[#This Row],[Date Job Requirement Released]]),"",Table1[[#This Row],[Date Job Requirement Released]])</f>
        <v>45931</v>
      </c>
      <c r="F80" s="1">
        <f>IF(ISBLANK(Table1[[#This Row],[Date Offered]]),"",Table1[[#This Row],[Date Offered]])</f>
        <v>45949</v>
      </c>
      <c r="G80" s="1">
        <f>IF(ISBLANK(Table1[[#This Row],[Date Onboarded]]),"",Table1[[#This Row],[Date Onboarded]])</f>
        <v>46010</v>
      </c>
      <c r="H80" t="str">
        <f>Table1[[#This Row],[Internal/External]]</f>
        <v>Internal</v>
      </c>
      <c r="I80">
        <f>Table1[[#This Row],[Pipeline Updated]]</f>
        <v>0</v>
      </c>
      <c r="J80">
        <f t="shared" si="3"/>
        <v>18</v>
      </c>
      <c r="K80">
        <f t="shared" si="2"/>
        <v>79</v>
      </c>
    </row>
    <row r="81" spans="1:11">
      <c r="A81">
        <f>Table1[[#This Row],[Role ID]]</f>
        <v>47</v>
      </c>
      <c r="B81" t="str">
        <f>Table1[[#This Row],[Role]]</f>
        <v>Senior Staff Engineer</v>
      </c>
      <c r="C81" t="str">
        <f>Table1[[#This Row],[Stream Internal]]</f>
        <v>ENGG</v>
      </c>
      <c r="D81" s="1">
        <f>IF(ISBLANK(Table1[[#This Row],[Demand Date]]),"",Table1[[#This Row],[Demand Date]])</f>
        <v>45866</v>
      </c>
      <c r="E81" s="1">
        <f>IF(ISBLANK(Table1[[#This Row],[Date Job Requirement Released]]),"",Table1[[#This Row],[Date Job Requirement Released]])</f>
        <v>45919</v>
      </c>
      <c r="F81" s="1" t="str">
        <f>IF(ISBLANK(Table1[[#This Row],[Date Offered]]),"",Table1[[#This Row],[Date Offered]])</f>
        <v/>
      </c>
      <c r="G81" s="1" t="str">
        <f>IF(ISBLANK(Table1[[#This Row],[Date Onboarded]]),"",Table1[[#This Row],[Date Onboarded]])</f>
        <v/>
      </c>
      <c r="H81" t="str">
        <f>Table1[[#This Row],[Internal/External]]</f>
        <v>Internal</v>
      </c>
      <c r="I81">
        <f>Table1[[#This Row],[Pipeline Updated]]</f>
        <v>0</v>
      </c>
      <c r="J81" t="str">
        <f t="shared" si="3"/>
        <v/>
      </c>
      <c r="K81" t="str">
        <f t="shared" si="2"/>
        <v/>
      </c>
    </row>
    <row r="82" spans="1:11">
      <c r="A82">
        <f>Table1[[#This Row],[Role ID]]</f>
        <v>66</v>
      </c>
      <c r="B82" t="str">
        <f>Table1[[#This Row],[Role]]</f>
        <v>VP Engineering</v>
      </c>
      <c r="C82" t="str">
        <f>Table1[[#This Row],[Stream Internal]]</f>
        <v>ENGG</v>
      </c>
      <c r="D82" s="1">
        <f>IF(ISBLANK(Table1[[#This Row],[Demand Date]]),"",Table1[[#This Row],[Demand Date]])</f>
        <v>45827</v>
      </c>
      <c r="E82" s="1">
        <f>IF(ISBLANK(Table1[[#This Row],[Date Job Requirement Released]]),"",Table1[[#This Row],[Date Job Requirement Released]])</f>
        <v>45886</v>
      </c>
      <c r="F82" s="1">
        <f>IF(ISBLANK(Table1[[#This Row],[Date Offered]]),"",Table1[[#This Row],[Date Offered]])</f>
        <v>45899</v>
      </c>
      <c r="G82" s="1">
        <f>IF(ISBLANK(Table1[[#This Row],[Date Onboarded]]),"",Table1[[#This Row],[Date Onboarded]])</f>
        <v>45939</v>
      </c>
      <c r="H82" t="str">
        <f>Table1[[#This Row],[Internal/External]]</f>
        <v>Internal</v>
      </c>
      <c r="I82">
        <f>Table1[[#This Row],[Pipeline Updated]]</f>
        <v>1</v>
      </c>
      <c r="J82">
        <f t="shared" si="3"/>
        <v>13</v>
      </c>
      <c r="K82">
        <f t="shared" si="2"/>
        <v>53</v>
      </c>
    </row>
    <row r="83" spans="1:11">
      <c r="A83">
        <f>Table1[[#This Row],[Role ID]]</f>
        <v>67</v>
      </c>
      <c r="B83" t="str">
        <f>Table1[[#This Row],[Role]]</f>
        <v>R&amp;D Engineer</v>
      </c>
      <c r="C83" t="str">
        <f>Table1[[#This Row],[Stream Internal]]</f>
        <v>RND</v>
      </c>
      <c r="D83" s="1">
        <f>IF(ISBLANK(Table1[[#This Row],[Demand Date]]),"",Table1[[#This Row],[Demand Date]])</f>
        <v>45829</v>
      </c>
      <c r="E83" s="1">
        <f>IF(ISBLANK(Table1[[#This Row],[Date Job Requirement Released]]),"",Table1[[#This Row],[Date Job Requirement Released]])</f>
        <v>45884</v>
      </c>
      <c r="F83" s="1" t="str">
        <f>IF(ISBLANK(Table1[[#This Row],[Date Offered]]),"",Table1[[#This Row],[Date Offered]])</f>
        <v/>
      </c>
      <c r="G83" s="1" t="str">
        <f>IF(ISBLANK(Table1[[#This Row],[Date Onboarded]]),"",Table1[[#This Row],[Date Onboarded]])</f>
        <v/>
      </c>
      <c r="H83" t="str">
        <f>Table1[[#This Row],[Internal/External]]</f>
        <v>Internal</v>
      </c>
      <c r="I83">
        <f>Table1[[#This Row],[Pipeline Updated]]</f>
        <v>0</v>
      </c>
      <c r="J83" t="str">
        <f t="shared" si="3"/>
        <v/>
      </c>
      <c r="K83" t="str">
        <f t="shared" si="2"/>
        <v/>
      </c>
    </row>
    <row r="84" spans="1:11">
      <c r="A84">
        <f>Table1[[#This Row],[Role ID]]</f>
        <v>68</v>
      </c>
      <c r="B84" t="str">
        <f>Table1[[#This Row],[Role]]</f>
        <v>R&amp;D Manager</v>
      </c>
      <c r="C84" t="str">
        <f>Table1[[#This Row],[Stream Internal]]</f>
        <v>RND</v>
      </c>
      <c r="D84" s="1">
        <f>IF(ISBLANK(Table1[[#This Row],[Demand Date]]),"",Table1[[#This Row],[Demand Date]])</f>
        <v>45826</v>
      </c>
      <c r="E84" s="1">
        <f>IF(ISBLANK(Table1[[#This Row],[Date Job Requirement Released]]),"",Table1[[#This Row],[Date Job Requirement Released]])</f>
        <v>45899</v>
      </c>
      <c r="F84" s="1">
        <f>IF(ISBLANK(Table1[[#This Row],[Date Offered]]),"",Table1[[#This Row],[Date Offered]])</f>
        <v>45909</v>
      </c>
      <c r="G84" s="1">
        <f>IF(ISBLANK(Table1[[#This Row],[Date Onboarded]]),"",Table1[[#This Row],[Date Onboarded]])</f>
        <v>45976</v>
      </c>
      <c r="H84" t="str">
        <f>Table1[[#This Row],[Internal/External]]</f>
        <v>Internal</v>
      </c>
      <c r="I84">
        <f>Table1[[#This Row],[Pipeline Updated]]</f>
        <v>0</v>
      </c>
      <c r="J84">
        <f t="shared" si="3"/>
        <v>10</v>
      </c>
      <c r="K84">
        <f t="shared" si="2"/>
        <v>77</v>
      </c>
    </row>
    <row r="85" spans="1:11">
      <c r="A85">
        <f>Table1[[#This Row],[Role ID]]</f>
        <v>69</v>
      </c>
      <c r="B85" t="str">
        <f>Table1[[#This Row],[Role]]</f>
        <v>Innovation Manager</v>
      </c>
      <c r="C85" t="str">
        <f>Table1[[#This Row],[Stream Internal]]</f>
        <v>RND</v>
      </c>
      <c r="D85" s="1">
        <f>IF(ISBLANK(Table1[[#This Row],[Demand Date]]),"",Table1[[#This Row],[Demand Date]])</f>
        <v>45914</v>
      </c>
      <c r="E85" s="1">
        <f>IF(ISBLANK(Table1[[#This Row],[Date Job Requirement Released]]),"",Table1[[#This Row],[Date Job Requirement Released]])</f>
        <v>45972</v>
      </c>
      <c r="F85" s="1" t="str">
        <f>IF(ISBLANK(Table1[[#This Row],[Date Offered]]),"",Table1[[#This Row],[Date Offered]])</f>
        <v/>
      </c>
      <c r="G85" s="1" t="str">
        <f>IF(ISBLANK(Table1[[#This Row],[Date Onboarded]]),"",Table1[[#This Row],[Date Onboarded]])</f>
        <v/>
      </c>
      <c r="H85" t="str">
        <f>Table1[[#This Row],[Internal/External]]</f>
        <v>Internal</v>
      </c>
      <c r="I85">
        <f>Table1[[#This Row],[Pipeline Updated]]</f>
        <v>0</v>
      </c>
      <c r="J85" t="str">
        <f t="shared" si="3"/>
        <v/>
      </c>
      <c r="K85" t="str">
        <f t="shared" si="2"/>
        <v/>
      </c>
    </row>
    <row r="86" spans="1:11">
      <c r="A86">
        <f>Table1[[#This Row],[Role ID]]</f>
        <v>70</v>
      </c>
      <c r="B86" t="str">
        <f>Table1[[#This Row],[Role]]</f>
        <v>Application Support Analyst</v>
      </c>
      <c r="C86" t="str">
        <f>Table1[[#This Row],[Stream Internal]]</f>
        <v>ITES</v>
      </c>
      <c r="D86" s="1">
        <f>IF(ISBLANK(Table1[[#This Row],[Demand Date]]),"",Table1[[#This Row],[Demand Date]])</f>
        <v>45814</v>
      </c>
      <c r="E86" s="1">
        <f>IF(ISBLANK(Table1[[#This Row],[Date Job Requirement Released]]),"",Table1[[#This Row],[Date Job Requirement Released]])</f>
        <v>45863</v>
      </c>
      <c r="F86" s="1">
        <f>IF(ISBLANK(Table1[[#This Row],[Date Offered]]),"",Table1[[#This Row],[Date Offered]])</f>
        <v>45882</v>
      </c>
      <c r="G86" s="1">
        <f>IF(ISBLANK(Table1[[#This Row],[Date Onboarded]]),"",Table1[[#This Row],[Date Onboarded]])</f>
        <v>45933</v>
      </c>
      <c r="H86" t="str">
        <f>Table1[[#This Row],[Internal/External]]</f>
        <v>Internal</v>
      </c>
      <c r="I86">
        <f>Table1[[#This Row],[Pipeline Updated]]</f>
        <v>2</v>
      </c>
      <c r="J86">
        <f t="shared" si="3"/>
        <v>19</v>
      </c>
      <c r="K86">
        <f t="shared" si="2"/>
        <v>70</v>
      </c>
    </row>
    <row r="87" spans="1:11">
      <c r="A87">
        <f>Table1[[#This Row],[Role ID]]</f>
        <v>71</v>
      </c>
      <c r="B87" t="str">
        <f>Table1[[#This Row],[Role]]</f>
        <v>Principal Engineer</v>
      </c>
      <c r="C87" t="str">
        <f>Table1[[#This Row],[Stream Internal]]</f>
        <v>ENGG</v>
      </c>
      <c r="D87" s="1">
        <f>IF(ISBLANK(Table1[[#This Row],[Demand Date]]),"",Table1[[#This Row],[Demand Date]])</f>
        <v>45845</v>
      </c>
      <c r="E87" s="1">
        <f>IF(ISBLANK(Table1[[#This Row],[Date Job Requirement Released]]),"",Table1[[#This Row],[Date Job Requirement Released]])</f>
        <v>45904</v>
      </c>
      <c r="F87" s="1">
        <f>IF(ISBLANK(Table1[[#This Row],[Date Offered]]),"",Table1[[#This Row],[Date Offered]])</f>
        <v>45915</v>
      </c>
      <c r="G87" s="1">
        <f>IF(ISBLANK(Table1[[#This Row],[Date Onboarded]]),"",Table1[[#This Row],[Date Onboarded]])</f>
        <v>45999</v>
      </c>
      <c r="H87" t="str">
        <f>Table1[[#This Row],[Internal/External]]</f>
        <v>Internal</v>
      </c>
      <c r="I87">
        <f>Table1[[#This Row],[Pipeline Updated]]</f>
        <v>0</v>
      </c>
      <c r="J87">
        <f t="shared" si="3"/>
        <v>11</v>
      </c>
      <c r="K87">
        <f t="shared" si="2"/>
        <v>95</v>
      </c>
    </row>
    <row r="88" spans="1:11">
      <c r="A88">
        <f>Table1[[#This Row],[Role ID]]</f>
        <v>72</v>
      </c>
      <c r="B88" t="str">
        <f>Table1[[#This Row],[Role]]</f>
        <v>Senior Staff Engineer</v>
      </c>
      <c r="C88" t="str">
        <f>Table1[[#This Row],[Stream Internal]]</f>
        <v>ENGG</v>
      </c>
      <c r="D88" s="1">
        <f>IF(ISBLANK(Table1[[#This Row],[Demand Date]]),"",Table1[[#This Row],[Demand Date]])</f>
        <v>45823</v>
      </c>
      <c r="E88" s="1">
        <f>IF(ISBLANK(Table1[[#This Row],[Date Job Requirement Released]]),"",Table1[[#This Row],[Date Job Requirement Released]])</f>
        <v>45878</v>
      </c>
      <c r="F88" s="1" t="str">
        <f>IF(ISBLANK(Table1[[#This Row],[Date Offered]]),"",Table1[[#This Row],[Date Offered]])</f>
        <v/>
      </c>
      <c r="G88" s="1" t="str">
        <f>IF(ISBLANK(Table1[[#This Row],[Date Onboarded]]),"",Table1[[#This Row],[Date Onboarded]])</f>
        <v/>
      </c>
      <c r="H88" t="str">
        <f>Table1[[#This Row],[Internal/External]]</f>
        <v>Internal</v>
      </c>
      <c r="I88">
        <f>Table1[[#This Row],[Pipeline Updated]]</f>
        <v>0</v>
      </c>
      <c r="J88" t="str">
        <f t="shared" si="3"/>
        <v/>
      </c>
      <c r="K88" t="str">
        <f t="shared" si="2"/>
        <v/>
      </c>
    </row>
    <row r="89" spans="1:11">
      <c r="A89">
        <f>Table1[[#This Row],[Role ID]]</f>
        <v>73</v>
      </c>
      <c r="B89" t="str">
        <f>Table1[[#This Row],[Role]]</f>
        <v>Product Marketing Manager</v>
      </c>
      <c r="C89" t="str">
        <f>Table1[[#This Row],[Stream Internal]]</f>
        <v>SAM</v>
      </c>
      <c r="D89" s="1">
        <f>IF(ISBLANK(Table1[[#This Row],[Demand Date]]),"",Table1[[#This Row],[Demand Date]])</f>
        <v>45867</v>
      </c>
      <c r="E89" s="1">
        <f>IF(ISBLANK(Table1[[#This Row],[Date Job Requirement Released]]),"",Table1[[#This Row],[Date Job Requirement Released]])</f>
        <v>45936</v>
      </c>
      <c r="F89" s="1" t="str">
        <f>IF(ISBLANK(Table1[[#This Row],[Date Offered]]),"",Table1[[#This Row],[Date Offered]])</f>
        <v/>
      </c>
      <c r="G89" s="1" t="str">
        <f>IF(ISBLANK(Table1[[#This Row],[Date Onboarded]]),"",Table1[[#This Row],[Date Onboarded]])</f>
        <v/>
      </c>
      <c r="H89" t="str">
        <f>Table1[[#This Row],[Internal/External]]</f>
        <v>Internal</v>
      </c>
      <c r="I89">
        <f>Table1[[#This Row],[Pipeline Updated]]</f>
        <v>0</v>
      </c>
      <c r="J89" t="str">
        <f t="shared" si="3"/>
        <v/>
      </c>
      <c r="K89" t="str">
        <f t="shared" si="2"/>
        <v/>
      </c>
    </row>
    <row r="90" spans="1:11">
      <c r="A90">
        <f>Table1[[#This Row],[Role ID]]</f>
        <v>26</v>
      </c>
      <c r="B90" t="str">
        <f>Table1[[#This Row],[Role]]</f>
        <v>Digital Marketing Specialist</v>
      </c>
      <c r="C90" t="str">
        <f>Table1[[#This Row],[Stream Internal]]</f>
        <v>SAM</v>
      </c>
      <c r="D90" s="1">
        <f>IF(ISBLANK(Table1[[#This Row],[Demand Date]]),"",Table1[[#This Row],[Demand Date]])</f>
        <v>45882</v>
      </c>
      <c r="E90" s="1">
        <f>IF(ISBLANK(Table1[[#This Row],[Date Job Requirement Released]]),"",Table1[[#This Row],[Date Job Requirement Released]])</f>
        <v>45929</v>
      </c>
      <c r="F90" s="1" t="str">
        <f>IF(ISBLANK(Table1[[#This Row],[Date Offered]]),"",Table1[[#This Row],[Date Offered]])</f>
        <v/>
      </c>
      <c r="G90" s="1" t="str">
        <f>IF(ISBLANK(Table1[[#This Row],[Date Onboarded]]),"",Table1[[#This Row],[Date Onboarded]])</f>
        <v/>
      </c>
      <c r="H90" t="str">
        <f>Table1[[#This Row],[Internal/External]]</f>
        <v>Internal</v>
      </c>
      <c r="I90">
        <f>Table1[[#This Row],[Pipeline Updated]]</f>
        <v>0</v>
      </c>
      <c r="J90" t="str">
        <f t="shared" si="3"/>
        <v/>
      </c>
      <c r="K90" t="str">
        <f t="shared" si="2"/>
        <v/>
      </c>
    </row>
    <row r="91" spans="1:11">
      <c r="A91">
        <f>Table1[[#This Row],[Role ID]]</f>
        <v>74</v>
      </c>
      <c r="B91" t="str">
        <f>Table1[[#This Row],[Role]]</f>
        <v>Sales Director</v>
      </c>
      <c r="C91" t="str">
        <f>Table1[[#This Row],[Stream Internal]]</f>
        <v>SAM</v>
      </c>
      <c r="D91" s="1">
        <f>IF(ISBLANK(Table1[[#This Row],[Demand Date]]),"",Table1[[#This Row],[Demand Date]])</f>
        <v>45856</v>
      </c>
      <c r="E91" s="1">
        <f>IF(ISBLANK(Table1[[#This Row],[Date Job Requirement Released]]),"",Table1[[#This Row],[Date Job Requirement Released]])</f>
        <v>45903</v>
      </c>
      <c r="F91" s="1" t="str">
        <f>IF(ISBLANK(Table1[[#This Row],[Date Offered]]),"",Table1[[#This Row],[Date Offered]])</f>
        <v/>
      </c>
      <c r="G91" s="1" t="str">
        <f>IF(ISBLANK(Table1[[#This Row],[Date Onboarded]]),"",Table1[[#This Row],[Date Onboarded]])</f>
        <v/>
      </c>
      <c r="H91" t="str">
        <f>Table1[[#This Row],[Internal/External]]</f>
        <v>Internal</v>
      </c>
      <c r="I91">
        <f>Table1[[#This Row],[Pipeline Updated]]</f>
        <v>0</v>
      </c>
      <c r="J91" t="str">
        <f t="shared" si="3"/>
        <v/>
      </c>
      <c r="K91" t="str">
        <f t="shared" si="2"/>
        <v/>
      </c>
    </row>
    <row r="92" spans="1:11">
      <c r="A92">
        <f>Table1[[#This Row],[Role ID]]</f>
        <v>75</v>
      </c>
      <c r="B92" t="str">
        <f>Table1[[#This Row],[Role]]</f>
        <v>Research Scientist</v>
      </c>
      <c r="C92" t="str">
        <f>Table1[[#This Row],[Stream Internal]]</f>
        <v>RND</v>
      </c>
      <c r="D92" s="1">
        <f>IF(ISBLANK(Table1[[#This Row],[Demand Date]]),"",Table1[[#This Row],[Demand Date]])</f>
        <v>45817</v>
      </c>
      <c r="E92" s="1">
        <f>IF(ISBLANK(Table1[[#This Row],[Date Job Requirement Released]]),"",Table1[[#This Row],[Date Job Requirement Released]])</f>
        <v>45870</v>
      </c>
      <c r="F92" s="1" t="str">
        <f>IF(ISBLANK(Table1[[#This Row],[Date Offered]]),"",Table1[[#This Row],[Date Offered]])</f>
        <v/>
      </c>
      <c r="G92" s="1" t="str">
        <f>IF(ISBLANK(Table1[[#This Row],[Date Onboarded]]),"",Table1[[#This Row],[Date Onboarded]])</f>
        <v/>
      </c>
      <c r="H92" t="str">
        <f>Table1[[#This Row],[Internal/External]]</f>
        <v>Internal</v>
      </c>
      <c r="I92">
        <f>Table1[[#This Row],[Pipeline Updated]]</f>
        <v>0</v>
      </c>
      <c r="J92" t="str">
        <f t="shared" si="3"/>
        <v/>
      </c>
      <c r="K92" t="str">
        <f t="shared" si="2"/>
        <v/>
      </c>
    </row>
    <row r="93" spans="1:11">
      <c r="A93">
        <f>Table1[[#This Row],[Role ID]]</f>
        <v>76</v>
      </c>
      <c r="B93" t="str">
        <f>Table1[[#This Row],[Role]]</f>
        <v>System Administrator</v>
      </c>
      <c r="C93" t="str">
        <f>Table1[[#This Row],[Stream Internal]]</f>
        <v>ITES</v>
      </c>
      <c r="D93" s="1">
        <f>IF(ISBLANK(Table1[[#This Row],[Demand Date]]),"",Table1[[#This Row],[Demand Date]])</f>
        <v>45858</v>
      </c>
      <c r="E93" s="1">
        <f>IF(ISBLANK(Table1[[#This Row],[Date Job Requirement Released]]),"",Table1[[#This Row],[Date Job Requirement Released]])</f>
        <v>45924</v>
      </c>
      <c r="F93" s="1">
        <f>IF(ISBLANK(Table1[[#This Row],[Date Offered]]),"",Table1[[#This Row],[Date Offered]])</f>
        <v>45936</v>
      </c>
      <c r="G93" s="1">
        <f>IF(ISBLANK(Table1[[#This Row],[Date Onboarded]]),"",Table1[[#This Row],[Date Onboarded]])</f>
        <v>45968</v>
      </c>
      <c r="H93" t="str">
        <f>Table1[[#This Row],[Internal/External]]</f>
        <v>Internal</v>
      </c>
      <c r="I93">
        <f>Table1[[#This Row],[Pipeline Updated]]</f>
        <v>0</v>
      </c>
      <c r="J93">
        <f t="shared" si="3"/>
        <v>12</v>
      </c>
      <c r="K93">
        <f t="shared" si="2"/>
        <v>44</v>
      </c>
    </row>
    <row r="94" spans="1:11">
      <c r="A94">
        <f>Table1[[#This Row],[Role ID]]</f>
        <v>77</v>
      </c>
      <c r="B94" t="str">
        <f>Table1[[#This Row],[Role]]</f>
        <v>Technical Support Analyst</v>
      </c>
      <c r="C94" t="str">
        <f>Table1[[#This Row],[Stream Internal]]</f>
        <v>ITES</v>
      </c>
      <c r="D94" s="1">
        <f>IF(ISBLANK(Table1[[#This Row],[Demand Date]]),"",Table1[[#This Row],[Demand Date]])</f>
        <v>45809</v>
      </c>
      <c r="E94" s="1">
        <f>IF(ISBLANK(Table1[[#This Row],[Date Job Requirement Released]]),"",Table1[[#This Row],[Date Job Requirement Released]])</f>
        <v>45869</v>
      </c>
      <c r="F94" s="1" t="str">
        <f>IF(ISBLANK(Table1[[#This Row],[Date Offered]]),"",Table1[[#This Row],[Date Offered]])</f>
        <v/>
      </c>
      <c r="G94" s="1" t="str">
        <f>IF(ISBLANK(Table1[[#This Row],[Date Onboarded]]),"",Table1[[#This Row],[Date Onboarded]])</f>
        <v/>
      </c>
      <c r="H94" t="str">
        <f>Table1[[#This Row],[Internal/External]]</f>
        <v>Internal</v>
      </c>
      <c r="I94">
        <f>Table1[[#This Row],[Pipeline Updated]]</f>
        <v>0</v>
      </c>
      <c r="J94" t="str">
        <f t="shared" si="3"/>
        <v/>
      </c>
      <c r="K94" t="str">
        <f t="shared" si="2"/>
        <v/>
      </c>
    </row>
    <row r="95" spans="1:11">
      <c r="A95">
        <f>Table1[[#This Row],[Role ID]]</f>
        <v>11</v>
      </c>
      <c r="B95" t="str">
        <f>Table1[[#This Row],[Role]]</f>
        <v>Sales Director</v>
      </c>
      <c r="C95" t="str">
        <f>Table1[[#This Row],[Stream Internal]]</f>
        <v>SAM</v>
      </c>
      <c r="D95" s="1">
        <f>IF(ISBLANK(Table1[[#This Row],[Demand Date]]),"",Table1[[#This Row],[Demand Date]])</f>
        <v>45846</v>
      </c>
      <c r="E95" s="1">
        <f>IF(ISBLANK(Table1[[#This Row],[Date Job Requirement Released]]),"",Table1[[#This Row],[Date Job Requirement Released]])</f>
        <v>45901</v>
      </c>
      <c r="F95" s="1" t="str">
        <f>IF(ISBLANK(Table1[[#This Row],[Date Offered]]),"",Table1[[#This Row],[Date Offered]])</f>
        <v/>
      </c>
      <c r="G95" s="1" t="str">
        <f>IF(ISBLANK(Table1[[#This Row],[Date Onboarded]]),"",Table1[[#This Row],[Date Onboarded]])</f>
        <v/>
      </c>
      <c r="H95" t="str">
        <f>Table1[[#This Row],[Internal/External]]</f>
        <v>Internal</v>
      </c>
      <c r="I95">
        <f>Table1[[#This Row],[Pipeline Updated]]</f>
        <v>0</v>
      </c>
      <c r="J95" t="str">
        <f t="shared" si="3"/>
        <v/>
      </c>
      <c r="K95" t="str">
        <f t="shared" si="2"/>
        <v/>
      </c>
    </row>
    <row r="96" spans="1:11">
      <c r="A96">
        <f>Table1[[#This Row],[Role ID]]</f>
        <v>78</v>
      </c>
      <c r="B96" t="str">
        <f>Table1[[#This Row],[Role]]</f>
        <v>R&amp;D Manager</v>
      </c>
      <c r="C96" t="str">
        <f>Table1[[#This Row],[Stream Internal]]</f>
        <v>RND</v>
      </c>
      <c r="D96" s="1">
        <f>IF(ISBLANK(Table1[[#This Row],[Demand Date]]),"",Table1[[#This Row],[Demand Date]])</f>
        <v>45918</v>
      </c>
      <c r="E96" s="1">
        <f>IF(ISBLANK(Table1[[#This Row],[Date Job Requirement Released]]),"",Table1[[#This Row],[Date Job Requirement Released]])</f>
        <v>45973</v>
      </c>
      <c r="F96" s="1" t="str">
        <f>IF(ISBLANK(Table1[[#This Row],[Date Offered]]),"",Table1[[#This Row],[Date Offered]])</f>
        <v/>
      </c>
      <c r="G96" s="1" t="str">
        <f>IF(ISBLANK(Table1[[#This Row],[Date Onboarded]]),"",Table1[[#This Row],[Date Onboarded]])</f>
        <v/>
      </c>
      <c r="H96" t="str">
        <f>Table1[[#This Row],[Internal/External]]</f>
        <v>Internal</v>
      </c>
      <c r="I96">
        <f>Table1[[#This Row],[Pipeline Updated]]</f>
        <v>0</v>
      </c>
      <c r="J96" t="str">
        <f t="shared" si="3"/>
        <v/>
      </c>
      <c r="K96" t="str">
        <f t="shared" si="2"/>
        <v/>
      </c>
    </row>
    <row r="97" spans="1:11">
      <c r="A97">
        <f>Table1[[#This Row],[Role ID]]</f>
        <v>79</v>
      </c>
      <c r="B97" t="str">
        <f>Table1[[#This Row],[Role]]</f>
        <v>Application Support Analyst</v>
      </c>
      <c r="C97" t="str">
        <f>Table1[[#This Row],[Stream Internal]]</f>
        <v>ITES</v>
      </c>
      <c r="D97" s="1">
        <f>IF(ISBLANK(Table1[[#This Row],[Demand Date]]),"",Table1[[#This Row],[Demand Date]])</f>
        <v>45817</v>
      </c>
      <c r="E97" s="1">
        <f>IF(ISBLANK(Table1[[#This Row],[Date Job Requirement Released]]),"",Table1[[#This Row],[Date Job Requirement Released]])</f>
        <v>45879</v>
      </c>
      <c r="F97" s="1" t="str">
        <f>IF(ISBLANK(Table1[[#This Row],[Date Offered]]),"",Table1[[#This Row],[Date Offered]])</f>
        <v/>
      </c>
      <c r="G97" s="1" t="str">
        <f>IF(ISBLANK(Table1[[#This Row],[Date Onboarded]]),"",Table1[[#This Row],[Date Onboarded]])</f>
        <v/>
      </c>
      <c r="H97" t="str">
        <f>Table1[[#This Row],[Internal/External]]</f>
        <v>External</v>
      </c>
      <c r="I97">
        <f>Table1[[#This Row],[Pipeline Updated]]</f>
        <v>0</v>
      </c>
      <c r="J97" t="str">
        <f t="shared" si="3"/>
        <v/>
      </c>
      <c r="K97" t="str">
        <f t="shared" si="2"/>
        <v/>
      </c>
    </row>
    <row r="98" spans="1:11">
      <c r="A98">
        <f>Table1[[#This Row],[Role ID]]</f>
        <v>77</v>
      </c>
      <c r="B98" t="str">
        <f>Table1[[#This Row],[Role]]</f>
        <v>Technical Support Analyst</v>
      </c>
      <c r="C98" t="str">
        <f>Table1[[#This Row],[Stream Internal]]</f>
        <v>ITES</v>
      </c>
      <c r="D98" s="1">
        <f>IF(ISBLANK(Table1[[#This Row],[Demand Date]]),"",Table1[[#This Row],[Demand Date]])</f>
        <v>45863</v>
      </c>
      <c r="E98" s="1">
        <f>IF(ISBLANK(Table1[[#This Row],[Date Job Requirement Released]]),"",Table1[[#This Row],[Date Job Requirement Released]])</f>
        <v>45931</v>
      </c>
      <c r="F98" s="1">
        <f>IF(ISBLANK(Table1[[#This Row],[Date Offered]]),"",Table1[[#This Row],[Date Offered]])</f>
        <v>45944</v>
      </c>
      <c r="G98" s="1">
        <f>IF(ISBLANK(Table1[[#This Row],[Date Onboarded]]),"",Table1[[#This Row],[Date Onboarded]])</f>
        <v>45997</v>
      </c>
      <c r="H98" t="str">
        <f>Table1[[#This Row],[Internal/External]]</f>
        <v>Internal</v>
      </c>
      <c r="I98">
        <f>Table1[[#This Row],[Pipeline Updated]]</f>
        <v>2</v>
      </c>
      <c r="J98">
        <f t="shared" si="3"/>
        <v>13</v>
      </c>
      <c r="K98">
        <f t="shared" si="2"/>
        <v>66</v>
      </c>
    </row>
    <row r="99" spans="1:11">
      <c r="A99">
        <f>Table1[[#This Row],[Role ID]]</f>
        <v>80</v>
      </c>
      <c r="B99" t="str">
        <f>Table1[[#This Row],[Role]]</f>
        <v>Research Analyst</v>
      </c>
      <c r="C99" t="str">
        <f>Table1[[#This Row],[Stream Internal]]</f>
        <v>RND</v>
      </c>
      <c r="D99" s="1">
        <f>IF(ISBLANK(Table1[[#This Row],[Demand Date]]),"",Table1[[#This Row],[Demand Date]])</f>
        <v>45858</v>
      </c>
      <c r="E99" s="1">
        <f>IF(ISBLANK(Table1[[#This Row],[Date Job Requirement Released]]),"",Table1[[#This Row],[Date Job Requirement Released]])</f>
        <v>45907</v>
      </c>
      <c r="F99" s="1" t="str">
        <f>IF(ISBLANK(Table1[[#This Row],[Date Offered]]),"",Table1[[#This Row],[Date Offered]])</f>
        <v/>
      </c>
      <c r="G99" s="1" t="str">
        <f>IF(ISBLANK(Table1[[#This Row],[Date Onboarded]]),"",Table1[[#This Row],[Date Onboarded]])</f>
        <v/>
      </c>
      <c r="H99" t="str">
        <f>Table1[[#This Row],[Internal/External]]</f>
        <v>Internal</v>
      </c>
      <c r="I99">
        <f>Table1[[#This Row],[Pipeline Updated]]</f>
        <v>0</v>
      </c>
      <c r="J99" t="str">
        <f t="shared" si="3"/>
        <v/>
      </c>
      <c r="K99" t="str">
        <f t="shared" si="2"/>
        <v/>
      </c>
    </row>
    <row r="100" spans="1:11">
      <c r="A100">
        <f>Table1[[#This Row],[Role ID]]</f>
        <v>81</v>
      </c>
      <c r="B100" t="str">
        <f>Table1[[#This Row],[Role]]</f>
        <v>Senior Staff Engineer</v>
      </c>
      <c r="C100" t="str">
        <f>Table1[[#This Row],[Stream Internal]]</f>
        <v>ENGG</v>
      </c>
      <c r="D100" s="1">
        <f>IF(ISBLANK(Table1[[#This Row],[Demand Date]]),"",Table1[[#This Row],[Demand Date]])</f>
        <v>45928</v>
      </c>
      <c r="E100" s="1">
        <f>IF(ISBLANK(Table1[[#This Row],[Date Job Requirement Released]]),"",Table1[[#This Row],[Date Job Requirement Released]])</f>
        <v>45981</v>
      </c>
      <c r="F100" s="1" t="str">
        <f>IF(ISBLANK(Table1[[#This Row],[Date Offered]]),"",Table1[[#This Row],[Date Offered]])</f>
        <v/>
      </c>
      <c r="G100" s="1" t="str">
        <f>IF(ISBLANK(Table1[[#This Row],[Date Onboarded]]),"",Table1[[#This Row],[Date Onboarded]])</f>
        <v/>
      </c>
      <c r="H100" t="str">
        <f>Table1[[#This Row],[Internal/External]]</f>
        <v>Internal</v>
      </c>
      <c r="I100">
        <f>Table1[[#This Row],[Pipeline Updated]]</f>
        <v>0</v>
      </c>
      <c r="J100" t="str">
        <f t="shared" si="3"/>
        <v/>
      </c>
      <c r="K100" t="str">
        <f t="shared" si="2"/>
        <v/>
      </c>
    </row>
    <row r="101" spans="1:11">
      <c r="A101">
        <f>Table1[[#This Row],[Role ID]]</f>
        <v>82</v>
      </c>
      <c r="B101" t="str">
        <f>Table1[[#This Row],[Role]]</f>
        <v>Brand Manager</v>
      </c>
      <c r="C101" t="str">
        <f>Table1[[#This Row],[Stream Internal]]</f>
        <v>SAM</v>
      </c>
      <c r="D101" s="1">
        <f>IF(ISBLANK(Table1[[#This Row],[Demand Date]]),"",Table1[[#This Row],[Demand Date]])</f>
        <v>45919</v>
      </c>
      <c r="E101" s="1">
        <f>IF(ISBLANK(Table1[[#This Row],[Date Job Requirement Released]]),"",Table1[[#This Row],[Date Job Requirement Released]])</f>
        <v>45971</v>
      </c>
      <c r="F101" s="1" t="str">
        <f>IF(ISBLANK(Table1[[#This Row],[Date Offered]]),"",Table1[[#This Row],[Date Offered]])</f>
        <v/>
      </c>
      <c r="G101" s="1" t="str">
        <f>IF(ISBLANK(Table1[[#This Row],[Date Onboarded]]),"",Table1[[#This Row],[Date Onboarded]])</f>
        <v/>
      </c>
      <c r="H101" t="str">
        <f>Table1[[#This Row],[Internal/External]]</f>
        <v>Internal</v>
      </c>
      <c r="I101">
        <f>Table1[[#This Row],[Pipeline Updated]]</f>
        <v>0</v>
      </c>
      <c r="J101" t="str">
        <f t="shared" si="3"/>
        <v/>
      </c>
      <c r="K101" t="str">
        <f t="shared" si="2"/>
        <v/>
      </c>
    </row>
    <row r="102" spans="1:11">
      <c r="A102">
        <f>Table1[[#This Row],[Role ID]]</f>
        <v>83</v>
      </c>
      <c r="B102" t="str">
        <f>Table1[[#This Row],[Role]]</f>
        <v>Principal Investigator</v>
      </c>
      <c r="C102" t="str">
        <f>Table1[[#This Row],[Stream Internal]]</f>
        <v>RND</v>
      </c>
      <c r="D102" s="1">
        <f>IF(ISBLANK(Table1[[#This Row],[Demand Date]]),"",Table1[[#This Row],[Demand Date]])</f>
        <v>45853</v>
      </c>
      <c r="E102" s="1">
        <f>IF(ISBLANK(Table1[[#This Row],[Date Job Requirement Released]]),"",Table1[[#This Row],[Date Job Requirement Released]])</f>
        <v>45923</v>
      </c>
      <c r="F102" s="1" t="str">
        <f>IF(ISBLANK(Table1[[#This Row],[Date Offered]]),"",Table1[[#This Row],[Date Offered]])</f>
        <v/>
      </c>
      <c r="G102" s="1" t="str">
        <f>IF(ISBLANK(Table1[[#This Row],[Date Onboarded]]),"",Table1[[#This Row],[Date Onboarded]])</f>
        <v/>
      </c>
      <c r="H102" t="str">
        <f>Table1[[#This Row],[Internal/External]]</f>
        <v>External</v>
      </c>
      <c r="I102">
        <f>Table1[[#This Row],[Pipeline Updated]]</f>
        <v>0</v>
      </c>
      <c r="J102" t="str">
        <f t="shared" si="3"/>
        <v/>
      </c>
      <c r="K102" t="str">
        <f t="shared" si="2"/>
        <v/>
      </c>
    </row>
    <row r="103" spans="1:11">
      <c r="A103">
        <f>Table1[[#This Row],[Role ID]]</f>
        <v>84</v>
      </c>
      <c r="B103" t="str">
        <f>Table1[[#This Row],[Role]]</f>
        <v>Product Marketing Manager</v>
      </c>
      <c r="C103" t="str">
        <f>Table1[[#This Row],[Stream Internal]]</f>
        <v>SAM</v>
      </c>
      <c r="D103" s="1">
        <f>IF(ISBLANK(Table1[[#This Row],[Demand Date]]),"",Table1[[#This Row],[Demand Date]])</f>
        <v>45908</v>
      </c>
      <c r="E103" s="1">
        <f>IF(ISBLANK(Table1[[#This Row],[Date Job Requirement Released]]),"",Table1[[#This Row],[Date Job Requirement Released]])</f>
        <v>45954</v>
      </c>
      <c r="F103" s="1">
        <f>IF(ISBLANK(Table1[[#This Row],[Date Offered]]),"",Table1[[#This Row],[Date Offered]])</f>
        <v>45973</v>
      </c>
      <c r="G103" s="1">
        <f>IF(ISBLANK(Table1[[#This Row],[Date Onboarded]]),"",Table1[[#This Row],[Date Onboarded]])</f>
        <v>46017</v>
      </c>
      <c r="H103" t="str">
        <f>Table1[[#This Row],[Internal/External]]</f>
        <v>Internal</v>
      </c>
      <c r="I103">
        <f>Table1[[#This Row],[Pipeline Updated]]</f>
        <v>1</v>
      </c>
      <c r="J103">
        <f t="shared" si="3"/>
        <v>19</v>
      </c>
      <c r="K103">
        <f t="shared" si="2"/>
        <v>63</v>
      </c>
    </row>
    <row r="104" spans="1:11">
      <c r="A104">
        <f>Table1[[#This Row],[Role ID]]</f>
        <v>74</v>
      </c>
      <c r="B104" t="str">
        <f>Table1[[#This Row],[Role]]</f>
        <v>Sales Director</v>
      </c>
      <c r="C104" t="str">
        <f>Table1[[#This Row],[Stream Internal]]</f>
        <v>SAM</v>
      </c>
      <c r="D104" s="1">
        <f>IF(ISBLANK(Table1[[#This Row],[Demand Date]]),"",Table1[[#This Row],[Demand Date]])</f>
        <v>45875</v>
      </c>
      <c r="E104" s="1">
        <f>IF(ISBLANK(Table1[[#This Row],[Date Job Requirement Released]]),"",Table1[[#This Row],[Date Job Requirement Released]])</f>
        <v>45940</v>
      </c>
      <c r="F104" s="1">
        <f>IF(ISBLANK(Table1[[#This Row],[Date Offered]]),"",Table1[[#This Row],[Date Offered]])</f>
        <v>45953</v>
      </c>
      <c r="G104" s="1">
        <f>IF(ISBLANK(Table1[[#This Row],[Date Onboarded]]),"",Table1[[#This Row],[Date Onboarded]])</f>
        <v>46043</v>
      </c>
      <c r="H104" t="str">
        <f>Table1[[#This Row],[Internal/External]]</f>
        <v>Internal</v>
      </c>
      <c r="I104">
        <f>Table1[[#This Row],[Pipeline Updated]]</f>
        <v>1</v>
      </c>
      <c r="J104">
        <f t="shared" si="3"/>
        <v>13</v>
      </c>
      <c r="K104">
        <f t="shared" si="2"/>
        <v>103</v>
      </c>
    </row>
    <row r="105" spans="1:11">
      <c r="A105">
        <f>Table1[[#This Row],[Role ID]]</f>
        <v>31</v>
      </c>
      <c r="B105" t="str">
        <f>Table1[[#This Row],[Role]]</f>
        <v>VP Engineering</v>
      </c>
      <c r="C105" t="str">
        <f>Table1[[#This Row],[Stream Internal]]</f>
        <v>ENGG</v>
      </c>
      <c r="D105" s="1">
        <f>IF(ISBLANK(Table1[[#This Row],[Demand Date]]),"",Table1[[#This Row],[Demand Date]])</f>
        <v>45817</v>
      </c>
      <c r="E105" s="1">
        <f>IF(ISBLANK(Table1[[#This Row],[Date Job Requirement Released]]),"",Table1[[#This Row],[Date Job Requirement Released]])</f>
        <v>45864</v>
      </c>
      <c r="F105" s="1" t="str">
        <f>IF(ISBLANK(Table1[[#This Row],[Date Offered]]),"",Table1[[#This Row],[Date Offered]])</f>
        <v/>
      </c>
      <c r="G105" s="1" t="str">
        <f>IF(ISBLANK(Table1[[#This Row],[Date Onboarded]]),"",Table1[[#This Row],[Date Onboarded]])</f>
        <v/>
      </c>
      <c r="H105" t="str">
        <f>Table1[[#This Row],[Internal/External]]</f>
        <v>Internal</v>
      </c>
      <c r="I105">
        <f>Table1[[#This Row],[Pipeline Updated]]</f>
        <v>0</v>
      </c>
      <c r="J105" t="str">
        <f t="shared" si="3"/>
        <v/>
      </c>
      <c r="K105" t="str">
        <f t="shared" si="2"/>
        <v/>
      </c>
    </row>
    <row r="106" spans="1:11">
      <c r="A106">
        <f>Table1[[#This Row],[Role ID]]</f>
        <v>85</v>
      </c>
      <c r="B106" t="str">
        <f>Table1[[#This Row],[Role]]</f>
        <v>System Administrator</v>
      </c>
      <c r="C106" t="str">
        <f>Table1[[#This Row],[Stream Internal]]</f>
        <v>ITES</v>
      </c>
      <c r="D106" s="1">
        <f>IF(ISBLANK(Table1[[#This Row],[Demand Date]]),"",Table1[[#This Row],[Demand Date]])</f>
        <v>45873</v>
      </c>
      <c r="E106" s="1">
        <f>IF(ISBLANK(Table1[[#This Row],[Date Job Requirement Released]]),"",Table1[[#This Row],[Date Job Requirement Released]])</f>
        <v>45946</v>
      </c>
      <c r="F106" s="1" t="str">
        <f>IF(ISBLANK(Table1[[#This Row],[Date Offered]]),"",Table1[[#This Row],[Date Offered]])</f>
        <v/>
      </c>
      <c r="G106" s="1" t="str">
        <f>IF(ISBLANK(Table1[[#This Row],[Date Onboarded]]),"",Table1[[#This Row],[Date Onboarded]])</f>
        <v/>
      </c>
      <c r="H106" t="str">
        <f>Table1[[#This Row],[Internal/External]]</f>
        <v>Internal</v>
      </c>
      <c r="I106">
        <f>Table1[[#This Row],[Pipeline Updated]]</f>
        <v>0</v>
      </c>
      <c r="J106" t="str">
        <f t="shared" si="3"/>
        <v/>
      </c>
      <c r="K106" t="str">
        <f t="shared" si="2"/>
        <v/>
      </c>
    </row>
    <row r="107" spans="1:11">
      <c r="A107">
        <f>Table1[[#This Row],[Role ID]]</f>
        <v>86</v>
      </c>
      <c r="B107" t="str">
        <f>Table1[[#This Row],[Role]]</f>
        <v>R&amp;D Project Lead</v>
      </c>
      <c r="C107" t="str">
        <f>Table1[[#This Row],[Stream Internal]]</f>
        <v>RND</v>
      </c>
      <c r="D107" s="1">
        <f>IF(ISBLANK(Table1[[#This Row],[Demand Date]]),"",Table1[[#This Row],[Demand Date]])</f>
        <v>45822</v>
      </c>
      <c r="E107" s="1">
        <f>IF(ISBLANK(Table1[[#This Row],[Date Job Requirement Released]]),"",Table1[[#This Row],[Date Job Requirement Released]])</f>
        <v>45887</v>
      </c>
      <c r="F107" s="1">
        <f>IF(ISBLANK(Table1[[#This Row],[Date Offered]]),"",Table1[[#This Row],[Date Offered]])</f>
        <v>45902</v>
      </c>
      <c r="G107" s="1">
        <f>IF(ISBLANK(Table1[[#This Row],[Date Onboarded]]),"",Table1[[#This Row],[Date Onboarded]])</f>
        <v>45971</v>
      </c>
      <c r="H107" t="str">
        <f>Table1[[#This Row],[Internal/External]]</f>
        <v>Internal</v>
      </c>
      <c r="I107">
        <f>Table1[[#This Row],[Pipeline Updated]]</f>
        <v>2</v>
      </c>
      <c r="J107">
        <f t="shared" si="3"/>
        <v>15</v>
      </c>
      <c r="K107">
        <f t="shared" si="2"/>
        <v>84</v>
      </c>
    </row>
    <row r="108" spans="1:11">
      <c r="A108">
        <f>Table1[[#This Row],[Role ID]]</f>
        <v>20</v>
      </c>
      <c r="B108" t="str">
        <f>Table1[[#This Row],[Role]]</f>
        <v>Research Analyst</v>
      </c>
      <c r="C108" t="str">
        <f>Table1[[#This Row],[Stream Internal]]</f>
        <v>RND</v>
      </c>
      <c r="D108" s="1">
        <f>IF(ISBLANK(Table1[[#This Row],[Demand Date]]),"",Table1[[#This Row],[Demand Date]])</f>
        <v>45883</v>
      </c>
      <c r="E108" s="1">
        <f>IF(ISBLANK(Table1[[#This Row],[Date Job Requirement Released]]),"",Table1[[#This Row],[Date Job Requirement Released]])</f>
        <v>45950</v>
      </c>
      <c r="F108" s="1" t="str">
        <f>IF(ISBLANK(Table1[[#This Row],[Date Offered]]),"",Table1[[#This Row],[Date Offered]])</f>
        <v/>
      </c>
      <c r="G108" s="1" t="str">
        <f>IF(ISBLANK(Table1[[#This Row],[Date Onboarded]]),"",Table1[[#This Row],[Date Onboarded]])</f>
        <v/>
      </c>
      <c r="H108" t="str">
        <f>Table1[[#This Row],[Internal/External]]</f>
        <v>Internal</v>
      </c>
      <c r="I108">
        <f>Table1[[#This Row],[Pipeline Updated]]</f>
        <v>0</v>
      </c>
      <c r="J108" t="str">
        <f t="shared" si="3"/>
        <v/>
      </c>
      <c r="K108" t="str">
        <f t="shared" si="2"/>
        <v/>
      </c>
    </row>
    <row r="109" spans="1:11">
      <c r="A109">
        <f>Table1[[#This Row],[Role ID]]</f>
        <v>77</v>
      </c>
      <c r="B109" t="str">
        <f>Table1[[#This Row],[Role]]</f>
        <v>Technical Support Analyst</v>
      </c>
      <c r="C109" t="str">
        <f>Table1[[#This Row],[Stream Internal]]</f>
        <v>ITES</v>
      </c>
      <c r="D109" s="1">
        <f>IF(ISBLANK(Table1[[#This Row],[Demand Date]]),"",Table1[[#This Row],[Demand Date]])</f>
        <v>45908</v>
      </c>
      <c r="E109" s="1">
        <f>IF(ISBLANK(Table1[[#This Row],[Date Job Requirement Released]]),"",Table1[[#This Row],[Date Job Requirement Released]])</f>
        <v>45973</v>
      </c>
      <c r="F109" s="1" t="str">
        <f>IF(ISBLANK(Table1[[#This Row],[Date Offered]]),"",Table1[[#This Row],[Date Offered]])</f>
        <v/>
      </c>
      <c r="G109" s="1" t="str">
        <f>IF(ISBLANK(Table1[[#This Row],[Date Onboarded]]),"",Table1[[#This Row],[Date Onboarded]])</f>
        <v/>
      </c>
      <c r="H109" t="str">
        <f>Table1[[#This Row],[Internal/External]]</f>
        <v>Internal</v>
      </c>
      <c r="I109">
        <f>Table1[[#This Row],[Pipeline Updated]]</f>
        <v>0</v>
      </c>
      <c r="J109" t="str">
        <f t="shared" si="3"/>
        <v/>
      </c>
      <c r="K109" t="str">
        <f t="shared" si="2"/>
        <v/>
      </c>
    </row>
    <row r="110" spans="1:11">
      <c r="A110">
        <f>Table1[[#This Row],[Role ID]]</f>
        <v>3</v>
      </c>
      <c r="B110" t="str">
        <f>Table1[[#This Row],[Role]]</f>
        <v>IT Support Specialist</v>
      </c>
      <c r="C110" t="str">
        <f>Table1[[#This Row],[Stream Internal]]</f>
        <v>ITES</v>
      </c>
      <c r="D110" s="1">
        <f>IF(ISBLANK(Table1[[#This Row],[Demand Date]]),"",Table1[[#This Row],[Demand Date]])</f>
        <v>45916</v>
      </c>
      <c r="E110" s="1">
        <f>IF(ISBLANK(Table1[[#This Row],[Date Job Requirement Released]]),"",Table1[[#This Row],[Date Job Requirement Released]])</f>
        <v>45982</v>
      </c>
      <c r="F110" s="1" t="str">
        <f>IF(ISBLANK(Table1[[#This Row],[Date Offered]]),"",Table1[[#This Row],[Date Offered]])</f>
        <v/>
      </c>
      <c r="G110" s="1" t="str">
        <f>IF(ISBLANK(Table1[[#This Row],[Date Onboarded]]),"",Table1[[#This Row],[Date Onboarded]])</f>
        <v/>
      </c>
      <c r="H110" t="str">
        <f>Table1[[#This Row],[Internal/External]]</f>
        <v>Internal</v>
      </c>
      <c r="I110">
        <f>Table1[[#This Row],[Pipeline Updated]]</f>
        <v>0</v>
      </c>
      <c r="J110" t="str">
        <f t="shared" si="3"/>
        <v/>
      </c>
      <c r="K110" t="str">
        <f t="shared" si="2"/>
        <v/>
      </c>
    </row>
    <row r="111" spans="1:11">
      <c r="A111">
        <f>Table1[[#This Row],[Role ID]]</f>
        <v>87</v>
      </c>
      <c r="B111" t="str">
        <f>Table1[[#This Row],[Role]]</f>
        <v>Principal Engineer</v>
      </c>
      <c r="C111" t="str">
        <f>Table1[[#This Row],[Stream Internal]]</f>
        <v>ENGG</v>
      </c>
      <c r="D111" s="1">
        <f>IF(ISBLANK(Table1[[#This Row],[Demand Date]]),"",Table1[[#This Row],[Demand Date]])</f>
        <v>45915</v>
      </c>
      <c r="E111" s="1">
        <f>IF(ISBLANK(Table1[[#This Row],[Date Job Requirement Released]]),"",Table1[[#This Row],[Date Job Requirement Released]])</f>
        <v>45979</v>
      </c>
      <c r="F111" s="1" t="str">
        <f>IF(ISBLANK(Table1[[#This Row],[Date Offered]]),"",Table1[[#This Row],[Date Offered]])</f>
        <v/>
      </c>
      <c r="G111" s="1" t="str">
        <f>IF(ISBLANK(Table1[[#This Row],[Date Onboarded]]),"",Table1[[#This Row],[Date Onboarded]])</f>
        <v/>
      </c>
      <c r="H111" t="str">
        <f>Table1[[#This Row],[Internal/External]]</f>
        <v>Internal</v>
      </c>
      <c r="I111">
        <f>Table1[[#This Row],[Pipeline Updated]]</f>
        <v>0</v>
      </c>
      <c r="J111" t="str">
        <f t="shared" si="3"/>
        <v/>
      </c>
      <c r="K111" t="str">
        <f t="shared" si="2"/>
        <v/>
      </c>
    </row>
    <row r="112" spans="1:11">
      <c r="A112">
        <f>Table1[[#This Row],[Role ID]]</f>
        <v>88</v>
      </c>
      <c r="B112" t="str">
        <f>Table1[[#This Row],[Role]]</f>
        <v>Desktop Support Specialist</v>
      </c>
      <c r="C112" t="str">
        <f>Table1[[#This Row],[Stream Internal]]</f>
        <v>ITES</v>
      </c>
      <c r="D112" s="1">
        <f>IF(ISBLANK(Table1[[#This Row],[Demand Date]]),"",Table1[[#This Row],[Demand Date]])</f>
        <v>45875</v>
      </c>
      <c r="E112" s="1">
        <f>IF(ISBLANK(Table1[[#This Row],[Date Job Requirement Released]]),"",Table1[[#This Row],[Date Job Requirement Released]])</f>
        <v>45929</v>
      </c>
      <c r="F112" s="1" t="str">
        <f>IF(ISBLANK(Table1[[#This Row],[Date Offered]]),"",Table1[[#This Row],[Date Offered]])</f>
        <v/>
      </c>
      <c r="G112" s="1" t="str">
        <f>IF(ISBLANK(Table1[[#This Row],[Date Onboarded]]),"",Table1[[#This Row],[Date Onboarded]])</f>
        <v/>
      </c>
      <c r="H112" t="str">
        <f>Table1[[#This Row],[Internal/External]]</f>
        <v>Internal</v>
      </c>
      <c r="I112">
        <f>Table1[[#This Row],[Pipeline Updated]]</f>
        <v>0</v>
      </c>
      <c r="J112" t="str">
        <f t="shared" si="3"/>
        <v/>
      </c>
      <c r="K112" t="str">
        <f t="shared" si="2"/>
        <v/>
      </c>
    </row>
    <row r="113" spans="1:11">
      <c r="A113">
        <f>Table1[[#This Row],[Role ID]]</f>
        <v>45</v>
      </c>
      <c r="B113" t="str">
        <f>Table1[[#This Row],[Role]]</f>
        <v>Technical Support Analyst</v>
      </c>
      <c r="C113" t="str">
        <f>Table1[[#This Row],[Stream Internal]]</f>
        <v>ITES</v>
      </c>
      <c r="D113" s="1">
        <f>IF(ISBLANK(Table1[[#This Row],[Demand Date]]),"",Table1[[#This Row],[Demand Date]])</f>
        <v>45840</v>
      </c>
      <c r="E113" s="1">
        <f>IF(ISBLANK(Table1[[#This Row],[Date Job Requirement Released]]),"",Table1[[#This Row],[Date Job Requirement Released]])</f>
        <v>45892</v>
      </c>
      <c r="F113" s="1">
        <f>IF(ISBLANK(Table1[[#This Row],[Date Offered]]),"",Table1[[#This Row],[Date Offered]])</f>
        <v>45911</v>
      </c>
      <c r="G113" s="1">
        <f>IF(ISBLANK(Table1[[#This Row],[Date Onboarded]]),"",Table1[[#This Row],[Date Onboarded]])</f>
        <v>45952</v>
      </c>
      <c r="H113" t="str">
        <f>Table1[[#This Row],[Internal/External]]</f>
        <v>Internal</v>
      </c>
      <c r="I113">
        <f>Table1[[#This Row],[Pipeline Updated]]</f>
        <v>0</v>
      </c>
      <c r="J113">
        <f t="shared" si="3"/>
        <v>19</v>
      </c>
      <c r="K113">
        <f t="shared" si="2"/>
        <v>60</v>
      </c>
    </row>
    <row r="114" spans="1:11">
      <c r="A114">
        <f>Table1[[#This Row],[Role ID]]</f>
        <v>89</v>
      </c>
      <c r="B114" t="str">
        <f>Table1[[#This Row],[Role]]</f>
        <v>Software Developer 2</v>
      </c>
      <c r="C114" t="str">
        <f>Table1[[#This Row],[Stream Internal]]</f>
        <v>ENGG</v>
      </c>
      <c r="D114" s="1">
        <f>IF(ISBLANK(Table1[[#This Row],[Demand Date]]),"",Table1[[#This Row],[Demand Date]])</f>
        <v>45822</v>
      </c>
      <c r="E114" s="1">
        <f>IF(ISBLANK(Table1[[#This Row],[Date Job Requirement Released]]),"",Table1[[#This Row],[Date Job Requirement Released]])</f>
        <v>45886</v>
      </c>
      <c r="F114" s="1">
        <f>IF(ISBLANK(Table1[[#This Row],[Date Offered]]),"",Table1[[#This Row],[Date Offered]])</f>
        <v>45906</v>
      </c>
      <c r="G114" s="1">
        <f>IF(ISBLANK(Table1[[#This Row],[Date Onboarded]]),"",Table1[[#This Row],[Date Onboarded]])</f>
        <v>45974</v>
      </c>
      <c r="H114" t="str">
        <f>Table1[[#This Row],[Internal/External]]</f>
        <v>Internal</v>
      </c>
      <c r="I114">
        <f>Table1[[#This Row],[Pipeline Updated]]</f>
        <v>2</v>
      </c>
      <c r="J114">
        <f t="shared" si="3"/>
        <v>20</v>
      </c>
      <c r="K114">
        <f t="shared" si="2"/>
        <v>88</v>
      </c>
    </row>
    <row r="115" spans="1:11">
      <c r="A115">
        <f>Table1[[#This Row],[Role ID]]</f>
        <v>13</v>
      </c>
      <c r="B115" t="str">
        <f>Table1[[#This Row],[Role]]</f>
        <v>Digital Marketing Specialist</v>
      </c>
      <c r="C115" t="str">
        <f>Table1[[#This Row],[Stream Internal]]</f>
        <v>SAM</v>
      </c>
      <c r="D115" s="1">
        <f>IF(ISBLANK(Table1[[#This Row],[Demand Date]]),"",Table1[[#This Row],[Demand Date]])</f>
        <v>45869</v>
      </c>
      <c r="E115" s="1">
        <f>IF(ISBLANK(Table1[[#This Row],[Date Job Requirement Released]]),"",Table1[[#This Row],[Date Job Requirement Released]])</f>
        <v>45934</v>
      </c>
      <c r="F115" s="1" t="str">
        <f>IF(ISBLANK(Table1[[#This Row],[Date Offered]]),"",Table1[[#This Row],[Date Offered]])</f>
        <v/>
      </c>
      <c r="G115" s="1" t="str">
        <f>IF(ISBLANK(Table1[[#This Row],[Date Onboarded]]),"",Table1[[#This Row],[Date Onboarded]])</f>
        <v/>
      </c>
      <c r="H115" t="str">
        <f>Table1[[#This Row],[Internal/External]]</f>
        <v>Internal</v>
      </c>
      <c r="I115">
        <f>Table1[[#This Row],[Pipeline Updated]]</f>
        <v>0</v>
      </c>
      <c r="J115" t="str">
        <f t="shared" si="3"/>
        <v/>
      </c>
      <c r="K115" t="str">
        <f t="shared" si="2"/>
        <v/>
      </c>
    </row>
    <row r="116" spans="1:11">
      <c r="A116">
        <f>Table1[[#This Row],[Role ID]]</f>
        <v>90</v>
      </c>
      <c r="B116" t="str">
        <f>Table1[[#This Row],[Role]]</f>
        <v>Customer Support Specialist</v>
      </c>
      <c r="C116" t="str">
        <f>Table1[[#This Row],[Stream Internal]]</f>
        <v>SAM</v>
      </c>
      <c r="D116" s="1">
        <f>IF(ISBLANK(Table1[[#This Row],[Demand Date]]),"",Table1[[#This Row],[Demand Date]])</f>
        <v>45907</v>
      </c>
      <c r="E116" s="1">
        <f>IF(ISBLANK(Table1[[#This Row],[Date Job Requirement Released]]),"",Table1[[#This Row],[Date Job Requirement Released]])</f>
        <v>45972</v>
      </c>
      <c r="F116" s="1" t="str">
        <f>IF(ISBLANK(Table1[[#This Row],[Date Offered]]),"",Table1[[#This Row],[Date Offered]])</f>
        <v/>
      </c>
      <c r="G116" s="1" t="str">
        <f>IF(ISBLANK(Table1[[#This Row],[Date Onboarded]]),"",Table1[[#This Row],[Date Onboarded]])</f>
        <v/>
      </c>
      <c r="H116" t="str">
        <f>Table1[[#This Row],[Internal/External]]</f>
        <v>Internal</v>
      </c>
      <c r="I116">
        <f>Table1[[#This Row],[Pipeline Updated]]</f>
        <v>0</v>
      </c>
      <c r="J116" t="str">
        <f t="shared" si="3"/>
        <v/>
      </c>
      <c r="K116" t="str">
        <f t="shared" si="2"/>
        <v/>
      </c>
    </row>
    <row r="117" spans="1:11">
      <c r="A117">
        <f>Table1[[#This Row],[Role ID]]</f>
        <v>1</v>
      </c>
      <c r="B117" t="str">
        <f>Table1[[#This Row],[Role]]</f>
        <v>Brand Manager</v>
      </c>
      <c r="C117" t="str">
        <f>Table1[[#This Row],[Stream Internal]]</f>
        <v>SAM</v>
      </c>
      <c r="D117" s="1">
        <f>IF(ISBLANK(Table1[[#This Row],[Demand Date]]),"",Table1[[#This Row],[Demand Date]])</f>
        <v>45819</v>
      </c>
      <c r="E117" s="1">
        <f>IF(ISBLANK(Table1[[#This Row],[Date Job Requirement Released]]),"",Table1[[#This Row],[Date Job Requirement Released]])</f>
        <v>45882</v>
      </c>
      <c r="F117" s="1" t="str">
        <f>IF(ISBLANK(Table1[[#This Row],[Date Offered]]),"",Table1[[#This Row],[Date Offered]])</f>
        <v/>
      </c>
      <c r="G117" s="1" t="str">
        <f>IF(ISBLANK(Table1[[#This Row],[Date Onboarded]]),"",Table1[[#This Row],[Date Onboarded]])</f>
        <v/>
      </c>
      <c r="H117" t="str">
        <f>Table1[[#This Row],[Internal/External]]</f>
        <v>Internal</v>
      </c>
      <c r="I117">
        <f>Table1[[#This Row],[Pipeline Updated]]</f>
        <v>0</v>
      </c>
      <c r="J117" t="str">
        <f t="shared" si="3"/>
        <v/>
      </c>
      <c r="K117" t="str">
        <f t="shared" si="2"/>
        <v/>
      </c>
    </row>
    <row r="118" spans="1:11">
      <c r="A118">
        <f>Table1[[#This Row],[Role ID]]</f>
        <v>91</v>
      </c>
      <c r="B118" t="str">
        <f>Table1[[#This Row],[Role]]</f>
        <v>R&amp;D Engineer</v>
      </c>
      <c r="C118" t="str">
        <f>Table1[[#This Row],[Stream Internal]]</f>
        <v>RND</v>
      </c>
      <c r="D118" s="1">
        <f>IF(ISBLANK(Table1[[#This Row],[Demand Date]]),"",Table1[[#This Row],[Demand Date]])</f>
        <v>45918</v>
      </c>
      <c r="E118" s="1">
        <f>IF(ISBLANK(Table1[[#This Row],[Date Job Requirement Released]]),"",Table1[[#This Row],[Date Job Requirement Released]])</f>
        <v>45981</v>
      </c>
      <c r="F118" s="1" t="str">
        <f>IF(ISBLANK(Table1[[#This Row],[Date Offered]]),"",Table1[[#This Row],[Date Offered]])</f>
        <v/>
      </c>
      <c r="G118" s="1" t="str">
        <f>IF(ISBLANK(Table1[[#This Row],[Date Onboarded]]),"",Table1[[#This Row],[Date Onboarded]])</f>
        <v/>
      </c>
      <c r="H118" t="str">
        <f>Table1[[#This Row],[Internal/External]]</f>
        <v>Internal</v>
      </c>
      <c r="I118">
        <f>Table1[[#This Row],[Pipeline Updated]]</f>
        <v>0</v>
      </c>
      <c r="J118" t="str">
        <f t="shared" si="3"/>
        <v/>
      </c>
      <c r="K118" t="str">
        <f t="shared" si="2"/>
        <v/>
      </c>
    </row>
    <row r="119" spans="1:11">
      <c r="A119">
        <f>Table1[[#This Row],[Role ID]]</f>
        <v>92</v>
      </c>
      <c r="B119" t="str">
        <f>Table1[[#This Row],[Role]]</f>
        <v>Technical Support Analyst</v>
      </c>
      <c r="C119" t="str">
        <f>Table1[[#This Row],[Stream Internal]]</f>
        <v>ITES</v>
      </c>
      <c r="D119" s="1">
        <f>IF(ISBLANK(Table1[[#This Row],[Demand Date]]),"",Table1[[#This Row],[Demand Date]])</f>
        <v>45918</v>
      </c>
      <c r="E119" s="1">
        <f>IF(ISBLANK(Table1[[#This Row],[Date Job Requirement Released]]),"",Table1[[#This Row],[Date Job Requirement Released]])</f>
        <v>45969</v>
      </c>
      <c r="F119" s="1" t="str">
        <f>IF(ISBLANK(Table1[[#This Row],[Date Offered]]),"",Table1[[#This Row],[Date Offered]])</f>
        <v/>
      </c>
      <c r="G119" s="1" t="str">
        <f>IF(ISBLANK(Table1[[#This Row],[Date Onboarded]]),"",Table1[[#This Row],[Date Onboarded]])</f>
        <v/>
      </c>
      <c r="H119" t="str">
        <f>Table1[[#This Row],[Internal/External]]</f>
        <v>Internal</v>
      </c>
      <c r="I119">
        <f>Table1[[#This Row],[Pipeline Updated]]</f>
        <v>0</v>
      </c>
      <c r="J119" t="str">
        <f t="shared" si="3"/>
        <v/>
      </c>
      <c r="K119" t="str">
        <f t="shared" si="2"/>
        <v/>
      </c>
    </row>
    <row r="120" spans="1:11">
      <c r="A120">
        <f>Table1[[#This Row],[Role ID]]</f>
        <v>93</v>
      </c>
      <c r="B120" t="str">
        <f>Table1[[#This Row],[Role]]</f>
        <v>Product Marketing Manager</v>
      </c>
      <c r="C120" t="str">
        <f>Table1[[#This Row],[Stream Internal]]</f>
        <v>SAM</v>
      </c>
      <c r="D120" s="1">
        <f>IF(ISBLANK(Table1[[#This Row],[Demand Date]]),"",Table1[[#This Row],[Demand Date]])</f>
        <v>45899</v>
      </c>
      <c r="E120" s="1">
        <f>IF(ISBLANK(Table1[[#This Row],[Date Job Requirement Released]]),"",Table1[[#This Row],[Date Job Requirement Released]])</f>
        <v>45945</v>
      </c>
      <c r="F120" s="1" t="str">
        <f>IF(ISBLANK(Table1[[#This Row],[Date Offered]]),"",Table1[[#This Row],[Date Offered]])</f>
        <v/>
      </c>
      <c r="G120" s="1" t="str">
        <f>IF(ISBLANK(Table1[[#This Row],[Date Onboarded]]),"",Table1[[#This Row],[Date Onboarded]])</f>
        <v/>
      </c>
      <c r="H120" t="str">
        <f>Table1[[#This Row],[Internal/External]]</f>
        <v>Internal</v>
      </c>
      <c r="I120">
        <f>Table1[[#This Row],[Pipeline Updated]]</f>
        <v>0</v>
      </c>
      <c r="J120" t="str">
        <f t="shared" si="3"/>
        <v/>
      </c>
      <c r="K120" t="str">
        <f t="shared" si="2"/>
        <v/>
      </c>
    </row>
    <row r="121" spans="1:11">
      <c r="A121">
        <f>Table1[[#This Row],[Role ID]]</f>
        <v>94</v>
      </c>
      <c r="B121" t="str">
        <f>Table1[[#This Row],[Role]]</f>
        <v>Brand Manager</v>
      </c>
      <c r="C121" t="str">
        <f>Table1[[#This Row],[Stream Internal]]</f>
        <v>SAM</v>
      </c>
      <c r="D121" s="1">
        <f>IF(ISBLANK(Table1[[#This Row],[Demand Date]]),"",Table1[[#This Row],[Demand Date]])</f>
        <v>45897</v>
      </c>
      <c r="E121" s="1">
        <f>IF(ISBLANK(Table1[[#This Row],[Date Job Requirement Released]]),"",Table1[[#This Row],[Date Job Requirement Released]])</f>
        <v>45965</v>
      </c>
      <c r="F121" s="1">
        <f>IF(ISBLANK(Table1[[#This Row],[Date Offered]]),"",Table1[[#This Row],[Date Offered]])</f>
        <v>45981</v>
      </c>
      <c r="G121" s="1">
        <f>IF(ISBLANK(Table1[[#This Row],[Date Onboarded]]),"",Table1[[#This Row],[Date Onboarded]])</f>
        <v>46022</v>
      </c>
      <c r="H121" t="str">
        <f>Table1[[#This Row],[Internal/External]]</f>
        <v>Internal</v>
      </c>
      <c r="I121">
        <f>Table1[[#This Row],[Pipeline Updated]]</f>
        <v>0</v>
      </c>
      <c r="J121">
        <f t="shared" si="3"/>
        <v>16</v>
      </c>
      <c r="K121">
        <f t="shared" si="2"/>
        <v>57</v>
      </c>
    </row>
    <row r="122" spans="1:11">
      <c r="A122">
        <f>Table1[[#This Row],[Role ID]]</f>
        <v>95</v>
      </c>
      <c r="B122" t="str">
        <f>Table1[[#This Row],[Role]]</f>
        <v>R&amp;D Project Lead</v>
      </c>
      <c r="C122" t="str">
        <f>Table1[[#This Row],[Stream Internal]]</f>
        <v>RND</v>
      </c>
      <c r="D122" s="1">
        <f>IF(ISBLANK(Table1[[#This Row],[Demand Date]]),"",Table1[[#This Row],[Demand Date]])</f>
        <v>45919</v>
      </c>
      <c r="E122" s="1">
        <f>IF(ISBLANK(Table1[[#This Row],[Date Job Requirement Released]]),"",Table1[[#This Row],[Date Job Requirement Released]])</f>
        <v>45970</v>
      </c>
      <c r="F122" s="1">
        <f>IF(ISBLANK(Table1[[#This Row],[Date Offered]]),"",Table1[[#This Row],[Date Offered]])</f>
        <v>45990</v>
      </c>
      <c r="G122" s="1">
        <f>IF(ISBLANK(Table1[[#This Row],[Date Onboarded]]),"",Table1[[#This Row],[Date Onboarded]])</f>
        <v>46049</v>
      </c>
      <c r="H122" t="str">
        <f>Table1[[#This Row],[Internal/External]]</f>
        <v>Internal</v>
      </c>
      <c r="I122">
        <f>Table1[[#This Row],[Pipeline Updated]]</f>
        <v>1</v>
      </c>
      <c r="J122">
        <f t="shared" si="3"/>
        <v>20</v>
      </c>
      <c r="K122">
        <f t="shared" si="2"/>
        <v>79</v>
      </c>
    </row>
    <row r="123" spans="1:11">
      <c r="A123">
        <f>Table1[[#This Row],[Role ID]]</f>
        <v>77</v>
      </c>
      <c r="B123" t="str">
        <f>Table1[[#This Row],[Role]]</f>
        <v>Technical Support Analyst</v>
      </c>
      <c r="C123" t="str">
        <f>Table1[[#This Row],[Stream Internal]]</f>
        <v>ITES</v>
      </c>
      <c r="D123" s="1">
        <f>IF(ISBLANK(Table1[[#This Row],[Demand Date]]),"",Table1[[#This Row],[Demand Date]])</f>
        <v>45820</v>
      </c>
      <c r="E123" s="1">
        <f>IF(ISBLANK(Table1[[#This Row],[Date Job Requirement Released]]),"",Table1[[#This Row],[Date Job Requirement Released]])</f>
        <v>45890</v>
      </c>
      <c r="F123" s="1" t="str">
        <f>IF(ISBLANK(Table1[[#This Row],[Date Offered]]),"",Table1[[#This Row],[Date Offered]])</f>
        <v/>
      </c>
      <c r="G123" s="1" t="str">
        <f>IF(ISBLANK(Table1[[#This Row],[Date Onboarded]]),"",Table1[[#This Row],[Date Onboarded]])</f>
        <v/>
      </c>
      <c r="H123" t="str">
        <f>Table1[[#This Row],[Internal/External]]</f>
        <v>Internal</v>
      </c>
      <c r="I123">
        <f>Table1[[#This Row],[Pipeline Updated]]</f>
        <v>0</v>
      </c>
      <c r="J123" t="str">
        <f t="shared" si="3"/>
        <v/>
      </c>
      <c r="K123" t="str">
        <f t="shared" si="2"/>
        <v/>
      </c>
    </row>
    <row r="124" spans="1:11">
      <c r="A124">
        <f>Table1[[#This Row],[Role ID]]</f>
        <v>96</v>
      </c>
      <c r="B124" t="str">
        <f>Table1[[#This Row],[Role]]</f>
        <v>Platform Delivery Lead</v>
      </c>
      <c r="C124" t="str">
        <f>Table1[[#This Row],[Stream Internal]]</f>
        <v>ENGG</v>
      </c>
      <c r="D124" s="1">
        <f>IF(ISBLANK(Table1[[#This Row],[Demand Date]]),"",Table1[[#This Row],[Demand Date]])</f>
        <v>45846</v>
      </c>
      <c r="E124" s="1">
        <f>IF(ISBLANK(Table1[[#This Row],[Date Job Requirement Released]]),"",Table1[[#This Row],[Date Job Requirement Released]])</f>
        <v>45908</v>
      </c>
      <c r="F124" s="1" t="str">
        <f>IF(ISBLANK(Table1[[#This Row],[Date Offered]]),"",Table1[[#This Row],[Date Offered]])</f>
        <v/>
      </c>
      <c r="G124" s="1" t="str">
        <f>IF(ISBLANK(Table1[[#This Row],[Date Onboarded]]),"",Table1[[#This Row],[Date Onboarded]])</f>
        <v/>
      </c>
      <c r="H124" t="str">
        <f>Table1[[#This Row],[Internal/External]]</f>
        <v>External</v>
      </c>
      <c r="I124">
        <f>Table1[[#This Row],[Pipeline Updated]]</f>
        <v>0</v>
      </c>
      <c r="J124" t="str">
        <f t="shared" si="3"/>
        <v/>
      </c>
      <c r="K124" t="str">
        <f t="shared" si="2"/>
        <v/>
      </c>
    </row>
    <row r="125" spans="1:11">
      <c r="A125">
        <f>Table1[[#This Row],[Role ID]]</f>
        <v>97</v>
      </c>
      <c r="B125" t="str">
        <f>Table1[[#This Row],[Role]]</f>
        <v>R&amp;D Project Lead</v>
      </c>
      <c r="C125" t="str">
        <f>Table1[[#This Row],[Stream Internal]]</f>
        <v>RND</v>
      </c>
      <c r="D125" s="1">
        <f>IF(ISBLANK(Table1[[#This Row],[Demand Date]]),"",Table1[[#This Row],[Demand Date]])</f>
        <v>45920</v>
      </c>
      <c r="E125" s="1">
        <f>IF(ISBLANK(Table1[[#This Row],[Date Job Requirement Released]]),"",Table1[[#This Row],[Date Job Requirement Released]])</f>
        <v>45981</v>
      </c>
      <c r="F125" s="1" t="str">
        <f>IF(ISBLANK(Table1[[#This Row],[Date Offered]]),"",Table1[[#This Row],[Date Offered]])</f>
        <v/>
      </c>
      <c r="G125" s="1" t="str">
        <f>IF(ISBLANK(Table1[[#This Row],[Date Onboarded]]),"",Table1[[#This Row],[Date Onboarded]])</f>
        <v/>
      </c>
      <c r="H125" t="str">
        <f>Table1[[#This Row],[Internal/External]]</f>
        <v>Internal</v>
      </c>
      <c r="I125">
        <f>Table1[[#This Row],[Pipeline Updated]]</f>
        <v>0</v>
      </c>
      <c r="J125" t="str">
        <f t="shared" si="3"/>
        <v/>
      </c>
      <c r="K125" t="str">
        <f t="shared" si="2"/>
        <v/>
      </c>
    </row>
    <row r="126" spans="1:11">
      <c r="A126">
        <f>Table1[[#This Row],[Role ID]]</f>
        <v>98</v>
      </c>
      <c r="B126" t="str">
        <f>Table1[[#This Row],[Role]]</f>
        <v>R&amp;D Manager</v>
      </c>
      <c r="C126" t="str">
        <f>Table1[[#This Row],[Stream Internal]]</f>
        <v>RND</v>
      </c>
      <c r="D126" s="1">
        <f>IF(ISBLANK(Table1[[#This Row],[Demand Date]]),"",Table1[[#This Row],[Demand Date]])</f>
        <v>45824</v>
      </c>
      <c r="E126" s="1">
        <f>IF(ISBLANK(Table1[[#This Row],[Date Job Requirement Released]]),"",Table1[[#This Row],[Date Job Requirement Released]])</f>
        <v>45892</v>
      </c>
      <c r="F126" s="1">
        <f>IF(ISBLANK(Table1[[#This Row],[Date Offered]]),"",Table1[[#This Row],[Date Offered]])</f>
        <v>45907</v>
      </c>
      <c r="G126" s="1">
        <f>IF(ISBLANK(Table1[[#This Row],[Date Onboarded]]),"",Table1[[#This Row],[Date Onboarded]])</f>
        <v>45959</v>
      </c>
      <c r="H126" t="str">
        <f>Table1[[#This Row],[Internal/External]]</f>
        <v>Internal</v>
      </c>
      <c r="I126">
        <f>Table1[[#This Row],[Pipeline Updated]]</f>
        <v>0</v>
      </c>
      <c r="J126">
        <f t="shared" si="3"/>
        <v>15</v>
      </c>
      <c r="K126">
        <f t="shared" si="2"/>
        <v>67</v>
      </c>
    </row>
    <row r="127" spans="1:11">
      <c r="A127">
        <f>Table1[[#This Row],[Role ID]]</f>
        <v>99</v>
      </c>
      <c r="B127" t="str">
        <f>Table1[[#This Row],[Role]]</f>
        <v>IT Manager</v>
      </c>
      <c r="C127" t="str">
        <f>Table1[[#This Row],[Stream Internal]]</f>
        <v>ITES</v>
      </c>
      <c r="D127" s="1">
        <f>IF(ISBLANK(Table1[[#This Row],[Demand Date]]),"",Table1[[#This Row],[Demand Date]])</f>
        <v>45818</v>
      </c>
      <c r="E127" s="1">
        <f>IF(ISBLANK(Table1[[#This Row],[Date Job Requirement Released]]),"",Table1[[#This Row],[Date Job Requirement Released]])</f>
        <v>45865</v>
      </c>
      <c r="F127" s="1" t="str">
        <f>IF(ISBLANK(Table1[[#This Row],[Date Offered]]),"",Table1[[#This Row],[Date Offered]])</f>
        <v/>
      </c>
      <c r="G127" s="1" t="str">
        <f>IF(ISBLANK(Table1[[#This Row],[Date Onboarded]]),"",Table1[[#This Row],[Date Onboarded]])</f>
        <v/>
      </c>
      <c r="H127" t="str">
        <f>Table1[[#This Row],[Internal/External]]</f>
        <v>External</v>
      </c>
      <c r="I127">
        <f>Table1[[#This Row],[Pipeline Updated]]</f>
        <v>0</v>
      </c>
      <c r="J127" t="str">
        <f t="shared" si="3"/>
        <v/>
      </c>
      <c r="K127" t="str">
        <f t="shared" si="2"/>
        <v/>
      </c>
    </row>
    <row r="128" spans="1:11">
      <c r="A128">
        <f>Table1[[#This Row],[Role ID]]</f>
        <v>100</v>
      </c>
      <c r="B128" t="str">
        <f>Table1[[#This Row],[Role]]</f>
        <v>Innovation Manager</v>
      </c>
      <c r="C128" t="str">
        <f>Table1[[#This Row],[Stream Internal]]</f>
        <v>RND</v>
      </c>
      <c r="D128" s="1">
        <f>IF(ISBLANK(Table1[[#This Row],[Demand Date]]),"",Table1[[#This Row],[Demand Date]])</f>
        <v>45879</v>
      </c>
      <c r="E128" s="1">
        <f>IF(ISBLANK(Table1[[#This Row],[Date Job Requirement Released]]),"",Table1[[#This Row],[Date Job Requirement Released]])</f>
        <v>45934</v>
      </c>
      <c r="F128" s="1">
        <f>IF(ISBLANK(Table1[[#This Row],[Date Offered]]),"",Table1[[#This Row],[Date Offered]])</f>
        <v>45951</v>
      </c>
      <c r="G128" s="1">
        <f>IF(ISBLANK(Table1[[#This Row],[Date Onboarded]]),"",Table1[[#This Row],[Date Onboarded]])</f>
        <v>46025</v>
      </c>
      <c r="H128" t="str">
        <f>Table1[[#This Row],[Internal/External]]</f>
        <v>Internal</v>
      </c>
      <c r="I128">
        <f>Table1[[#This Row],[Pipeline Updated]]</f>
        <v>2</v>
      </c>
      <c r="J128">
        <f t="shared" si="3"/>
        <v>17</v>
      </c>
      <c r="K128">
        <f t="shared" si="2"/>
        <v>91</v>
      </c>
    </row>
    <row r="129" spans="1:11">
      <c r="A129">
        <f>Table1[[#This Row],[Role ID]]</f>
        <v>101</v>
      </c>
      <c r="B129" t="str">
        <f>Table1[[#This Row],[Role]]</f>
        <v>Senior R&amp;D Manager</v>
      </c>
      <c r="C129" t="str">
        <f>Table1[[#This Row],[Stream Internal]]</f>
        <v>RND</v>
      </c>
      <c r="D129" s="1">
        <f>IF(ISBLANK(Table1[[#This Row],[Demand Date]]),"",Table1[[#This Row],[Demand Date]])</f>
        <v>45858</v>
      </c>
      <c r="E129" s="1">
        <f>IF(ISBLANK(Table1[[#This Row],[Date Job Requirement Released]]),"",Table1[[#This Row],[Date Job Requirement Released]])</f>
        <v>45916</v>
      </c>
      <c r="F129" s="1" t="str">
        <f>IF(ISBLANK(Table1[[#This Row],[Date Offered]]),"",Table1[[#This Row],[Date Offered]])</f>
        <v/>
      </c>
      <c r="G129" s="1" t="str">
        <f>IF(ISBLANK(Table1[[#This Row],[Date Onboarded]]),"",Table1[[#This Row],[Date Onboarded]])</f>
        <v/>
      </c>
      <c r="H129" t="str">
        <f>Table1[[#This Row],[Internal/External]]</f>
        <v>Internal</v>
      </c>
      <c r="I129">
        <f>Table1[[#This Row],[Pipeline Updated]]</f>
        <v>0</v>
      </c>
      <c r="J129" t="str">
        <f t="shared" si="3"/>
        <v/>
      </c>
      <c r="K129" t="str">
        <f t="shared" si="2"/>
        <v/>
      </c>
    </row>
    <row r="130" spans="1:11">
      <c r="A130">
        <f>Table1[[#This Row],[Role ID]]</f>
        <v>102</v>
      </c>
      <c r="B130" t="str">
        <f>Table1[[#This Row],[Role]]</f>
        <v>Customer Support Specialist</v>
      </c>
      <c r="C130" t="str">
        <f>Table1[[#This Row],[Stream Internal]]</f>
        <v>SAM</v>
      </c>
      <c r="D130" s="1">
        <f>IF(ISBLANK(Table1[[#This Row],[Demand Date]]),"",Table1[[#This Row],[Demand Date]])</f>
        <v>45909</v>
      </c>
      <c r="E130" s="1">
        <f>IF(ISBLANK(Table1[[#This Row],[Date Job Requirement Released]]),"",Table1[[#This Row],[Date Job Requirement Released]])</f>
        <v>45976</v>
      </c>
      <c r="F130" s="1">
        <f>IF(ISBLANK(Table1[[#This Row],[Date Offered]]),"",Table1[[#This Row],[Date Offered]])</f>
        <v>45990</v>
      </c>
      <c r="G130" s="1">
        <f>IF(ISBLANK(Table1[[#This Row],[Date Onboarded]]),"",Table1[[#This Row],[Date Onboarded]])</f>
        <v>46064</v>
      </c>
      <c r="H130" t="str">
        <f>Table1[[#This Row],[Internal/External]]</f>
        <v>Internal</v>
      </c>
      <c r="I130">
        <f>Table1[[#This Row],[Pipeline Updated]]</f>
        <v>2</v>
      </c>
      <c r="J130">
        <f t="shared" si="3"/>
        <v>14</v>
      </c>
      <c r="K130">
        <f t="shared" si="2"/>
        <v>88</v>
      </c>
    </row>
    <row r="131" spans="1:11">
      <c r="A131">
        <f>Table1[[#This Row],[Role ID]]</f>
        <v>49</v>
      </c>
      <c r="B131" t="str">
        <f>Table1[[#This Row],[Role]]</f>
        <v>R&amp;D Engineer</v>
      </c>
      <c r="C131" t="str">
        <f>Table1[[#This Row],[Stream Internal]]</f>
        <v>RND</v>
      </c>
      <c r="D131" s="1">
        <f>IF(ISBLANK(Table1[[#This Row],[Demand Date]]),"",Table1[[#This Row],[Demand Date]])</f>
        <v>45870</v>
      </c>
      <c r="E131" s="1">
        <f>IF(ISBLANK(Table1[[#This Row],[Date Job Requirement Released]]),"",Table1[[#This Row],[Date Job Requirement Released]])</f>
        <v>45936</v>
      </c>
      <c r="F131" s="1" t="str">
        <f>IF(ISBLANK(Table1[[#This Row],[Date Offered]]),"",Table1[[#This Row],[Date Offered]])</f>
        <v/>
      </c>
      <c r="G131" s="1" t="str">
        <f>IF(ISBLANK(Table1[[#This Row],[Date Onboarded]]),"",Table1[[#This Row],[Date Onboarded]])</f>
        <v/>
      </c>
      <c r="H131" t="str">
        <f>Table1[[#This Row],[Internal/External]]</f>
        <v>Internal</v>
      </c>
      <c r="I131">
        <f>Table1[[#This Row],[Pipeline Updated]]</f>
        <v>0</v>
      </c>
      <c r="J131" t="str">
        <f t="shared" si="3"/>
        <v/>
      </c>
      <c r="K131" t="str">
        <f t="shared" ref="K131:K194" si="4">IF(OR(E131="",G131=""),"",G131-E131)</f>
        <v/>
      </c>
    </row>
    <row r="132" spans="1:11">
      <c r="A132">
        <f>Table1[[#This Row],[Role ID]]</f>
        <v>57</v>
      </c>
      <c r="B132" t="str">
        <f>Table1[[#This Row],[Role]]</f>
        <v>Product Marketing Manager</v>
      </c>
      <c r="C132" t="str">
        <f>Table1[[#This Row],[Stream Internal]]</f>
        <v>SAM</v>
      </c>
      <c r="D132" s="1">
        <f>IF(ISBLANK(Table1[[#This Row],[Demand Date]]),"",Table1[[#This Row],[Demand Date]])</f>
        <v>45814</v>
      </c>
      <c r="E132" s="1">
        <f>IF(ISBLANK(Table1[[#This Row],[Date Job Requirement Released]]),"",Table1[[#This Row],[Date Job Requirement Released]])</f>
        <v>45878</v>
      </c>
      <c r="F132" s="1">
        <f>IF(ISBLANK(Table1[[#This Row],[Date Offered]]),"",Table1[[#This Row],[Date Offered]])</f>
        <v>45895</v>
      </c>
      <c r="G132" s="1">
        <f>IF(ISBLANK(Table1[[#This Row],[Date Onboarded]]),"",Table1[[#This Row],[Date Onboarded]])</f>
        <v>45917</v>
      </c>
      <c r="H132" t="str">
        <f>Table1[[#This Row],[Internal/External]]</f>
        <v>Internal</v>
      </c>
      <c r="I132">
        <f>Table1[[#This Row],[Pipeline Updated]]</f>
        <v>0</v>
      </c>
      <c r="J132">
        <f t="shared" ref="J132:J195" si="5">IF(OR(E132="",F132=""),"",F132-E132)</f>
        <v>17</v>
      </c>
      <c r="K132">
        <f t="shared" si="4"/>
        <v>39</v>
      </c>
    </row>
    <row r="133" spans="1:11">
      <c r="A133">
        <f>Table1[[#This Row],[Role ID]]</f>
        <v>103</v>
      </c>
      <c r="B133" t="str">
        <f>Table1[[#This Row],[Role]]</f>
        <v>Engineering Manager</v>
      </c>
      <c r="C133" t="str">
        <f>Table1[[#This Row],[Stream Internal]]</f>
        <v>ENGG</v>
      </c>
      <c r="D133" s="1">
        <f>IF(ISBLANK(Table1[[#This Row],[Demand Date]]),"",Table1[[#This Row],[Demand Date]])</f>
        <v>45900</v>
      </c>
      <c r="E133" s="1">
        <f>IF(ISBLANK(Table1[[#This Row],[Date Job Requirement Released]]),"",Table1[[#This Row],[Date Job Requirement Released]])</f>
        <v>45967</v>
      </c>
      <c r="F133" s="1">
        <f>IF(ISBLANK(Table1[[#This Row],[Date Offered]]),"",Table1[[#This Row],[Date Offered]])</f>
        <v>45987</v>
      </c>
      <c r="G133" s="1">
        <f>IF(ISBLANK(Table1[[#This Row],[Date Onboarded]]),"",Table1[[#This Row],[Date Onboarded]])</f>
        <v>46017</v>
      </c>
      <c r="H133" t="str">
        <f>Table1[[#This Row],[Internal/External]]</f>
        <v>Internal</v>
      </c>
      <c r="I133">
        <f>Table1[[#This Row],[Pipeline Updated]]</f>
        <v>0</v>
      </c>
      <c r="J133">
        <f t="shared" si="5"/>
        <v>20</v>
      </c>
      <c r="K133">
        <f t="shared" si="4"/>
        <v>50</v>
      </c>
    </row>
    <row r="134" spans="1:11">
      <c r="A134">
        <f>Table1[[#This Row],[Role ID]]</f>
        <v>104</v>
      </c>
      <c r="B134" t="str">
        <f>Table1[[#This Row],[Role]]</f>
        <v>Senior SDE</v>
      </c>
      <c r="C134" t="str">
        <f>Table1[[#This Row],[Stream Internal]]</f>
        <v>ENGG</v>
      </c>
      <c r="D134" s="1">
        <f>IF(ISBLANK(Table1[[#This Row],[Demand Date]]),"",Table1[[#This Row],[Demand Date]])</f>
        <v>45879</v>
      </c>
      <c r="E134" s="1">
        <f>IF(ISBLANK(Table1[[#This Row],[Date Job Requirement Released]]),"",Table1[[#This Row],[Date Job Requirement Released]])</f>
        <v>45931</v>
      </c>
      <c r="F134" s="1">
        <f>IF(ISBLANK(Table1[[#This Row],[Date Offered]]),"",Table1[[#This Row],[Date Offered]])</f>
        <v>45951</v>
      </c>
      <c r="G134" s="1">
        <f>IF(ISBLANK(Table1[[#This Row],[Date Onboarded]]),"",Table1[[#This Row],[Date Onboarded]])</f>
        <v>45960</v>
      </c>
      <c r="H134" t="str">
        <f>Table1[[#This Row],[Internal/External]]</f>
        <v>Internal</v>
      </c>
      <c r="I134">
        <f>Table1[[#This Row],[Pipeline Updated]]</f>
        <v>2</v>
      </c>
      <c r="J134">
        <f t="shared" si="5"/>
        <v>20</v>
      </c>
      <c r="K134">
        <f t="shared" si="4"/>
        <v>29</v>
      </c>
    </row>
    <row r="135" spans="1:11">
      <c r="A135">
        <f>Table1[[#This Row],[Role ID]]</f>
        <v>81</v>
      </c>
      <c r="B135" t="str">
        <f>Table1[[#This Row],[Role]]</f>
        <v>Senior Staff Engineer</v>
      </c>
      <c r="C135" t="str">
        <f>Table1[[#This Row],[Stream Internal]]</f>
        <v>ENGG</v>
      </c>
      <c r="D135" s="1">
        <f>IF(ISBLANK(Table1[[#This Row],[Demand Date]]),"",Table1[[#This Row],[Demand Date]])</f>
        <v>45881</v>
      </c>
      <c r="E135" s="1">
        <f>IF(ISBLANK(Table1[[#This Row],[Date Job Requirement Released]]),"",Table1[[#This Row],[Date Job Requirement Released]])</f>
        <v>45944</v>
      </c>
      <c r="F135" s="1">
        <f>IF(ISBLANK(Table1[[#This Row],[Date Offered]]),"",Table1[[#This Row],[Date Offered]])</f>
        <v>45959</v>
      </c>
      <c r="G135" s="1">
        <f>IF(ISBLANK(Table1[[#This Row],[Date Onboarded]]),"",Table1[[#This Row],[Date Onboarded]])</f>
        <v>45973</v>
      </c>
      <c r="H135" t="str">
        <f>Table1[[#This Row],[Internal/External]]</f>
        <v>Internal</v>
      </c>
      <c r="I135">
        <f>Table1[[#This Row],[Pipeline Updated]]</f>
        <v>2</v>
      </c>
      <c r="J135">
        <f t="shared" si="5"/>
        <v>15</v>
      </c>
      <c r="K135">
        <f t="shared" si="4"/>
        <v>29</v>
      </c>
    </row>
    <row r="136" spans="1:11">
      <c r="A136">
        <f>Table1[[#This Row],[Role ID]]</f>
        <v>79</v>
      </c>
      <c r="B136" t="str">
        <f>Table1[[#This Row],[Role]]</f>
        <v>Application Support Analyst</v>
      </c>
      <c r="C136" t="str">
        <f>Table1[[#This Row],[Stream Internal]]</f>
        <v>ITES</v>
      </c>
      <c r="D136" s="1">
        <f>IF(ISBLANK(Table1[[#This Row],[Demand Date]]),"",Table1[[#This Row],[Demand Date]])</f>
        <v>45909</v>
      </c>
      <c r="E136" s="1">
        <f>IF(ISBLANK(Table1[[#This Row],[Date Job Requirement Released]]),"",Table1[[#This Row],[Date Job Requirement Released]])</f>
        <v>45964</v>
      </c>
      <c r="F136" s="1" t="str">
        <f>IF(ISBLANK(Table1[[#This Row],[Date Offered]]),"",Table1[[#This Row],[Date Offered]])</f>
        <v/>
      </c>
      <c r="G136" s="1" t="str">
        <f>IF(ISBLANK(Table1[[#This Row],[Date Onboarded]]),"",Table1[[#This Row],[Date Onboarded]])</f>
        <v/>
      </c>
      <c r="H136" t="str">
        <f>Table1[[#This Row],[Internal/External]]</f>
        <v>Internal</v>
      </c>
      <c r="I136">
        <f>Table1[[#This Row],[Pipeline Updated]]</f>
        <v>0</v>
      </c>
      <c r="J136" t="str">
        <f t="shared" si="5"/>
        <v/>
      </c>
      <c r="K136" t="str">
        <f t="shared" si="4"/>
        <v/>
      </c>
    </row>
    <row r="137" spans="1:11">
      <c r="A137">
        <f>Table1[[#This Row],[Role ID]]</f>
        <v>105</v>
      </c>
      <c r="B137" t="str">
        <f>Table1[[#This Row],[Role]]</f>
        <v>Application Support Analyst</v>
      </c>
      <c r="C137" t="str">
        <f>Table1[[#This Row],[Stream Internal]]</f>
        <v>ITES</v>
      </c>
      <c r="D137" s="1">
        <f>IF(ISBLANK(Table1[[#This Row],[Demand Date]]),"",Table1[[#This Row],[Demand Date]])</f>
        <v>45883</v>
      </c>
      <c r="E137" s="1">
        <f>IF(ISBLANK(Table1[[#This Row],[Date Job Requirement Released]]),"",Table1[[#This Row],[Date Job Requirement Released]])</f>
        <v>45952</v>
      </c>
      <c r="F137" s="1" t="str">
        <f>IF(ISBLANK(Table1[[#This Row],[Date Offered]]),"",Table1[[#This Row],[Date Offered]])</f>
        <v/>
      </c>
      <c r="G137" s="1" t="str">
        <f>IF(ISBLANK(Table1[[#This Row],[Date Onboarded]]),"",Table1[[#This Row],[Date Onboarded]])</f>
        <v/>
      </c>
      <c r="H137" t="str">
        <f>Table1[[#This Row],[Internal/External]]</f>
        <v>Internal</v>
      </c>
      <c r="I137">
        <f>Table1[[#This Row],[Pipeline Updated]]</f>
        <v>0</v>
      </c>
      <c r="J137" t="str">
        <f t="shared" si="5"/>
        <v/>
      </c>
      <c r="K137" t="str">
        <f t="shared" si="4"/>
        <v/>
      </c>
    </row>
    <row r="138" spans="1:11">
      <c r="A138">
        <f>Table1[[#This Row],[Role ID]]</f>
        <v>106</v>
      </c>
      <c r="B138" t="str">
        <f>Table1[[#This Row],[Role]]</f>
        <v>Innovation Manager</v>
      </c>
      <c r="C138" t="str">
        <f>Table1[[#This Row],[Stream Internal]]</f>
        <v>RND</v>
      </c>
      <c r="D138" s="1">
        <f>IF(ISBLANK(Table1[[#This Row],[Demand Date]]),"",Table1[[#This Row],[Demand Date]])</f>
        <v>45853</v>
      </c>
      <c r="E138" s="1">
        <f>IF(ISBLANK(Table1[[#This Row],[Date Job Requirement Released]]),"",Table1[[#This Row],[Date Job Requirement Released]])</f>
        <v>45921</v>
      </c>
      <c r="F138" s="1" t="str">
        <f>IF(ISBLANK(Table1[[#This Row],[Date Offered]]),"",Table1[[#This Row],[Date Offered]])</f>
        <v/>
      </c>
      <c r="G138" s="1" t="str">
        <f>IF(ISBLANK(Table1[[#This Row],[Date Onboarded]]),"",Table1[[#This Row],[Date Onboarded]])</f>
        <v/>
      </c>
      <c r="H138" t="str">
        <f>Table1[[#This Row],[Internal/External]]</f>
        <v>Internal</v>
      </c>
      <c r="I138">
        <f>Table1[[#This Row],[Pipeline Updated]]</f>
        <v>0</v>
      </c>
      <c r="J138" t="str">
        <f t="shared" si="5"/>
        <v/>
      </c>
      <c r="K138" t="str">
        <f t="shared" si="4"/>
        <v/>
      </c>
    </row>
    <row r="139" spans="1:11">
      <c r="A139">
        <f>Table1[[#This Row],[Role ID]]</f>
        <v>107</v>
      </c>
      <c r="B139" t="str">
        <f>Table1[[#This Row],[Role]]</f>
        <v>Senior Staff Engineer</v>
      </c>
      <c r="C139" t="str">
        <f>Table1[[#This Row],[Stream Internal]]</f>
        <v>ENGG</v>
      </c>
      <c r="D139" s="1">
        <f>IF(ISBLANK(Table1[[#This Row],[Demand Date]]),"",Table1[[#This Row],[Demand Date]])</f>
        <v>45888</v>
      </c>
      <c r="E139" s="1">
        <f>IF(ISBLANK(Table1[[#This Row],[Date Job Requirement Released]]),"",Table1[[#This Row],[Date Job Requirement Released]])</f>
        <v>45946</v>
      </c>
      <c r="F139" s="1" t="str">
        <f>IF(ISBLANK(Table1[[#This Row],[Date Offered]]),"",Table1[[#This Row],[Date Offered]])</f>
        <v/>
      </c>
      <c r="G139" s="1" t="str">
        <f>IF(ISBLANK(Table1[[#This Row],[Date Onboarded]]),"",Table1[[#This Row],[Date Onboarded]])</f>
        <v/>
      </c>
      <c r="H139" t="str">
        <f>Table1[[#This Row],[Internal/External]]</f>
        <v>Internal</v>
      </c>
      <c r="I139">
        <f>Table1[[#This Row],[Pipeline Updated]]</f>
        <v>0</v>
      </c>
      <c r="J139" t="str">
        <f t="shared" si="5"/>
        <v/>
      </c>
      <c r="K139" t="str">
        <f t="shared" si="4"/>
        <v/>
      </c>
    </row>
    <row r="140" spans="1:11">
      <c r="A140">
        <f>Table1[[#This Row],[Role ID]]</f>
        <v>108</v>
      </c>
      <c r="B140" t="str">
        <f>Table1[[#This Row],[Role]]</f>
        <v>Field Service Technician</v>
      </c>
      <c r="C140" t="str">
        <f>Table1[[#This Row],[Stream Internal]]</f>
        <v>ITES</v>
      </c>
      <c r="D140" s="1">
        <f>IF(ISBLANK(Table1[[#This Row],[Demand Date]]),"",Table1[[#This Row],[Demand Date]])</f>
        <v>45907</v>
      </c>
      <c r="E140" s="1">
        <f>IF(ISBLANK(Table1[[#This Row],[Date Job Requirement Released]]),"",Table1[[#This Row],[Date Job Requirement Released]])</f>
        <v>45968</v>
      </c>
      <c r="F140" s="1">
        <f>IF(ISBLANK(Table1[[#This Row],[Date Offered]]),"",Table1[[#This Row],[Date Offered]])</f>
        <v>45986</v>
      </c>
      <c r="G140" s="1">
        <f>IF(ISBLANK(Table1[[#This Row],[Date Onboarded]]),"",Table1[[#This Row],[Date Onboarded]])</f>
        <v>46017</v>
      </c>
      <c r="H140" t="str">
        <f>Table1[[#This Row],[Internal/External]]</f>
        <v>Internal</v>
      </c>
      <c r="I140">
        <f>Table1[[#This Row],[Pipeline Updated]]</f>
        <v>0</v>
      </c>
      <c r="J140">
        <f t="shared" si="5"/>
        <v>18</v>
      </c>
      <c r="K140">
        <f t="shared" si="4"/>
        <v>49</v>
      </c>
    </row>
    <row r="141" spans="1:11">
      <c r="A141">
        <f>Table1[[#This Row],[Role ID]]</f>
        <v>109</v>
      </c>
      <c r="B141" t="str">
        <f>Table1[[#This Row],[Role]]</f>
        <v>Field Service Technician</v>
      </c>
      <c r="C141" t="str">
        <f>Table1[[#This Row],[Stream Internal]]</f>
        <v>ITES</v>
      </c>
      <c r="D141" s="1">
        <f>IF(ISBLANK(Table1[[#This Row],[Demand Date]]),"",Table1[[#This Row],[Demand Date]])</f>
        <v>45820</v>
      </c>
      <c r="E141" s="1">
        <f>IF(ISBLANK(Table1[[#This Row],[Date Job Requirement Released]]),"",Table1[[#This Row],[Date Job Requirement Released]])</f>
        <v>45881</v>
      </c>
      <c r="F141" s="1" t="str">
        <f>IF(ISBLANK(Table1[[#This Row],[Date Offered]]),"",Table1[[#This Row],[Date Offered]])</f>
        <v/>
      </c>
      <c r="G141" s="1" t="str">
        <f>IF(ISBLANK(Table1[[#This Row],[Date Onboarded]]),"",Table1[[#This Row],[Date Onboarded]])</f>
        <v/>
      </c>
      <c r="H141" t="str">
        <f>Table1[[#This Row],[Internal/External]]</f>
        <v>Internal</v>
      </c>
      <c r="I141">
        <f>Table1[[#This Row],[Pipeline Updated]]</f>
        <v>0</v>
      </c>
      <c r="J141" t="str">
        <f t="shared" si="5"/>
        <v/>
      </c>
      <c r="K141" t="str">
        <f t="shared" si="4"/>
        <v/>
      </c>
    </row>
    <row r="142" spans="1:11">
      <c r="A142">
        <f>Table1[[#This Row],[Role ID]]</f>
        <v>110</v>
      </c>
      <c r="B142" t="str">
        <f>Table1[[#This Row],[Role]]</f>
        <v>Innovation Manager</v>
      </c>
      <c r="C142" t="str">
        <f>Table1[[#This Row],[Stream Internal]]</f>
        <v>RND</v>
      </c>
      <c r="D142" s="1">
        <f>IF(ISBLANK(Table1[[#This Row],[Demand Date]]),"",Table1[[#This Row],[Demand Date]])</f>
        <v>45842</v>
      </c>
      <c r="E142" s="1">
        <f>IF(ISBLANK(Table1[[#This Row],[Date Job Requirement Released]]),"",Table1[[#This Row],[Date Job Requirement Released]])</f>
        <v>45899</v>
      </c>
      <c r="F142" s="1">
        <f>IF(ISBLANK(Table1[[#This Row],[Date Offered]]),"",Table1[[#This Row],[Date Offered]])</f>
        <v>45915</v>
      </c>
      <c r="G142" s="1">
        <f>IF(ISBLANK(Table1[[#This Row],[Date Onboarded]]),"",Table1[[#This Row],[Date Onboarded]])</f>
        <v>45977</v>
      </c>
      <c r="H142" t="str">
        <f>Table1[[#This Row],[Internal/External]]</f>
        <v>Internal</v>
      </c>
      <c r="I142">
        <f>Table1[[#This Row],[Pipeline Updated]]</f>
        <v>2</v>
      </c>
      <c r="J142">
        <f t="shared" si="5"/>
        <v>16</v>
      </c>
      <c r="K142">
        <f t="shared" si="4"/>
        <v>78</v>
      </c>
    </row>
    <row r="143" spans="1:11">
      <c r="A143">
        <f>Table1[[#This Row],[Role ID]]</f>
        <v>111</v>
      </c>
      <c r="B143" t="str">
        <f>Table1[[#This Row],[Role]]</f>
        <v>Sales Manager</v>
      </c>
      <c r="C143" t="str">
        <f>Table1[[#This Row],[Stream Internal]]</f>
        <v>SAM</v>
      </c>
      <c r="D143" s="1">
        <f>IF(ISBLANK(Table1[[#This Row],[Demand Date]]),"",Table1[[#This Row],[Demand Date]])</f>
        <v>45826</v>
      </c>
      <c r="E143" s="1">
        <f>IF(ISBLANK(Table1[[#This Row],[Date Job Requirement Released]]),"",Table1[[#This Row],[Date Job Requirement Released]])</f>
        <v>45887</v>
      </c>
      <c r="F143" s="1" t="str">
        <f>IF(ISBLANK(Table1[[#This Row],[Date Offered]]),"",Table1[[#This Row],[Date Offered]])</f>
        <v/>
      </c>
      <c r="G143" s="1" t="str">
        <f>IF(ISBLANK(Table1[[#This Row],[Date Onboarded]]),"",Table1[[#This Row],[Date Onboarded]])</f>
        <v/>
      </c>
      <c r="H143" t="str">
        <f>Table1[[#This Row],[Internal/External]]</f>
        <v>External</v>
      </c>
      <c r="I143">
        <f>Table1[[#This Row],[Pipeline Updated]]</f>
        <v>0</v>
      </c>
      <c r="J143" t="str">
        <f t="shared" si="5"/>
        <v/>
      </c>
      <c r="K143" t="str">
        <f t="shared" si="4"/>
        <v/>
      </c>
    </row>
    <row r="144" spans="1:11">
      <c r="A144">
        <f>Table1[[#This Row],[Role ID]]</f>
        <v>112</v>
      </c>
      <c r="B144" t="str">
        <f>Table1[[#This Row],[Role]]</f>
        <v>R&amp;D Project Lead</v>
      </c>
      <c r="C144" t="str">
        <f>Table1[[#This Row],[Stream Internal]]</f>
        <v>RND</v>
      </c>
      <c r="D144" s="1">
        <f>IF(ISBLANK(Table1[[#This Row],[Demand Date]]),"",Table1[[#This Row],[Demand Date]])</f>
        <v>45822</v>
      </c>
      <c r="E144" s="1">
        <f>IF(ISBLANK(Table1[[#This Row],[Date Job Requirement Released]]),"",Table1[[#This Row],[Date Job Requirement Released]])</f>
        <v>45889</v>
      </c>
      <c r="F144" s="1" t="str">
        <f>IF(ISBLANK(Table1[[#This Row],[Date Offered]]),"",Table1[[#This Row],[Date Offered]])</f>
        <v/>
      </c>
      <c r="G144" s="1" t="str">
        <f>IF(ISBLANK(Table1[[#This Row],[Date Onboarded]]),"",Table1[[#This Row],[Date Onboarded]])</f>
        <v/>
      </c>
      <c r="H144" t="str">
        <f>Table1[[#This Row],[Internal/External]]</f>
        <v>Internal</v>
      </c>
      <c r="I144">
        <f>Table1[[#This Row],[Pipeline Updated]]</f>
        <v>0</v>
      </c>
      <c r="J144" t="str">
        <f t="shared" si="5"/>
        <v/>
      </c>
      <c r="K144" t="str">
        <f t="shared" si="4"/>
        <v/>
      </c>
    </row>
    <row r="145" spans="1:11">
      <c r="A145">
        <f>Table1[[#This Row],[Role ID]]</f>
        <v>113</v>
      </c>
      <c r="B145" t="str">
        <f>Table1[[#This Row],[Role]]</f>
        <v>Principal Engineer</v>
      </c>
      <c r="C145" t="str">
        <f>Table1[[#This Row],[Stream Internal]]</f>
        <v>ENGG</v>
      </c>
      <c r="D145" s="1">
        <f>IF(ISBLANK(Table1[[#This Row],[Demand Date]]),"",Table1[[#This Row],[Demand Date]])</f>
        <v>45867</v>
      </c>
      <c r="E145" s="1">
        <f>IF(ISBLANK(Table1[[#This Row],[Date Job Requirement Released]]),"",Table1[[#This Row],[Date Job Requirement Released]])</f>
        <v>45915</v>
      </c>
      <c r="F145" s="1" t="str">
        <f>IF(ISBLANK(Table1[[#This Row],[Date Offered]]),"",Table1[[#This Row],[Date Offered]])</f>
        <v/>
      </c>
      <c r="G145" s="1" t="str">
        <f>IF(ISBLANK(Table1[[#This Row],[Date Onboarded]]),"",Table1[[#This Row],[Date Onboarded]])</f>
        <v/>
      </c>
      <c r="H145" t="str">
        <f>Table1[[#This Row],[Internal/External]]</f>
        <v>External</v>
      </c>
      <c r="I145">
        <f>Table1[[#This Row],[Pipeline Updated]]</f>
        <v>0</v>
      </c>
      <c r="J145" t="str">
        <f t="shared" si="5"/>
        <v/>
      </c>
      <c r="K145" t="str">
        <f t="shared" si="4"/>
        <v/>
      </c>
    </row>
    <row r="146" spans="1:11">
      <c r="A146">
        <f>Table1[[#This Row],[Role ID]]</f>
        <v>114</v>
      </c>
      <c r="B146" t="str">
        <f>Table1[[#This Row],[Role]]</f>
        <v>Customer Support Specialist</v>
      </c>
      <c r="C146" t="str">
        <f>Table1[[#This Row],[Stream Internal]]</f>
        <v>SAM</v>
      </c>
      <c r="D146" s="1">
        <f>IF(ISBLANK(Table1[[#This Row],[Demand Date]]),"",Table1[[#This Row],[Demand Date]])</f>
        <v>45856</v>
      </c>
      <c r="E146" s="1">
        <f>IF(ISBLANK(Table1[[#This Row],[Date Job Requirement Released]]),"",Table1[[#This Row],[Date Job Requirement Released]])</f>
        <v>45915</v>
      </c>
      <c r="F146" s="1" t="str">
        <f>IF(ISBLANK(Table1[[#This Row],[Date Offered]]),"",Table1[[#This Row],[Date Offered]])</f>
        <v/>
      </c>
      <c r="G146" s="1" t="str">
        <f>IF(ISBLANK(Table1[[#This Row],[Date Onboarded]]),"",Table1[[#This Row],[Date Onboarded]])</f>
        <v/>
      </c>
      <c r="H146" t="str">
        <f>Table1[[#This Row],[Internal/External]]</f>
        <v>Internal</v>
      </c>
      <c r="I146">
        <f>Table1[[#This Row],[Pipeline Updated]]</f>
        <v>0</v>
      </c>
      <c r="J146" t="str">
        <f t="shared" si="5"/>
        <v/>
      </c>
      <c r="K146" t="str">
        <f t="shared" si="4"/>
        <v/>
      </c>
    </row>
    <row r="147" spans="1:11">
      <c r="A147">
        <f>Table1[[#This Row],[Role ID]]</f>
        <v>9</v>
      </c>
      <c r="B147" t="str">
        <f>Table1[[#This Row],[Role]]</f>
        <v>Software Developer 1</v>
      </c>
      <c r="C147" t="str">
        <f>Table1[[#This Row],[Stream Internal]]</f>
        <v>ENGG</v>
      </c>
      <c r="D147" s="1">
        <f>IF(ISBLANK(Table1[[#This Row],[Demand Date]]),"",Table1[[#This Row],[Demand Date]])</f>
        <v>45845</v>
      </c>
      <c r="E147" s="1">
        <f>IF(ISBLANK(Table1[[#This Row],[Date Job Requirement Released]]),"",Table1[[#This Row],[Date Job Requirement Released]])</f>
        <v>45908</v>
      </c>
      <c r="F147" s="1" t="str">
        <f>IF(ISBLANK(Table1[[#This Row],[Date Offered]]),"",Table1[[#This Row],[Date Offered]])</f>
        <v/>
      </c>
      <c r="G147" s="1" t="str">
        <f>IF(ISBLANK(Table1[[#This Row],[Date Onboarded]]),"",Table1[[#This Row],[Date Onboarded]])</f>
        <v/>
      </c>
      <c r="H147" t="str">
        <f>Table1[[#This Row],[Internal/External]]</f>
        <v>Internal</v>
      </c>
      <c r="I147">
        <f>Table1[[#This Row],[Pipeline Updated]]</f>
        <v>0</v>
      </c>
      <c r="J147" t="str">
        <f t="shared" si="5"/>
        <v/>
      </c>
      <c r="K147" t="str">
        <f t="shared" si="4"/>
        <v/>
      </c>
    </row>
    <row r="148" spans="1:11">
      <c r="A148">
        <f>Table1[[#This Row],[Role ID]]</f>
        <v>98</v>
      </c>
      <c r="B148" t="str">
        <f>Table1[[#This Row],[Role]]</f>
        <v>R&amp;D Manager</v>
      </c>
      <c r="C148" t="str">
        <f>Table1[[#This Row],[Stream Internal]]</f>
        <v>RND</v>
      </c>
      <c r="D148" s="1">
        <f>IF(ISBLANK(Table1[[#This Row],[Demand Date]]),"",Table1[[#This Row],[Demand Date]])</f>
        <v>45849</v>
      </c>
      <c r="E148" s="1">
        <f>IF(ISBLANK(Table1[[#This Row],[Date Job Requirement Released]]),"",Table1[[#This Row],[Date Job Requirement Released]])</f>
        <v>45898</v>
      </c>
      <c r="F148" s="1">
        <f>IF(ISBLANK(Table1[[#This Row],[Date Offered]]),"",Table1[[#This Row],[Date Offered]])</f>
        <v>45910</v>
      </c>
      <c r="G148" s="1">
        <f>IF(ISBLANK(Table1[[#This Row],[Date Onboarded]]),"",Table1[[#This Row],[Date Onboarded]])</f>
        <v>45973</v>
      </c>
      <c r="H148" t="str">
        <f>Table1[[#This Row],[Internal/External]]</f>
        <v>Internal</v>
      </c>
      <c r="I148">
        <f>Table1[[#This Row],[Pipeline Updated]]</f>
        <v>2</v>
      </c>
      <c r="J148">
        <f t="shared" si="5"/>
        <v>12</v>
      </c>
      <c r="K148">
        <f t="shared" si="4"/>
        <v>75</v>
      </c>
    </row>
    <row r="149" spans="1:11">
      <c r="A149">
        <f>Table1[[#This Row],[Role ID]]</f>
        <v>34</v>
      </c>
      <c r="B149" t="str">
        <f>Table1[[#This Row],[Role]]</f>
        <v>Software Developer 1</v>
      </c>
      <c r="C149" t="str">
        <f>Table1[[#This Row],[Stream Internal]]</f>
        <v>ENGG</v>
      </c>
      <c r="D149" s="1">
        <f>IF(ISBLANK(Table1[[#This Row],[Demand Date]]),"",Table1[[#This Row],[Demand Date]])</f>
        <v>45834</v>
      </c>
      <c r="E149" s="1">
        <f>IF(ISBLANK(Table1[[#This Row],[Date Job Requirement Released]]),"",Table1[[#This Row],[Date Job Requirement Released]])</f>
        <v>45898</v>
      </c>
      <c r="F149" s="1" t="str">
        <f>IF(ISBLANK(Table1[[#This Row],[Date Offered]]),"",Table1[[#This Row],[Date Offered]])</f>
        <v/>
      </c>
      <c r="G149" s="1" t="str">
        <f>IF(ISBLANK(Table1[[#This Row],[Date Onboarded]]),"",Table1[[#This Row],[Date Onboarded]])</f>
        <v/>
      </c>
      <c r="H149" t="str">
        <f>Table1[[#This Row],[Internal/External]]</f>
        <v>Internal</v>
      </c>
      <c r="I149">
        <f>Table1[[#This Row],[Pipeline Updated]]</f>
        <v>0</v>
      </c>
      <c r="J149" t="str">
        <f t="shared" si="5"/>
        <v/>
      </c>
      <c r="K149" t="str">
        <f t="shared" si="4"/>
        <v/>
      </c>
    </row>
    <row r="150" spans="1:11">
      <c r="A150">
        <f>Table1[[#This Row],[Role ID]]</f>
        <v>20</v>
      </c>
      <c r="B150" t="str">
        <f>Table1[[#This Row],[Role]]</f>
        <v>Research Analyst</v>
      </c>
      <c r="C150" t="str">
        <f>Table1[[#This Row],[Stream Internal]]</f>
        <v>RND</v>
      </c>
      <c r="D150" s="1">
        <f>IF(ISBLANK(Table1[[#This Row],[Demand Date]]),"",Table1[[#This Row],[Demand Date]])</f>
        <v>45876</v>
      </c>
      <c r="E150" s="1">
        <f>IF(ISBLANK(Table1[[#This Row],[Date Job Requirement Released]]),"",Table1[[#This Row],[Date Job Requirement Released]])</f>
        <v>45935</v>
      </c>
      <c r="F150" s="1" t="str">
        <f>IF(ISBLANK(Table1[[#This Row],[Date Offered]]),"",Table1[[#This Row],[Date Offered]])</f>
        <v/>
      </c>
      <c r="G150" s="1" t="str">
        <f>IF(ISBLANK(Table1[[#This Row],[Date Onboarded]]),"",Table1[[#This Row],[Date Onboarded]])</f>
        <v/>
      </c>
      <c r="H150" t="str">
        <f>Table1[[#This Row],[Internal/External]]</f>
        <v>Internal</v>
      </c>
      <c r="I150">
        <f>Table1[[#This Row],[Pipeline Updated]]</f>
        <v>0</v>
      </c>
      <c r="J150" t="str">
        <f t="shared" si="5"/>
        <v/>
      </c>
      <c r="K150" t="str">
        <f t="shared" si="4"/>
        <v/>
      </c>
    </row>
    <row r="151" spans="1:11">
      <c r="A151">
        <f>Table1[[#This Row],[Role ID]]</f>
        <v>115</v>
      </c>
      <c r="B151" t="str">
        <f>Table1[[#This Row],[Role]]</f>
        <v>Application Support Analyst</v>
      </c>
      <c r="C151" t="str">
        <f>Table1[[#This Row],[Stream Internal]]</f>
        <v>ITES</v>
      </c>
      <c r="D151" s="1">
        <f>IF(ISBLANK(Table1[[#This Row],[Demand Date]]),"",Table1[[#This Row],[Demand Date]])</f>
        <v>45830</v>
      </c>
      <c r="E151" s="1">
        <f>IF(ISBLANK(Table1[[#This Row],[Date Job Requirement Released]]),"",Table1[[#This Row],[Date Job Requirement Released]])</f>
        <v>45891</v>
      </c>
      <c r="F151" s="1" t="str">
        <f>IF(ISBLANK(Table1[[#This Row],[Date Offered]]),"",Table1[[#This Row],[Date Offered]])</f>
        <v/>
      </c>
      <c r="G151" s="1" t="str">
        <f>IF(ISBLANK(Table1[[#This Row],[Date Onboarded]]),"",Table1[[#This Row],[Date Onboarded]])</f>
        <v/>
      </c>
      <c r="H151" t="str">
        <f>Table1[[#This Row],[Internal/External]]</f>
        <v>Internal</v>
      </c>
      <c r="I151">
        <f>Table1[[#This Row],[Pipeline Updated]]</f>
        <v>0</v>
      </c>
      <c r="J151" t="str">
        <f t="shared" si="5"/>
        <v/>
      </c>
      <c r="K151" t="str">
        <f t="shared" si="4"/>
        <v/>
      </c>
    </row>
    <row r="152" spans="1:11">
      <c r="A152">
        <f>Table1[[#This Row],[Role ID]]</f>
        <v>116</v>
      </c>
      <c r="B152" t="str">
        <f>Table1[[#This Row],[Role]]</f>
        <v>Principal Investigator</v>
      </c>
      <c r="C152" t="str">
        <f>Table1[[#This Row],[Stream Internal]]</f>
        <v>RND</v>
      </c>
      <c r="D152" s="1">
        <f>IF(ISBLANK(Table1[[#This Row],[Demand Date]]),"",Table1[[#This Row],[Demand Date]])</f>
        <v>45902</v>
      </c>
      <c r="E152" s="1">
        <f>IF(ISBLANK(Table1[[#This Row],[Date Job Requirement Released]]),"",Table1[[#This Row],[Date Job Requirement Released]])</f>
        <v>45952</v>
      </c>
      <c r="F152" s="1" t="str">
        <f>IF(ISBLANK(Table1[[#This Row],[Date Offered]]),"",Table1[[#This Row],[Date Offered]])</f>
        <v/>
      </c>
      <c r="G152" s="1" t="str">
        <f>IF(ISBLANK(Table1[[#This Row],[Date Onboarded]]),"",Table1[[#This Row],[Date Onboarded]])</f>
        <v/>
      </c>
      <c r="H152" t="str">
        <f>Table1[[#This Row],[Internal/External]]</f>
        <v>Internal</v>
      </c>
      <c r="I152">
        <f>Table1[[#This Row],[Pipeline Updated]]</f>
        <v>0</v>
      </c>
      <c r="J152" t="str">
        <f t="shared" si="5"/>
        <v/>
      </c>
      <c r="K152" t="str">
        <f t="shared" si="4"/>
        <v/>
      </c>
    </row>
    <row r="153" spans="1:11">
      <c r="A153">
        <f>Table1[[#This Row],[Role ID]]</f>
        <v>10</v>
      </c>
      <c r="B153" t="str">
        <f>Table1[[#This Row],[Role]]</f>
        <v>Sales Director</v>
      </c>
      <c r="C153" t="str">
        <f>Table1[[#This Row],[Stream Internal]]</f>
        <v>SAM</v>
      </c>
      <c r="D153" s="1">
        <f>IF(ISBLANK(Table1[[#This Row],[Demand Date]]),"",Table1[[#This Row],[Demand Date]])</f>
        <v>45863</v>
      </c>
      <c r="E153" s="1">
        <f>IF(ISBLANK(Table1[[#This Row],[Date Job Requirement Released]]),"",Table1[[#This Row],[Date Job Requirement Released]])</f>
        <v>45931</v>
      </c>
      <c r="F153" s="1">
        <f>IF(ISBLANK(Table1[[#This Row],[Date Offered]]),"",Table1[[#This Row],[Date Offered]])</f>
        <v>45946</v>
      </c>
      <c r="G153" s="1">
        <f>IF(ISBLANK(Table1[[#This Row],[Date Onboarded]]),"",Table1[[#This Row],[Date Onboarded]])</f>
        <v>46000</v>
      </c>
      <c r="H153" t="str">
        <f>Table1[[#This Row],[Internal/External]]</f>
        <v>Internal</v>
      </c>
      <c r="I153">
        <f>Table1[[#This Row],[Pipeline Updated]]</f>
        <v>2</v>
      </c>
      <c r="J153">
        <f t="shared" si="5"/>
        <v>15</v>
      </c>
      <c r="K153">
        <f t="shared" si="4"/>
        <v>69</v>
      </c>
    </row>
    <row r="154" spans="1:11">
      <c r="A154">
        <f>Table1[[#This Row],[Role ID]]</f>
        <v>69</v>
      </c>
      <c r="B154" t="str">
        <f>Table1[[#This Row],[Role]]</f>
        <v>Innovation Manager</v>
      </c>
      <c r="C154" t="str">
        <f>Table1[[#This Row],[Stream Internal]]</f>
        <v>RND</v>
      </c>
      <c r="D154" s="1">
        <f>IF(ISBLANK(Table1[[#This Row],[Demand Date]]),"",Table1[[#This Row],[Demand Date]])</f>
        <v>45889</v>
      </c>
      <c r="E154" s="1">
        <f>IF(ISBLANK(Table1[[#This Row],[Date Job Requirement Released]]),"",Table1[[#This Row],[Date Job Requirement Released]])</f>
        <v>45949</v>
      </c>
      <c r="F154" s="1" t="str">
        <f>IF(ISBLANK(Table1[[#This Row],[Date Offered]]),"",Table1[[#This Row],[Date Offered]])</f>
        <v/>
      </c>
      <c r="G154" s="1" t="str">
        <f>IF(ISBLANK(Table1[[#This Row],[Date Onboarded]]),"",Table1[[#This Row],[Date Onboarded]])</f>
        <v/>
      </c>
      <c r="H154" t="str">
        <f>Table1[[#This Row],[Internal/External]]</f>
        <v>Internal</v>
      </c>
      <c r="I154">
        <f>Table1[[#This Row],[Pipeline Updated]]</f>
        <v>0</v>
      </c>
      <c r="J154" t="str">
        <f t="shared" si="5"/>
        <v/>
      </c>
      <c r="K154" t="str">
        <f t="shared" si="4"/>
        <v/>
      </c>
    </row>
    <row r="155" spans="1:11">
      <c r="A155">
        <f>Table1[[#This Row],[Role ID]]</f>
        <v>45</v>
      </c>
      <c r="B155" t="str">
        <f>Table1[[#This Row],[Role]]</f>
        <v>Technical Support Analyst</v>
      </c>
      <c r="C155" t="str">
        <f>Table1[[#This Row],[Stream Internal]]</f>
        <v>ITES</v>
      </c>
      <c r="D155" s="1">
        <f>IF(ISBLANK(Table1[[#This Row],[Demand Date]]),"",Table1[[#This Row],[Demand Date]])</f>
        <v>45890</v>
      </c>
      <c r="E155" s="1">
        <f>IF(ISBLANK(Table1[[#This Row],[Date Job Requirement Released]]),"",Table1[[#This Row],[Date Job Requirement Released]])</f>
        <v>45952</v>
      </c>
      <c r="F155" s="1">
        <f>IF(ISBLANK(Table1[[#This Row],[Date Offered]]),"",Table1[[#This Row],[Date Offered]])</f>
        <v>45968</v>
      </c>
      <c r="G155" s="1">
        <f>IF(ISBLANK(Table1[[#This Row],[Date Onboarded]]),"",Table1[[#This Row],[Date Onboarded]])</f>
        <v>46037</v>
      </c>
      <c r="H155" t="str">
        <f>Table1[[#This Row],[Internal/External]]</f>
        <v>Internal</v>
      </c>
      <c r="I155">
        <f>Table1[[#This Row],[Pipeline Updated]]</f>
        <v>0</v>
      </c>
      <c r="J155">
        <f t="shared" si="5"/>
        <v>16</v>
      </c>
      <c r="K155">
        <f t="shared" si="4"/>
        <v>85</v>
      </c>
    </row>
    <row r="156" spans="1:11">
      <c r="A156">
        <f>Table1[[#This Row],[Role ID]]</f>
        <v>117</v>
      </c>
      <c r="B156" t="str">
        <f>Table1[[#This Row],[Role]]</f>
        <v>R&amp;D Engineer</v>
      </c>
      <c r="C156" t="str">
        <f>Table1[[#This Row],[Stream Internal]]</f>
        <v>RND</v>
      </c>
      <c r="D156" s="1">
        <f>IF(ISBLANK(Table1[[#This Row],[Demand Date]]),"",Table1[[#This Row],[Demand Date]])</f>
        <v>45907</v>
      </c>
      <c r="E156" s="1">
        <f>IF(ISBLANK(Table1[[#This Row],[Date Job Requirement Released]]),"",Table1[[#This Row],[Date Job Requirement Released]])</f>
        <v>45967</v>
      </c>
      <c r="F156" s="1">
        <f>IF(ISBLANK(Table1[[#This Row],[Date Offered]]),"",Table1[[#This Row],[Date Offered]])</f>
        <v>45977</v>
      </c>
      <c r="G156" s="1">
        <f>IF(ISBLANK(Table1[[#This Row],[Date Onboarded]]),"",Table1[[#This Row],[Date Onboarded]])</f>
        <v>46040</v>
      </c>
      <c r="H156" t="str">
        <f>Table1[[#This Row],[Internal/External]]</f>
        <v>External</v>
      </c>
      <c r="I156">
        <f>Table1[[#This Row],[Pipeline Updated]]</f>
        <v>1</v>
      </c>
      <c r="J156">
        <f t="shared" si="5"/>
        <v>10</v>
      </c>
      <c r="K156">
        <f t="shared" si="4"/>
        <v>73</v>
      </c>
    </row>
    <row r="157" spans="1:11">
      <c r="A157">
        <f>Table1[[#This Row],[Role ID]]</f>
        <v>118</v>
      </c>
      <c r="B157" t="str">
        <f>Table1[[#This Row],[Role]]</f>
        <v>Sales Director</v>
      </c>
      <c r="C157" t="str">
        <f>Table1[[#This Row],[Stream Internal]]</f>
        <v>SAM</v>
      </c>
      <c r="D157" s="1">
        <f>IF(ISBLANK(Table1[[#This Row],[Demand Date]]),"",Table1[[#This Row],[Demand Date]])</f>
        <v>45915</v>
      </c>
      <c r="E157" s="1">
        <f>IF(ISBLANK(Table1[[#This Row],[Date Job Requirement Released]]),"",Table1[[#This Row],[Date Job Requirement Released]])</f>
        <v>45960</v>
      </c>
      <c r="F157" s="1">
        <f>IF(ISBLANK(Table1[[#This Row],[Date Offered]]),"",Table1[[#This Row],[Date Offered]])</f>
        <v>45979</v>
      </c>
      <c r="G157" s="1">
        <f>IF(ISBLANK(Table1[[#This Row],[Date Onboarded]]),"",Table1[[#This Row],[Date Onboarded]])</f>
        <v>45997</v>
      </c>
      <c r="H157" t="str">
        <f>Table1[[#This Row],[Internal/External]]</f>
        <v>Internal</v>
      </c>
      <c r="I157">
        <f>Table1[[#This Row],[Pipeline Updated]]</f>
        <v>0</v>
      </c>
      <c r="J157">
        <f t="shared" si="5"/>
        <v>19</v>
      </c>
      <c r="K157">
        <f t="shared" si="4"/>
        <v>37</v>
      </c>
    </row>
    <row r="158" spans="1:11">
      <c r="A158">
        <f>Table1[[#This Row],[Role ID]]</f>
        <v>119</v>
      </c>
      <c r="B158" t="str">
        <f>Table1[[#This Row],[Role]]</f>
        <v>Software Developer 2</v>
      </c>
      <c r="C158" t="str">
        <f>Table1[[#This Row],[Stream Internal]]</f>
        <v>ENGG</v>
      </c>
      <c r="D158" s="1">
        <f>IF(ISBLANK(Table1[[#This Row],[Demand Date]]),"",Table1[[#This Row],[Demand Date]])</f>
        <v>45922</v>
      </c>
      <c r="E158" s="1">
        <f>IF(ISBLANK(Table1[[#This Row],[Date Job Requirement Released]]),"",Table1[[#This Row],[Date Job Requirement Released]])</f>
        <v>45990</v>
      </c>
      <c r="F158" s="1">
        <f>IF(ISBLANK(Table1[[#This Row],[Date Offered]]),"",Table1[[#This Row],[Date Offered]])</f>
        <v>46010</v>
      </c>
      <c r="G158" s="1">
        <f>IF(ISBLANK(Table1[[#This Row],[Date Onboarded]]),"",Table1[[#This Row],[Date Onboarded]])</f>
        <v>46080</v>
      </c>
      <c r="H158" t="str">
        <f>Table1[[#This Row],[Internal/External]]</f>
        <v>Internal</v>
      </c>
      <c r="I158">
        <f>Table1[[#This Row],[Pipeline Updated]]</f>
        <v>2</v>
      </c>
      <c r="J158">
        <f t="shared" si="5"/>
        <v>20</v>
      </c>
      <c r="K158">
        <f t="shared" si="4"/>
        <v>90</v>
      </c>
    </row>
    <row r="159" spans="1:11">
      <c r="A159">
        <f>Table1[[#This Row],[Role ID]]</f>
        <v>119</v>
      </c>
      <c r="B159" t="str">
        <f>Table1[[#This Row],[Role]]</f>
        <v>Software Developer 2</v>
      </c>
      <c r="C159" t="str">
        <f>Table1[[#This Row],[Stream Internal]]</f>
        <v>ENGG</v>
      </c>
      <c r="D159" s="1">
        <f>IF(ISBLANK(Table1[[#This Row],[Demand Date]]),"",Table1[[#This Row],[Demand Date]])</f>
        <v>45906</v>
      </c>
      <c r="E159" s="1">
        <f>IF(ISBLANK(Table1[[#This Row],[Date Job Requirement Released]]),"",Table1[[#This Row],[Date Job Requirement Released]])</f>
        <v>45961</v>
      </c>
      <c r="F159" s="1">
        <f>IF(ISBLANK(Table1[[#This Row],[Date Offered]]),"",Table1[[#This Row],[Date Offered]])</f>
        <v>45974</v>
      </c>
      <c r="G159" s="1">
        <f>IF(ISBLANK(Table1[[#This Row],[Date Onboarded]]),"",Table1[[#This Row],[Date Onboarded]])</f>
        <v>46002</v>
      </c>
      <c r="H159" t="str">
        <f>Table1[[#This Row],[Internal/External]]</f>
        <v>Internal</v>
      </c>
      <c r="I159">
        <f>Table1[[#This Row],[Pipeline Updated]]</f>
        <v>2</v>
      </c>
      <c r="J159">
        <f t="shared" si="5"/>
        <v>13</v>
      </c>
      <c r="K159">
        <f t="shared" si="4"/>
        <v>41</v>
      </c>
    </row>
    <row r="160" spans="1:11">
      <c r="A160">
        <f>Table1[[#This Row],[Role ID]]</f>
        <v>120</v>
      </c>
      <c r="B160" t="str">
        <f>Table1[[#This Row],[Role]]</f>
        <v>R&amp;D Project Lead</v>
      </c>
      <c r="C160" t="str">
        <f>Table1[[#This Row],[Stream Internal]]</f>
        <v>RND</v>
      </c>
      <c r="D160" s="1">
        <f>IF(ISBLANK(Table1[[#This Row],[Demand Date]]),"",Table1[[#This Row],[Demand Date]])</f>
        <v>45848</v>
      </c>
      <c r="E160" s="1">
        <f>IF(ISBLANK(Table1[[#This Row],[Date Job Requirement Released]]),"",Table1[[#This Row],[Date Job Requirement Released]])</f>
        <v>45914</v>
      </c>
      <c r="F160" s="1" t="str">
        <f>IF(ISBLANK(Table1[[#This Row],[Date Offered]]),"",Table1[[#This Row],[Date Offered]])</f>
        <v/>
      </c>
      <c r="G160" s="1" t="str">
        <f>IF(ISBLANK(Table1[[#This Row],[Date Onboarded]]),"",Table1[[#This Row],[Date Onboarded]])</f>
        <v/>
      </c>
      <c r="H160" t="str">
        <f>Table1[[#This Row],[Internal/External]]</f>
        <v>Internal</v>
      </c>
      <c r="I160">
        <f>Table1[[#This Row],[Pipeline Updated]]</f>
        <v>0</v>
      </c>
      <c r="J160" t="str">
        <f t="shared" si="5"/>
        <v/>
      </c>
      <c r="K160" t="str">
        <f t="shared" si="4"/>
        <v/>
      </c>
    </row>
    <row r="161" spans="1:11">
      <c r="A161">
        <f>Table1[[#This Row],[Role ID]]</f>
        <v>121</v>
      </c>
      <c r="B161" t="str">
        <f>Table1[[#This Row],[Role]]</f>
        <v>IT Support Specialist</v>
      </c>
      <c r="C161" t="str">
        <f>Table1[[#This Row],[Stream Internal]]</f>
        <v>ITES</v>
      </c>
      <c r="D161" s="1">
        <f>IF(ISBLANK(Table1[[#This Row],[Demand Date]]),"",Table1[[#This Row],[Demand Date]])</f>
        <v>45862</v>
      </c>
      <c r="E161" s="1">
        <f>IF(ISBLANK(Table1[[#This Row],[Date Job Requirement Released]]),"",Table1[[#This Row],[Date Job Requirement Released]])</f>
        <v>45924</v>
      </c>
      <c r="F161" s="1" t="str">
        <f>IF(ISBLANK(Table1[[#This Row],[Date Offered]]),"",Table1[[#This Row],[Date Offered]])</f>
        <v/>
      </c>
      <c r="G161" s="1" t="str">
        <f>IF(ISBLANK(Table1[[#This Row],[Date Onboarded]]),"",Table1[[#This Row],[Date Onboarded]])</f>
        <v/>
      </c>
      <c r="H161" t="str">
        <f>Table1[[#This Row],[Internal/External]]</f>
        <v>Internal</v>
      </c>
      <c r="I161">
        <f>Table1[[#This Row],[Pipeline Updated]]</f>
        <v>0</v>
      </c>
      <c r="J161" t="str">
        <f t="shared" si="5"/>
        <v/>
      </c>
      <c r="K161" t="str">
        <f t="shared" si="4"/>
        <v/>
      </c>
    </row>
    <row r="162" spans="1:11">
      <c r="A162">
        <f>Table1[[#This Row],[Role ID]]</f>
        <v>122</v>
      </c>
      <c r="B162" t="str">
        <f>Table1[[#This Row],[Role]]</f>
        <v>R&amp;D Engineer</v>
      </c>
      <c r="C162" t="str">
        <f>Table1[[#This Row],[Stream Internal]]</f>
        <v>RND</v>
      </c>
      <c r="D162" s="1">
        <f>IF(ISBLANK(Table1[[#This Row],[Demand Date]]),"",Table1[[#This Row],[Demand Date]])</f>
        <v>45845</v>
      </c>
      <c r="E162" s="1">
        <f>IF(ISBLANK(Table1[[#This Row],[Date Job Requirement Released]]),"",Table1[[#This Row],[Date Job Requirement Released]])</f>
        <v>45919</v>
      </c>
      <c r="F162" s="1" t="str">
        <f>IF(ISBLANK(Table1[[#This Row],[Date Offered]]),"",Table1[[#This Row],[Date Offered]])</f>
        <v/>
      </c>
      <c r="G162" s="1" t="str">
        <f>IF(ISBLANK(Table1[[#This Row],[Date Onboarded]]),"",Table1[[#This Row],[Date Onboarded]])</f>
        <v/>
      </c>
      <c r="H162" t="str">
        <f>Table1[[#This Row],[Internal/External]]</f>
        <v>Internal</v>
      </c>
      <c r="I162">
        <f>Table1[[#This Row],[Pipeline Updated]]</f>
        <v>0</v>
      </c>
      <c r="J162" t="str">
        <f t="shared" si="5"/>
        <v/>
      </c>
      <c r="K162" t="str">
        <f t="shared" si="4"/>
        <v/>
      </c>
    </row>
    <row r="163" spans="1:11">
      <c r="A163">
        <f>Table1[[#This Row],[Role ID]]</f>
        <v>123</v>
      </c>
      <c r="B163" t="str">
        <f>Table1[[#This Row],[Role]]</f>
        <v>Software Developer 2</v>
      </c>
      <c r="C163" t="str">
        <f>Table1[[#This Row],[Stream Internal]]</f>
        <v>ENGG</v>
      </c>
      <c r="D163" s="1">
        <f>IF(ISBLANK(Table1[[#This Row],[Demand Date]]),"",Table1[[#This Row],[Demand Date]])</f>
        <v>45881</v>
      </c>
      <c r="E163" s="1">
        <f>IF(ISBLANK(Table1[[#This Row],[Date Job Requirement Released]]),"",Table1[[#This Row],[Date Job Requirement Released]])</f>
        <v>45946</v>
      </c>
      <c r="F163" s="1" t="str">
        <f>IF(ISBLANK(Table1[[#This Row],[Date Offered]]),"",Table1[[#This Row],[Date Offered]])</f>
        <v/>
      </c>
      <c r="G163" s="1" t="str">
        <f>IF(ISBLANK(Table1[[#This Row],[Date Onboarded]]),"",Table1[[#This Row],[Date Onboarded]])</f>
        <v/>
      </c>
      <c r="H163" t="str">
        <f>Table1[[#This Row],[Internal/External]]</f>
        <v>Internal</v>
      </c>
      <c r="I163">
        <f>Table1[[#This Row],[Pipeline Updated]]</f>
        <v>0</v>
      </c>
      <c r="J163" t="str">
        <f t="shared" si="5"/>
        <v/>
      </c>
      <c r="K163" t="str">
        <f t="shared" si="4"/>
        <v/>
      </c>
    </row>
    <row r="164" spans="1:11">
      <c r="A164">
        <f>Table1[[#This Row],[Role ID]]</f>
        <v>124</v>
      </c>
      <c r="B164" t="str">
        <f>Table1[[#This Row],[Role]]</f>
        <v>Software Developer 1</v>
      </c>
      <c r="C164" t="str">
        <f>Table1[[#This Row],[Stream Internal]]</f>
        <v>ENGG</v>
      </c>
      <c r="D164" s="1">
        <f>IF(ISBLANK(Table1[[#This Row],[Demand Date]]),"",Table1[[#This Row],[Demand Date]])</f>
        <v>45920</v>
      </c>
      <c r="E164" s="1">
        <f>IF(ISBLANK(Table1[[#This Row],[Date Job Requirement Released]]),"",Table1[[#This Row],[Date Job Requirement Released]])</f>
        <v>45973</v>
      </c>
      <c r="F164" s="1">
        <f>IF(ISBLANK(Table1[[#This Row],[Date Offered]]),"",Table1[[#This Row],[Date Offered]])</f>
        <v>45991</v>
      </c>
      <c r="G164" s="1">
        <f>IF(ISBLANK(Table1[[#This Row],[Date Onboarded]]),"",Table1[[#This Row],[Date Onboarded]])</f>
        <v>46039</v>
      </c>
      <c r="H164" t="str">
        <f>Table1[[#This Row],[Internal/External]]</f>
        <v>Internal</v>
      </c>
      <c r="I164">
        <f>Table1[[#This Row],[Pipeline Updated]]</f>
        <v>0</v>
      </c>
      <c r="J164">
        <f t="shared" si="5"/>
        <v>18</v>
      </c>
      <c r="K164">
        <f t="shared" si="4"/>
        <v>66</v>
      </c>
    </row>
    <row r="165" spans="1:11">
      <c r="A165">
        <f>Table1[[#This Row],[Role ID]]</f>
        <v>125</v>
      </c>
      <c r="B165" t="str">
        <f>Table1[[#This Row],[Role]]</f>
        <v>Product Marketing Manager</v>
      </c>
      <c r="C165" t="str">
        <f>Table1[[#This Row],[Stream Internal]]</f>
        <v>SAM</v>
      </c>
      <c r="D165" s="1">
        <f>IF(ISBLANK(Table1[[#This Row],[Demand Date]]),"",Table1[[#This Row],[Demand Date]])</f>
        <v>45852</v>
      </c>
      <c r="E165" s="1">
        <f>IF(ISBLANK(Table1[[#This Row],[Date Job Requirement Released]]),"",Table1[[#This Row],[Date Job Requirement Released]])</f>
        <v>45910</v>
      </c>
      <c r="F165" s="1" t="str">
        <f>IF(ISBLANK(Table1[[#This Row],[Date Offered]]),"",Table1[[#This Row],[Date Offered]])</f>
        <v/>
      </c>
      <c r="G165" s="1" t="str">
        <f>IF(ISBLANK(Table1[[#This Row],[Date Onboarded]]),"",Table1[[#This Row],[Date Onboarded]])</f>
        <v/>
      </c>
      <c r="H165" t="str">
        <f>Table1[[#This Row],[Internal/External]]</f>
        <v>Internal</v>
      </c>
      <c r="I165">
        <f>Table1[[#This Row],[Pipeline Updated]]</f>
        <v>0</v>
      </c>
      <c r="J165" t="str">
        <f t="shared" si="5"/>
        <v/>
      </c>
      <c r="K165" t="str">
        <f t="shared" si="4"/>
        <v/>
      </c>
    </row>
    <row r="166" spans="1:11">
      <c r="A166">
        <f>Table1[[#This Row],[Role ID]]</f>
        <v>126</v>
      </c>
      <c r="B166" t="str">
        <f>Table1[[#This Row],[Role]]</f>
        <v>Principal Investigator</v>
      </c>
      <c r="C166" t="str">
        <f>Table1[[#This Row],[Stream Internal]]</f>
        <v>RND</v>
      </c>
      <c r="D166" s="1">
        <f>IF(ISBLANK(Table1[[#This Row],[Demand Date]]),"",Table1[[#This Row],[Demand Date]])</f>
        <v>45867</v>
      </c>
      <c r="E166" s="1">
        <f>IF(ISBLANK(Table1[[#This Row],[Date Job Requirement Released]]),"",Table1[[#This Row],[Date Job Requirement Released]])</f>
        <v>45940</v>
      </c>
      <c r="F166" s="1" t="str">
        <f>IF(ISBLANK(Table1[[#This Row],[Date Offered]]),"",Table1[[#This Row],[Date Offered]])</f>
        <v/>
      </c>
      <c r="G166" s="1" t="str">
        <f>IF(ISBLANK(Table1[[#This Row],[Date Onboarded]]),"",Table1[[#This Row],[Date Onboarded]])</f>
        <v/>
      </c>
      <c r="H166" t="str">
        <f>Table1[[#This Row],[Internal/External]]</f>
        <v>External</v>
      </c>
      <c r="I166">
        <f>Table1[[#This Row],[Pipeline Updated]]</f>
        <v>0</v>
      </c>
      <c r="J166" t="str">
        <f t="shared" si="5"/>
        <v/>
      </c>
      <c r="K166" t="str">
        <f t="shared" si="4"/>
        <v/>
      </c>
    </row>
    <row r="167" spans="1:11">
      <c r="A167">
        <f>Table1[[#This Row],[Role ID]]</f>
        <v>15</v>
      </c>
      <c r="B167" t="str">
        <f>Table1[[#This Row],[Role]]</f>
        <v>Brand Manager</v>
      </c>
      <c r="C167" t="str">
        <f>Table1[[#This Row],[Stream Internal]]</f>
        <v>SAM</v>
      </c>
      <c r="D167" s="1">
        <f>IF(ISBLANK(Table1[[#This Row],[Demand Date]]),"",Table1[[#This Row],[Demand Date]])</f>
        <v>45822</v>
      </c>
      <c r="E167" s="1">
        <f>IF(ISBLANK(Table1[[#This Row],[Date Job Requirement Released]]),"",Table1[[#This Row],[Date Job Requirement Released]])</f>
        <v>45879</v>
      </c>
      <c r="F167" s="1" t="str">
        <f>IF(ISBLANK(Table1[[#This Row],[Date Offered]]),"",Table1[[#This Row],[Date Offered]])</f>
        <v/>
      </c>
      <c r="G167" s="1" t="str">
        <f>IF(ISBLANK(Table1[[#This Row],[Date Onboarded]]),"",Table1[[#This Row],[Date Onboarded]])</f>
        <v/>
      </c>
      <c r="H167" t="str">
        <f>Table1[[#This Row],[Internal/External]]</f>
        <v>Internal</v>
      </c>
      <c r="I167">
        <f>Table1[[#This Row],[Pipeline Updated]]</f>
        <v>0</v>
      </c>
      <c r="J167" t="str">
        <f t="shared" si="5"/>
        <v/>
      </c>
      <c r="K167" t="str">
        <f t="shared" si="4"/>
        <v/>
      </c>
    </row>
    <row r="168" spans="1:11">
      <c r="A168">
        <f>Table1[[#This Row],[Role ID]]</f>
        <v>127</v>
      </c>
      <c r="B168" t="str">
        <f>Table1[[#This Row],[Role]]</f>
        <v>IT Support Specialist</v>
      </c>
      <c r="C168" t="str">
        <f>Table1[[#This Row],[Stream Internal]]</f>
        <v>ITES</v>
      </c>
      <c r="D168" s="1">
        <f>IF(ISBLANK(Table1[[#This Row],[Demand Date]]),"",Table1[[#This Row],[Demand Date]])</f>
        <v>45903</v>
      </c>
      <c r="E168" s="1">
        <f>IF(ISBLANK(Table1[[#This Row],[Date Job Requirement Released]]),"",Table1[[#This Row],[Date Job Requirement Released]])</f>
        <v>45951</v>
      </c>
      <c r="F168" s="1">
        <f>IF(ISBLANK(Table1[[#This Row],[Date Offered]]),"",Table1[[#This Row],[Date Offered]])</f>
        <v>45971</v>
      </c>
      <c r="G168" s="1">
        <f>IF(ISBLANK(Table1[[#This Row],[Date Onboarded]]),"",Table1[[#This Row],[Date Onboarded]])</f>
        <v>46052</v>
      </c>
      <c r="H168" t="str">
        <f>Table1[[#This Row],[Internal/External]]</f>
        <v>Internal</v>
      </c>
      <c r="I168">
        <f>Table1[[#This Row],[Pipeline Updated]]</f>
        <v>2</v>
      </c>
      <c r="J168">
        <f t="shared" si="5"/>
        <v>20</v>
      </c>
      <c r="K168">
        <f t="shared" si="4"/>
        <v>101</v>
      </c>
    </row>
    <row r="169" spans="1:11">
      <c r="A169">
        <f>Table1[[#This Row],[Role ID]]</f>
        <v>128</v>
      </c>
      <c r="B169" t="str">
        <f>Table1[[#This Row],[Role]]</f>
        <v>Technical Support Analyst</v>
      </c>
      <c r="C169" t="str">
        <f>Table1[[#This Row],[Stream Internal]]</f>
        <v>ITES</v>
      </c>
      <c r="D169" s="1">
        <f>IF(ISBLANK(Table1[[#This Row],[Demand Date]]),"",Table1[[#This Row],[Demand Date]])</f>
        <v>45903</v>
      </c>
      <c r="E169" s="1">
        <f>IF(ISBLANK(Table1[[#This Row],[Date Job Requirement Released]]),"",Table1[[#This Row],[Date Job Requirement Released]])</f>
        <v>45974</v>
      </c>
      <c r="F169" s="1">
        <f>IF(ISBLANK(Table1[[#This Row],[Date Offered]]),"",Table1[[#This Row],[Date Offered]])</f>
        <v>45988</v>
      </c>
      <c r="G169" s="1">
        <f>IF(ISBLANK(Table1[[#This Row],[Date Onboarded]]),"",Table1[[#This Row],[Date Onboarded]])</f>
        <v>46048</v>
      </c>
      <c r="H169" t="str">
        <f>Table1[[#This Row],[Internal/External]]</f>
        <v>Internal</v>
      </c>
      <c r="I169">
        <f>Table1[[#This Row],[Pipeline Updated]]</f>
        <v>0</v>
      </c>
      <c r="J169">
        <f t="shared" si="5"/>
        <v>14</v>
      </c>
      <c r="K169">
        <f t="shared" si="4"/>
        <v>74</v>
      </c>
    </row>
    <row r="170" spans="1:11">
      <c r="A170">
        <f>Table1[[#This Row],[Role ID]]</f>
        <v>8</v>
      </c>
      <c r="B170" t="str">
        <f>Table1[[#This Row],[Role]]</f>
        <v>System Administrator</v>
      </c>
      <c r="C170" t="str">
        <f>Table1[[#This Row],[Stream Internal]]</f>
        <v>ITES</v>
      </c>
      <c r="D170" s="1">
        <f>IF(ISBLANK(Table1[[#This Row],[Demand Date]]),"",Table1[[#This Row],[Demand Date]])</f>
        <v>45888</v>
      </c>
      <c r="E170" s="1">
        <f>IF(ISBLANK(Table1[[#This Row],[Date Job Requirement Released]]),"",Table1[[#This Row],[Date Job Requirement Released]])</f>
        <v>45939</v>
      </c>
      <c r="F170" s="1" t="str">
        <f>IF(ISBLANK(Table1[[#This Row],[Date Offered]]),"",Table1[[#This Row],[Date Offered]])</f>
        <v/>
      </c>
      <c r="G170" s="1" t="str">
        <f>IF(ISBLANK(Table1[[#This Row],[Date Onboarded]]),"",Table1[[#This Row],[Date Onboarded]])</f>
        <v/>
      </c>
      <c r="H170" t="str">
        <f>Table1[[#This Row],[Internal/External]]</f>
        <v>Internal</v>
      </c>
      <c r="I170">
        <f>Table1[[#This Row],[Pipeline Updated]]</f>
        <v>0</v>
      </c>
      <c r="J170" t="str">
        <f t="shared" si="5"/>
        <v/>
      </c>
      <c r="K170" t="str">
        <f t="shared" si="4"/>
        <v/>
      </c>
    </row>
    <row r="171" spans="1:11">
      <c r="A171">
        <f>Table1[[#This Row],[Role ID]]</f>
        <v>129</v>
      </c>
      <c r="B171" t="str">
        <f>Table1[[#This Row],[Role]]</f>
        <v>System Administrator</v>
      </c>
      <c r="C171" t="str">
        <f>Table1[[#This Row],[Stream Internal]]</f>
        <v>ITES</v>
      </c>
      <c r="D171" s="1">
        <f>IF(ISBLANK(Table1[[#This Row],[Demand Date]]),"",Table1[[#This Row],[Demand Date]])</f>
        <v>45909</v>
      </c>
      <c r="E171" s="1">
        <f>IF(ISBLANK(Table1[[#This Row],[Date Job Requirement Released]]),"",Table1[[#This Row],[Date Job Requirement Released]])</f>
        <v>45971</v>
      </c>
      <c r="F171" s="1">
        <f>IF(ISBLANK(Table1[[#This Row],[Date Offered]]),"",Table1[[#This Row],[Date Offered]])</f>
        <v>45984</v>
      </c>
      <c r="G171" s="1">
        <f>IF(ISBLANK(Table1[[#This Row],[Date Onboarded]]),"",Table1[[#This Row],[Date Onboarded]])</f>
        <v>46023</v>
      </c>
      <c r="H171" t="str">
        <f>Table1[[#This Row],[Internal/External]]</f>
        <v>External</v>
      </c>
      <c r="I171">
        <f>Table1[[#This Row],[Pipeline Updated]]</f>
        <v>1</v>
      </c>
      <c r="J171">
        <f t="shared" si="5"/>
        <v>13</v>
      </c>
      <c r="K171">
        <f t="shared" si="4"/>
        <v>52</v>
      </c>
    </row>
    <row r="172" spans="1:11">
      <c r="A172">
        <f>Table1[[#This Row],[Role ID]]</f>
        <v>79</v>
      </c>
      <c r="B172" t="str">
        <f>Table1[[#This Row],[Role]]</f>
        <v>Application Support Analyst</v>
      </c>
      <c r="C172" t="str">
        <f>Table1[[#This Row],[Stream Internal]]</f>
        <v>ITES</v>
      </c>
      <c r="D172" s="1">
        <f>IF(ISBLANK(Table1[[#This Row],[Demand Date]]),"",Table1[[#This Row],[Demand Date]])</f>
        <v>45915</v>
      </c>
      <c r="E172" s="1">
        <f>IF(ISBLANK(Table1[[#This Row],[Date Job Requirement Released]]),"",Table1[[#This Row],[Date Job Requirement Released]])</f>
        <v>45972</v>
      </c>
      <c r="F172" s="1" t="str">
        <f>IF(ISBLANK(Table1[[#This Row],[Date Offered]]),"",Table1[[#This Row],[Date Offered]])</f>
        <v/>
      </c>
      <c r="G172" s="1" t="str">
        <f>IF(ISBLANK(Table1[[#This Row],[Date Onboarded]]),"",Table1[[#This Row],[Date Onboarded]])</f>
        <v/>
      </c>
      <c r="H172" t="str">
        <f>Table1[[#This Row],[Internal/External]]</f>
        <v>Internal</v>
      </c>
      <c r="I172">
        <f>Table1[[#This Row],[Pipeline Updated]]</f>
        <v>0</v>
      </c>
      <c r="J172" t="str">
        <f t="shared" si="5"/>
        <v/>
      </c>
      <c r="K172" t="str">
        <f t="shared" si="4"/>
        <v/>
      </c>
    </row>
    <row r="173" spans="1:11">
      <c r="A173">
        <f>Table1[[#This Row],[Role ID]]</f>
        <v>130</v>
      </c>
      <c r="B173" t="str">
        <f>Table1[[#This Row],[Role]]</f>
        <v>IT Manager</v>
      </c>
      <c r="C173" t="str">
        <f>Table1[[#This Row],[Stream Internal]]</f>
        <v>ITES</v>
      </c>
      <c r="D173" s="1">
        <f>IF(ISBLANK(Table1[[#This Row],[Demand Date]]),"",Table1[[#This Row],[Demand Date]])</f>
        <v>45916</v>
      </c>
      <c r="E173" s="1">
        <f>IF(ISBLANK(Table1[[#This Row],[Date Job Requirement Released]]),"",Table1[[#This Row],[Date Job Requirement Released]])</f>
        <v>45985</v>
      </c>
      <c r="F173" s="1" t="str">
        <f>IF(ISBLANK(Table1[[#This Row],[Date Offered]]),"",Table1[[#This Row],[Date Offered]])</f>
        <v/>
      </c>
      <c r="G173" s="1" t="str">
        <f>IF(ISBLANK(Table1[[#This Row],[Date Onboarded]]),"",Table1[[#This Row],[Date Onboarded]])</f>
        <v/>
      </c>
      <c r="H173" t="str">
        <f>Table1[[#This Row],[Internal/External]]</f>
        <v>Internal</v>
      </c>
      <c r="I173">
        <f>Table1[[#This Row],[Pipeline Updated]]</f>
        <v>0</v>
      </c>
      <c r="J173" t="str">
        <f t="shared" si="5"/>
        <v/>
      </c>
      <c r="K173" t="str">
        <f t="shared" si="4"/>
        <v/>
      </c>
    </row>
    <row r="174" spans="1:11">
      <c r="A174">
        <f>Table1[[#This Row],[Role ID]]</f>
        <v>58</v>
      </c>
      <c r="B174" t="str">
        <f>Table1[[#This Row],[Role]]</f>
        <v>Research Analyst</v>
      </c>
      <c r="C174" t="str">
        <f>Table1[[#This Row],[Stream Internal]]</f>
        <v>RND</v>
      </c>
      <c r="D174" s="1">
        <f>IF(ISBLANK(Table1[[#This Row],[Demand Date]]),"",Table1[[#This Row],[Demand Date]])</f>
        <v>45904</v>
      </c>
      <c r="E174" s="1">
        <f>IF(ISBLANK(Table1[[#This Row],[Date Job Requirement Released]]),"",Table1[[#This Row],[Date Job Requirement Released]])</f>
        <v>45967</v>
      </c>
      <c r="F174" s="1" t="str">
        <f>IF(ISBLANK(Table1[[#This Row],[Date Offered]]),"",Table1[[#This Row],[Date Offered]])</f>
        <v/>
      </c>
      <c r="G174" s="1" t="str">
        <f>IF(ISBLANK(Table1[[#This Row],[Date Onboarded]]),"",Table1[[#This Row],[Date Onboarded]])</f>
        <v/>
      </c>
      <c r="H174" t="str">
        <f>Table1[[#This Row],[Internal/External]]</f>
        <v>Internal</v>
      </c>
      <c r="I174">
        <f>Table1[[#This Row],[Pipeline Updated]]</f>
        <v>0</v>
      </c>
      <c r="J174" t="str">
        <f t="shared" si="5"/>
        <v/>
      </c>
      <c r="K174" t="str">
        <f t="shared" si="4"/>
        <v/>
      </c>
    </row>
    <row r="175" spans="1:11">
      <c r="A175">
        <f>Table1[[#This Row],[Role ID]]</f>
        <v>43</v>
      </c>
      <c r="B175" t="str">
        <f>Table1[[#This Row],[Role]]</f>
        <v>R&amp;D Manager</v>
      </c>
      <c r="C175" t="str">
        <f>Table1[[#This Row],[Stream Internal]]</f>
        <v>RND</v>
      </c>
      <c r="D175" s="1">
        <f>IF(ISBLANK(Table1[[#This Row],[Demand Date]]),"",Table1[[#This Row],[Demand Date]])</f>
        <v>45820</v>
      </c>
      <c r="E175" s="1">
        <f>IF(ISBLANK(Table1[[#This Row],[Date Job Requirement Released]]),"",Table1[[#This Row],[Date Job Requirement Released]])</f>
        <v>45876</v>
      </c>
      <c r="F175" s="1">
        <f>IF(ISBLANK(Table1[[#This Row],[Date Offered]]),"",Table1[[#This Row],[Date Offered]])</f>
        <v>45894</v>
      </c>
      <c r="G175" s="1">
        <f>IF(ISBLANK(Table1[[#This Row],[Date Onboarded]]),"",Table1[[#This Row],[Date Onboarded]])</f>
        <v>45945</v>
      </c>
      <c r="H175" t="str">
        <f>Table1[[#This Row],[Internal/External]]</f>
        <v>Internal</v>
      </c>
      <c r="I175">
        <f>Table1[[#This Row],[Pipeline Updated]]</f>
        <v>1</v>
      </c>
      <c r="J175">
        <f t="shared" si="5"/>
        <v>18</v>
      </c>
      <c r="K175">
        <f t="shared" si="4"/>
        <v>69</v>
      </c>
    </row>
    <row r="176" spans="1:11">
      <c r="A176">
        <f>Table1[[#This Row],[Role ID]]</f>
        <v>131</v>
      </c>
      <c r="B176" t="str">
        <f>Table1[[#This Row],[Role]]</f>
        <v>VP Engineering</v>
      </c>
      <c r="C176" t="str">
        <f>Table1[[#This Row],[Stream Internal]]</f>
        <v>ENGG</v>
      </c>
      <c r="D176" s="1">
        <f>IF(ISBLANK(Table1[[#This Row],[Demand Date]]),"",Table1[[#This Row],[Demand Date]])</f>
        <v>45916</v>
      </c>
      <c r="E176" s="1">
        <f>IF(ISBLANK(Table1[[#This Row],[Date Job Requirement Released]]),"",Table1[[#This Row],[Date Job Requirement Released]])</f>
        <v>45983</v>
      </c>
      <c r="F176" s="1">
        <f>IF(ISBLANK(Table1[[#This Row],[Date Offered]]),"",Table1[[#This Row],[Date Offered]])</f>
        <v>46003</v>
      </c>
      <c r="G176" s="1">
        <f>IF(ISBLANK(Table1[[#This Row],[Date Onboarded]]),"",Table1[[#This Row],[Date Onboarded]])</f>
        <v>46063</v>
      </c>
      <c r="H176" t="str">
        <f>Table1[[#This Row],[Internal/External]]</f>
        <v>Internal</v>
      </c>
      <c r="I176">
        <f>Table1[[#This Row],[Pipeline Updated]]</f>
        <v>0</v>
      </c>
      <c r="J176">
        <f t="shared" si="5"/>
        <v>20</v>
      </c>
      <c r="K176">
        <f t="shared" si="4"/>
        <v>80</v>
      </c>
    </row>
    <row r="177" spans="1:11">
      <c r="A177">
        <f>Table1[[#This Row],[Role ID]]</f>
        <v>1</v>
      </c>
      <c r="B177" t="str">
        <f>Table1[[#This Row],[Role]]</f>
        <v>Brand Manager</v>
      </c>
      <c r="C177" t="str">
        <f>Table1[[#This Row],[Stream Internal]]</f>
        <v>SAM</v>
      </c>
      <c r="D177" s="1">
        <f>IF(ISBLANK(Table1[[#This Row],[Demand Date]]),"",Table1[[#This Row],[Demand Date]])</f>
        <v>45839</v>
      </c>
      <c r="E177" s="1">
        <f>IF(ISBLANK(Table1[[#This Row],[Date Job Requirement Released]]),"",Table1[[#This Row],[Date Job Requirement Released]])</f>
        <v>45888</v>
      </c>
      <c r="F177" s="1" t="str">
        <f>IF(ISBLANK(Table1[[#This Row],[Date Offered]]),"",Table1[[#This Row],[Date Offered]])</f>
        <v/>
      </c>
      <c r="G177" s="1" t="str">
        <f>IF(ISBLANK(Table1[[#This Row],[Date Onboarded]]),"",Table1[[#This Row],[Date Onboarded]])</f>
        <v/>
      </c>
      <c r="H177" t="str">
        <f>Table1[[#This Row],[Internal/External]]</f>
        <v>Internal</v>
      </c>
      <c r="I177">
        <f>Table1[[#This Row],[Pipeline Updated]]</f>
        <v>0</v>
      </c>
      <c r="J177" t="str">
        <f t="shared" si="5"/>
        <v/>
      </c>
      <c r="K177" t="str">
        <f t="shared" si="4"/>
        <v/>
      </c>
    </row>
    <row r="178" spans="1:11">
      <c r="A178">
        <f>Table1[[#This Row],[Role ID]]</f>
        <v>132</v>
      </c>
      <c r="B178" t="str">
        <f>Table1[[#This Row],[Role]]</f>
        <v>R&amp;D Project Lead</v>
      </c>
      <c r="C178" t="str">
        <f>Table1[[#This Row],[Stream Internal]]</f>
        <v>RND</v>
      </c>
      <c r="D178" s="1">
        <f>IF(ISBLANK(Table1[[#This Row],[Demand Date]]),"",Table1[[#This Row],[Demand Date]])</f>
        <v>45925</v>
      </c>
      <c r="E178" s="1">
        <f>IF(ISBLANK(Table1[[#This Row],[Date Job Requirement Released]]),"",Table1[[#This Row],[Date Job Requirement Released]])</f>
        <v>45983</v>
      </c>
      <c r="F178" s="1" t="str">
        <f>IF(ISBLANK(Table1[[#This Row],[Date Offered]]),"",Table1[[#This Row],[Date Offered]])</f>
        <v/>
      </c>
      <c r="G178" s="1" t="str">
        <f>IF(ISBLANK(Table1[[#This Row],[Date Onboarded]]),"",Table1[[#This Row],[Date Onboarded]])</f>
        <v/>
      </c>
      <c r="H178" t="str">
        <f>Table1[[#This Row],[Internal/External]]</f>
        <v>Internal</v>
      </c>
      <c r="I178">
        <f>Table1[[#This Row],[Pipeline Updated]]</f>
        <v>0</v>
      </c>
      <c r="J178" t="str">
        <f t="shared" si="5"/>
        <v/>
      </c>
      <c r="K178" t="str">
        <f t="shared" si="4"/>
        <v/>
      </c>
    </row>
    <row r="179" spans="1:11">
      <c r="A179">
        <f>Table1[[#This Row],[Role ID]]</f>
        <v>133</v>
      </c>
      <c r="B179" t="str">
        <f>Table1[[#This Row],[Role]]</f>
        <v>Software Developer 1</v>
      </c>
      <c r="C179" t="str">
        <f>Table1[[#This Row],[Stream Internal]]</f>
        <v>ENGG</v>
      </c>
      <c r="D179" s="1">
        <f>IF(ISBLANK(Table1[[#This Row],[Demand Date]]),"",Table1[[#This Row],[Demand Date]])</f>
        <v>45833</v>
      </c>
      <c r="E179" s="1">
        <f>IF(ISBLANK(Table1[[#This Row],[Date Job Requirement Released]]),"",Table1[[#This Row],[Date Job Requirement Released]])</f>
        <v>45898</v>
      </c>
      <c r="F179" s="1" t="str">
        <f>IF(ISBLANK(Table1[[#This Row],[Date Offered]]),"",Table1[[#This Row],[Date Offered]])</f>
        <v/>
      </c>
      <c r="G179" s="1" t="str">
        <f>IF(ISBLANK(Table1[[#This Row],[Date Onboarded]]),"",Table1[[#This Row],[Date Onboarded]])</f>
        <v/>
      </c>
      <c r="H179" t="str">
        <f>Table1[[#This Row],[Internal/External]]</f>
        <v>Internal</v>
      </c>
      <c r="I179">
        <f>Table1[[#This Row],[Pipeline Updated]]</f>
        <v>0</v>
      </c>
      <c r="J179" t="str">
        <f t="shared" si="5"/>
        <v/>
      </c>
      <c r="K179" t="str">
        <f t="shared" si="4"/>
        <v/>
      </c>
    </row>
    <row r="180" spans="1:11">
      <c r="A180">
        <f>Table1[[#This Row],[Role ID]]</f>
        <v>57</v>
      </c>
      <c r="B180" t="str">
        <f>Table1[[#This Row],[Role]]</f>
        <v>Product Marketing Manager</v>
      </c>
      <c r="C180" t="str">
        <f>Table1[[#This Row],[Stream Internal]]</f>
        <v>SAM</v>
      </c>
      <c r="D180" s="1">
        <f>IF(ISBLANK(Table1[[#This Row],[Demand Date]]),"",Table1[[#This Row],[Demand Date]])</f>
        <v>45910</v>
      </c>
      <c r="E180" s="1">
        <f>IF(ISBLANK(Table1[[#This Row],[Date Job Requirement Released]]),"",Table1[[#This Row],[Date Job Requirement Released]])</f>
        <v>45976</v>
      </c>
      <c r="F180" s="1" t="str">
        <f>IF(ISBLANK(Table1[[#This Row],[Date Offered]]),"",Table1[[#This Row],[Date Offered]])</f>
        <v/>
      </c>
      <c r="G180" s="1" t="str">
        <f>IF(ISBLANK(Table1[[#This Row],[Date Onboarded]]),"",Table1[[#This Row],[Date Onboarded]])</f>
        <v/>
      </c>
      <c r="H180" t="str">
        <f>Table1[[#This Row],[Internal/External]]</f>
        <v>Internal</v>
      </c>
      <c r="I180">
        <f>Table1[[#This Row],[Pipeline Updated]]</f>
        <v>0</v>
      </c>
      <c r="J180" t="str">
        <f t="shared" si="5"/>
        <v/>
      </c>
      <c r="K180" t="str">
        <f t="shared" si="4"/>
        <v/>
      </c>
    </row>
    <row r="181" spans="1:11">
      <c r="A181">
        <f>Table1[[#This Row],[Role ID]]</f>
        <v>134</v>
      </c>
      <c r="B181" t="str">
        <f>Table1[[#This Row],[Role]]</f>
        <v>R&amp;D Engineer</v>
      </c>
      <c r="C181" t="str">
        <f>Table1[[#This Row],[Stream Internal]]</f>
        <v>RND</v>
      </c>
      <c r="D181" s="1">
        <f>IF(ISBLANK(Table1[[#This Row],[Demand Date]]),"",Table1[[#This Row],[Demand Date]])</f>
        <v>45861</v>
      </c>
      <c r="E181" s="1">
        <f>IF(ISBLANK(Table1[[#This Row],[Date Job Requirement Released]]),"",Table1[[#This Row],[Date Job Requirement Released]])</f>
        <v>45917</v>
      </c>
      <c r="F181" s="1" t="str">
        <f>IF(ISBLANK(Table1[[#This Row],[Date Offered]]),"",Table1[[#This Row],[Date Offered]])</f>
        <v/>
      </c>
      <c r="G181" s="1" t="str">
        <f>IF(ISBLANK(Table1[[#This Row],[Date Onboarded]]),"",Table1[[#This Row],[Date Onboarded]])</f>
        <v/>
      </c>
      <c r="H181" t="str">
        <f>Table1[[#This Row],[Internal/External]]</f>
        <v>Internal</v>
      </c>
      <c r="I181">
        <f>Table1[[#This Row],[Pipeline Updated]]</f>
        <v>0</v>
      </c>
      <c r="J181" t="str">
        <f t="shared" si="5"/>
        <v/>
      </c>
      <c r="K181" t="str">
        <f t="shared" si="4"/>
        <v/>
      </c>
    </row>
    <row r="182" spans="1:11">
      <c r="A182">
        <f>Table1[[#This Row],[Role ID]]</f>
        <v>135</v>
      </c>
      <c r="B182" t="str">
        <f>Table1[[#This Row],[Role]]</f>
        <v>Senior R&amp;D Manager</v>
      </c>
      <c r="C182" t="str">
        <f>Table1[[#This Row],[Stream Internal]]</f>
        <v>RND</v>
      </c>
      <c r="D182" s="1">
        <f>IF(ISBLANK(Table1[[#This Row],[Demand Date]]),"",Table1[[#This Row],[Demand Date]])</f>
        <v>45820</v>
      </c>
      <c r="E182" s="1">
        <f>IF(ISBLANK(Table1[[#This Row],[Date Job Requirement Released]]),"",Table1[[#This Row],[Date Job Requirement Released]])</f>
        <v>45878</v>
      </c>
      <c r="F182" s="1">
        <f>IF(ISBLANK(Table1[[#This Row],[Date Offered]]),"",Table1[[#This Row],[Date Offered]])</f>
        <v>45891</v>
      </c>
      <c r="G182" s="1">
        <f>IF(ISBLANK(Table1[[#This Row],[Date Onboarded]]),"",Table1[[#This Row],[Date Onboarded]])</f>
        <v>45979</v>
      </c>
      <c r="H182" t="str">
        <f>Table1[[#This Row],[Internal/External]]</f>
        <v>Internal</v>
      </c>
      <c r="I182">
        <f>Table1[[#This Row],[Pipeline Updated]]</f>
        <v>0</v>
      </c>
      <c r="J182">
        <f t="shared" si="5"/>
        <v>13</v>
      </c>
      <c r="K182">
        <f t="shared" si="4"/>
        <v>101</v>
      </c>
    </row>
    <row r="183" spans="1:11">
      <c r="A183">
        <f>Table1[[#This Row],[Role ID]]</f>
        <v>136</v>
      </c>
      <c r="B183" t="str">
        <f>Table1[[#This Row],[Role]]</f>
        <v>Software Developer 2</v>
      </c>
      <c r="C183" t="str">
        <f>Table1[[#This Row],[Stream Internal]]</f>
        <v>ENGG</v>
      </c>
      <c r="D183" s="1">
        <f>IF(ISBLANK(Table1[[#This Row],[Demand Date]]),"",Table1[[#This Row],[Demand Date]])</f>
        <v>45837</v>
      </c>
      <c r="E183" s="1">
        <f>IF(ISBLANK(Table1[[#This Row],[Date Job Requirement Released]]),"",Table1[[#This Row],[Date Job Requirement Released]])</f>
        <v>45905</v>
      </c>
      <c r="F183" s="1" t="str">
        <f>IF(ISBLANK(Table1[[#This Row],[Date Offered]]),"",Table1[[#This Row],[Date Offered]])</f>
        <v/>
      </c>
      <c r="G183" s="1" t="str">
        <f>IF(ISBLANK(Table1[[#This Row],[Date Onboarded]]),"",Table1[[#This Row],[Date Onboarded]])</f>
        <v/>
      </c>
      <c r="H183" t="str">
        <f>Table1[[#This Row],[Internal/External]]</f>
        <v>External</v>
      </c>
      <c r="I183">
        <f>Table1[[#This Row],[Pipeline Updated]]</f>
        <v>0</v>
      </c>
      <c r="J183" t="str">
        <f t="shared" si="5"/>
        <v/>
      </c>
      <c r="K183" t="str">
        <f t="shared" si="4"/>
        <v/>
      </c>
    </row>
    <row r="184" spans="1:11">
      <c r="A184">
        <f>Table1[[#This Row],[Role ID]]</f>
        <v>137</v>
      </c>
      <c r="B184" t="str">
        <f>Table1[[#This Row],[Role]]</f>
        <v>Network Administrator</v>
      </c>
      <c r="C184" t="str">
        <f>Table1[[#This Row],[Stream Internal]]</f>
        <v>ITES</v>
      </c>
      <c r="D184" s="1">
        <f>IF(ISBLANK(Table1[[#This Row],[Demand Date]]),"",Table1[[#This Row],[Demand Date]])</f>
        <v>45834</v>
      </c>
      <c r="E184" s="1">
        <f>IF(ISBLANK(Table1[[#This Row],[Date Job Requirement Released]]),"",Table1[[#This Row],[Date Job Requirement Released]])</f>
        <v>45887</v>
      </c>
      <c r="F184" s="1">
        <f>IF(ISBLANK(Table1[[#This Row],[Date Offered]]),"",Table1[[#This Row],[Date Offered]])</f>
        <v>45901</v>
      </c>
      <c r="G184" s="1">
        <f>IF(ISBLANK(Table1[[#This Row],[Date Onboarded]]),"",Table1[[#This Row],[Date Onboarded]])</f>
        <v>45953</v>
      </c>
      <c r="H184" t="str">
        <f>Table1[[#This Row],[Internal/External]]</f>
        <v>Internal</v>
      </c>
      <c r="I184">
        <f>Table1[[#This Row],[Pipeline Updated]]</f>
        <v>2</v>
      </c>
      <c r="J184">
        <f t="shared" si="5"/>
        <v>14</v>
      </c>
      <c r="K184">
        <f t="shared" si="4"/>
        <v>66</v>
      </c>
    </row>
    <row r="185" spans="1:11">
      <c r="A185">
        <f>Table1[[#This Row],[Role ID]]</f>
        <v>138</v>
      </c>
      <c r="B185" t="str">
        <f>Table1[[#This Row],[Role]]</f>
        <v>Sales Manager</v>
      </c>
      <c r="C185" t="str">
        <f>Table1[[#This Row],[Stream Internal]]</f>
        <v>SAM</v>
      </c>
      <c r="D185" s="1">
        <f>IF(ISBLANK(Table1[[#This Row],[Demand Date]]),"",Table1[[#This Row],[Demand Date]])</f>
        <v>45828</v>
      </c>
      <c r="E185" s="1">
        <f>IF(ISBLANK(Table1[[#This Row],[Date Job Requirement Released]]),"",Table1[[#This Row],[Date Job Requirement Released]])</f>
        <v>45900</v>
      </c>
      <c r="F185" s="1" t="str">
        <f>IF(ISBLANK(Table1[[#This Row],[Date Offered]]),"",Table1[[#This Row],[Date Offered]])</f>
        <v/>
      </c>
      <c r="G185" s="1" t="str">
        <f>IF(ISBLANK(Table1[[#This Row],[Date Onboarded]]),"",Table1[[#This Row],[Date Onboarded]])</f>
        <v/>
      </c>
      <c r="H185" t="str">
        <f>Table1[[#This Row],[Internal/External]]</f>
        <v>Internal</v>
      </c>
      <c r="I185">
        <f>Table1[[#This Row],[Pipeline Updated]]</f>
        <v>0</v>
      </c>
      <c r="J185" t="str">
        <f t="shared" si="5"/>
        <v/>
      </c>
      <c r="K185" t="str">
        <f t="shared" si="4"/>
        <v/>
      </c>
    </row>
    <row r="186" spans="1:11">
      <c r="A186">
        <f>Table1[[#This Row],[Role ID]]</f>
        <v>139</v>
      </c>
      <c r="B186" t="str">
        <f>Table1[[#This Row],[Role]]</f>
        <v>Help Desk Technician</v>
      </c>
      <c r="C186" t="str">
        <f>Table1[[#This Row],[Stream Internal]]</f>
        <v>ITES</v>
      </c>
      <c r="D186" s="1">
        <f>IF(ISBLANK(Table1[[#This Row],[Demand Date]]),"",Table1[[#This Row],[Demand Date]])</f>
        <v>45899</v>
      </c>
      <c r="E186" s="1">
        <f>IF(ISBLANK(Table1[[#This Row],[Date Job Requirement Released]]),"",Table1[[#This Row],[Date Job Requirement Released]])</f>
        <v>45950</v>
      </c>
      <c r="F186" s="1" t="str">
        <f>IF(ISBLANK(Table1[[#This Row],[Date Offered]]),"",Table1[[#This Row],[Date Offered]])</f>
        <v/>
      </c>
      <c r="G186" s="1" t="str">
        <f>IF(ISBLANK(Table1[[#This Row],[Date Onboarded]]),"",Table1[[#This Row],[Date Onboarded]])</f>
        <v/>
      </c>
      <c r="H186" t="str">
        <f>Table1[[#This Row],[Internal/External]]</f>
        <v>Internal</v>
      </c>
      <c r="I186">
        <f>Table1[[#This Row],[Pipeline Updated]]</f>
        <v>0</v>
      </c>
      <c r="J186" t="str">
        <f t="shared" si="5"/>
        <v/>
      </c>
      <c r="K186" t="str">
        <f t="shared" si="4"/>
        <v/>
      </c>
    </row>
    <row r="187" spans="1:11">
      <c r="A187">
        <f>Table1[[#This Row],[Role ID]]</f>
        <v>140</v>
      </c>
      <c r="B187" t="str">
        <f>Table1[[#This Row],[Role]]</f>
        <v>Brand Manager</v>
      </c>
      <c r="C187" t="str">
        <f>Table1[[#This Row],[Stream Internal]]</f>
        <v>SAM</v>
      </c>
      <c r="D187" s="1">
        <f>IF(ISBLANK(Table1[[#This Row],[Demand Date]]),"",Table1[[#This Row],[Demand Date]])</f>
        <v>45857</v>
      </c>
      <c r="E187" s="1">
        <f>IF(ISBLANK(Table1[[#This Row],[Date Job Requirement Released]]),"",Table1[[#This Row],[Date Job Requirement Released]])</f>
        <v>45912</v>
      </c>
      <c r="F187" s="1" t="str">
        <f>IF(ISBLANK(Table1[[#This Row],[Date Offered]]),"",Table1[[#This Row],[Date Offered]])</f>
        <v/>
      </c>
      <c r="G187" s="1" t="str">
        <f>IF(ISBLANK(Table1[[#This Row],[Date Onboarded]]),"",Table1[[#This Row],[Date Onboarded]])</f>
        <v/>
      </c>
      <c r="H187" t="str">
        <f>Table1[[#This Row],[Internal/External]]</f>
        <v>Internal</v>
      </c>
      <c r="I187">
        <f>Table1[[#This Row],[Pipeline Updated]]</f>
        <v>0</v>
      </c>
      <c r="J187" t="str">
        <f t="shared" si="5"/>
        <v/>
      </c>
      <c r="K187" t="str">
        <f t="shared" si="4"/>
        <v/>
      </c>
    </row>
    <row r="188" spans="1:11">
      <c r="A188">
        <f>Table1[[#This Row],[Role ID]]</f>
        <v>141</v>
      </c>
      <c r="B188" t="str">
        <f>Table1[[#This Row],[Role]]</f>
        <v>IT Coordinator</v>
      </c>
      <c r="C188" t="str">
        <f>Table1[[#This Row],[Stream Internal]]</f>
        <v>ITES</v>
      </c>
      <c r="D188" s="1">
        <f>IF(ISBLANK(Table1[[#This Row],[Demand Date]]),"",Table1[[#This Row],[Demand Date]])</f>
        <v>45864</v>
      </c>
      <c r="E188" s="1">
        <f>IF(ISBLANK(Table1[[#This Row],[Date Job Requirement Released]]),"",Table1[[#This Row],[Date Job Requirement Released]])</f>
        <v>45928</v>
      </c>
      <c r="F188" s="1" t="str">
        <f>IF(ISBLANK(Table1[[#This Row],[Date Offered]]),"",Table1[[#This Row],[Date Offered]])</f>
        <v/>
      </c>
      <c r="G188" s="1" t="str">
        <f>IF(ISBLANK(Table1[[#This Row],[Date Onboarded]]),"",Table1[[#This Row],[Date Onboarded]])</f>
        <v/>
      </c>
      <c r="H188" t="str">
        <f>Table1[[#This Row],[Internal/External]]</f>
        <v>Internal</v>
      </c>
      <c r="I188">
        <f>Table1[[#This Row],[Pipeline Updated]]</f>
        <v>0</v>
      </c>
      <c r="J188" t="str">
        <f t="shared" si="5"/>
        <v/>
      </c>
      <c r="K188" t="str">
        <f t="shared" si="4"/>
        <v/>
      </c>
    </row>
    <row r="189" spans="1:11">
      <c r="A189">
        <f>Table1[[#This Row],[Role ID]]</f>
        <v>142</v>
      </c>
      <c r="B189" t="str">
        <f>Table1[[#This Row],[Role]]</f>
        <v>IT Manager</v>
      </c>
      <c r="C189" t="str">
        <f>Table1[[#This Row],[Stream Internal]]</f>
        <v>ITES</v>
      </c>
      <c r="D189" s="1">
        <f>IF(ISBLANK(Table1[[#This Row],[Demand Date]]),"",Table1[[#This Row],[Demand Date]])</f>
        <v>45917</v>
      </c>
      <c r="E189" s="1">
        <f>IF(ISBLANK(Table1[[#This Row],[Date Job Requirement Released]]),"",Table1[[#This Row],[Date Job Requirement Released]])</f>
        <v>45972</v>
      </c>
      <c r="F189" s="1" t="str">
        <f>IF(ISBLANK(Table1[[#This Row],[Date Offered]]),"",Table1[[#This Row],[Date Offered]])</f>
        <v/>
      </c>
      <c r="G189" s="1" t="str">
        <f>IF(ISBLANK(Table1[[#This Row],[Date Onboarded]]),"",Table1[[#This Row],[Date Onboarded]])</f>
        <v/>
      </c>
      <c r="H189" t="str">
        <f>Table1[[#This Row],[Internal/External]]</f>
        <v>Internal</v>
      </c>
      <c r="I189">
        <f>Table1[[#This Row],[Pipeline Updated]]</f>
        <v>0</v>
      </c>
      <c r="J189" t="str">
        <f t="shared" si="5"/>
        <v/>
      </c>
      <c r="K189" t="str">
        <f t="shared" si="4"/>
        <v/>
      </c>
    </row>
    <row r="190" spans="1:11">
      <c r="A190">
        <f>Table1[[#This Row],[Role ID]]</f>
        <v>74</v>
      </c>
      <c r="B190" t="str">
        <f>Table1[[#This Row],[Role]]</f>
        <v>Sales Director</v>
      </c>
      <c r="C190" t="str">
        <f>Table1[[#This Row],[Stream Internal]]</f>
        <v>SAM</v>
      </c>
      <c r="D190" s="1">
        <f>IF(ISBLANK(Table1[[#This Row],[Demand Date]]),"",Table1[[#This Row],[Demand Date]])</f>
        <v>45873</v>
      </c>
      <c r="E190" s="1">
        <f>IF(ISBLANK(Table1[[#This Row],[Date Job Requirement Released]]),"",Table1[[#This Row],[Date Job Requirement Released]])</f>
        <v>45924</v>
      </c>
      <c r="F190" s="1">
        <f>IF(ISBLANK(Table1[[#This Row],[Date Offered]]),"",Table1[[#This Row],[Date Offered]])</f>
        <v>45934</v>
      </c>
      <c r="G190" s="1">
        <f>IF(ISBLANK(Table1[[#This Row],[Date Onboarded]]),"",Table1[[#This Row],[Date Onboarded]])</f>
        <v>45955</v>
      </c>
      <c r="H190" t="str">
        <f>Table1[[#This Row],[Internal/External]]</f>
        <v>Internal</v>
      </c>
      <c r="I190">
        <f>Table1[[#This Row],[Pipeline Updated]]</f>
        <v>0</v>
      </c>
      <c r="J190">
        <f t="shared" si="5"/>
        <v>10</v>
      </c>
      <c r="K190">
        <f t="shared" si="4"/>
        <v>31</v>
      </c>
    </row>
    <row r="191" spans="1:11">
      <c r="A191">
        <f>Table1[[#This Row],[Role ID]]</f>
        <v>143</v>
      </c>
      <c r="B191" t="str">
        <f>Table1[[#This Row],[Role]]</f>
        <v>Application Support Analyst</v>
      </c>
      <c r="C191" t="str">
        <f>Table1[[#This Row],[Stream Internal]]</f>
        <v>ITES</v>
      </c>
      <c r="D191" s="1">
        <f>IF(ISBLANK(Table1[[#This Row],[Demand Date]]),"",Table1[[#This Row],[Demand Date]])</f>
        <v>45880</v>
      </c>
      <c r="E191" s="1">
        <f>IF(ISBLANK(Table1[[#This Row],[Date Job Requirement Released]]),"",Table1[[#This Row],[Date Job Requirement Released]])</f>
        <v>45933</v>
      </c>
      <c r="F191" s="1">
        <f>IF(ISBLANK(Table1[[#This Row],[Date Offered]]),"",Table1[[#This Row],[Date Offered]])</f>
        <v>45951</v>
      </c>
      <c r="G191" s="1">
        <f>IF(ISBLANK(Table1[[#This Row],[Date Onboarded]]),"",Table1[[#This Row],[Date Onboarded]])</f>
        <v>45963</v>
      </c>
      <c r="H191" t="str">
        <f>Table1[[#This Row],[Internal/External]]</f>
        <v>External</v>
      </c>
      <c r="I191">
        <f>Table1[[#This Row],[Pipeline Updated]]</f>
        <v>0</v>
      </c>
      <c r="J191">
        <f t="shared" si="5"/>
        <v>18</v>
      </c>
      <c r="K191">
        <f t="shared" si="4"/>
        <v>30</v>
      </c>
    </row>
    <row r="192" spans="1:11">
      <c r="A192">
        <f>Table1[[#This Row],[Role ID]]</f>
        <v>31</v>
      </c>
      <c r="B192" t="str">
        <f>Table1[[#This Row],[Role]]</f>
        <v>VP Engineering</v>
      </c>
      <c r="C192" t="str">
        <f>Table1[[#This Row],[Stream Internal]]</f>
        <v>ENGG</v>
      </c>
      <c r="D192" s="1">
        <f>IF(ISBLANK(Table1[[#This Row],[Demand Date]]),"",Table1[[#This Row],[Demand Date]])</f>
        <v>45925</v>
      </c>
      <c r="E192" s="1">
        <f>IF(ISBLANK(Table1[[#This Row],[Date Job Requirement Released]]),"",Table1[[#This Row],[Date Job Requirement Released]])</f>
        <v>45989</v>
      </c>
      <c r="F192" s="1">
        <f>IF(ISBLANK(Table1[[#This Row],[Date Offered]]),"",Table1[[#This Row],[Date Offered]])</f>
        <v>46002</v>
      </c>
      <c r="G192" s="1">
        <f>IF(ISBLANK(Table1[[#This Row],[Date Onboarded]]),"",Table1[[#This Row],[Date Onboarded]])</f>
        <v>46016</v>
      </c>
      <c r="H192" t="str">
        <f>Table1[[#This Row],[Internal/External]]</f>
        <v>Internal</v>
      </c>
      <c r="I192">
        <f>Table1[[#This Row],[Pipeline Updated]]</f>
        <v>0</v>
      </c>
      <c r="J192">
        <f t="shared" si="5"/>
        <v>13</v>
      </c>
      <c r="K192">
        <f t="shared" si="4"/>
        <v>27</v>
      </c>
    </row>
    <row r="193" spans="1:11">
      <c r="A193">
        <f>Table1[[#This Row],[Role ID]]</f>
        <v>144</v>
      </c>
      <c r="B193" t="str">
        <f>Table1[[#This Row],[Role]]</f>
        <v>Senior R&amp;D Manager</v>
      </c>
      <c r="C193" t="str">
        <f>Table1[[#This Row],[Stream Internal]]</f>
        <v>RND</v>
      </c>
      <c r="D193" s="1">
        <f>IF(ISBLANK(Table1[[#This Row],[Demand Date]]),"",Table1[[#This Row],[Demand Date]])</f>
        <v>45901</v>
      </c>
      <c r="E193" s="1">
        <f>IF(ISBLANK(Table1[[#This Row],[Date Job Requirement Released]]),"",Table1[[#This Row],[Date Job Requirement Released]])</f>
        <v>45955</v>
      </c>
      <c r="F193" s="1">
        <f>IF(ISBLANK(Table1[[#This Row],[Date Offered]]),"",Table1[[#This Row],[Date Offered]])</f>
        <v>45969</v>
      </c>
      <c r="G193" s="1">
        <f>IF(ISBLANK(Table1[[#This Row],[Date Onboarded]]),"",Table1[[#This Row],[Date Onboarded]])</f>
        <v>46017</v>
      </c>
      <c r="H193" t="str">
        <f>Table1[[#This Row],[Internal/External]]</f>
        <v>Internal</v>
      </c>
      <c r="I193">
        <f>Table1[[#This Row],[Pipeline Updated]]</f>
        <v>1</v>
      </c>
      <c r="J193">
        <f t="shared" si="5"/>
        <v>14</v>
      </c>
      <c r="K193">
        <f t="shared" si="4"/>
        <v>62</v>
      </c>
    </row>
    <row r="194" spans="1:11">
      <c r="A194">
        <f>Table1[[#This Row],[Role ID]]</f>
        <v>49</v>
      </c>
      <c r="B194" t="str">
        <f>Table1[[#This Row],[Role]]</f>
        <v>R&amp;D Engineer</v>
      </c>
      <c r="C194" t="str">
        <f>Table1[[#This Row],[Stream Internal]]</f>
        <v>RND</v>
      </c>
      <c r="D194" s="1">
        <f>IF(ISBLANK(Table1[[#This Row],[Demand Date]]),"",Table1[[#This Row],[Demand Date]])</f>
        <v>45927</v>
      </c>
      <c r="E194" s="1">
        <f>IF(ISBLANK(Table1[[#This Row],[Date Job Requirement Released]]),"",Table1[[#This Row],[Date Job Requirement Released]])</f>
        <v>46000</v>
      </c>
      <c r="F194" s="1" t="str">
        <f>IF(ISBLANK(Table1[[#This Row],[Date Offered]]),"",Table1[[#This Row],[Date Offered]])</f>
        <v/>
      </c>
      <c r="G194" s="1" t="str">
        <f>IF(ISBLANK(Table1[[#This Row],[Date Onboarded]]),"",Table1[[#This Row],[Date Onboarded]])</f>
        <v/>
      </c>
      <c r="H194" t="str">
        <f>Table1[[#This Row],[Internal/External]]</f>
        <v>Internal</v>
      </c>
      <c r="I194">
        <f>Table1[[#This Row],[Pipeline Updated]]</f>
        <v>0</v>
      </c>
      <c r="J194" t="str">
        <f t="shared" si="5"/>
        <v/>
      </c>
      <c r="K194" t="str">
        <f t="shared" si="4"/>
        <v/>
      </c>
    </row>
    <row r="195" spans="1:11">
      <c r="A195">
        <f>Table1[[#This Row],[Role ID]]</f>
        <v>145</v>
      </c>
      <c r="B195" t="str">
        <f>Table1[[#This Row],[Role]]</f>
        <v>IT Support Specialist</v>
      </c>
      <c r="C195" t="str">
        <f>Table1[[#This Row],[Stream Internal]]</f>
        <v>ITES</v>
      </c>
      <c r="D195" s="1">
        <f>IF(ISBLANK(Table1[[#This Row],[Demand Date]]),"",Table1[[#This Row],[Demand Date]])</f>
        <v>45825</v>
      </c>
      <c r="E195" s="1">
        <f>IF(ISBLANK(Table1[[#This Row],[Date Job Requirement Released]]),"",Table1[[#This Row],[Date Job Requirement Released]])</f>
        <v>45887</v>
      </c>
      <c r="F195" s="1" t="str">
        <f>IF(ISBLANK(Table1[[#This Row],[Date Offered]]),"",Table1[[#This Row],[Date Offered]])</f>
        <v/>
      </c>
      <c r="G195" s="1" t="str">
        <f>IF(ISBLANK(Table1[[#This Row],[Date Onboarded]]),"",Table1[[#This Row],[Date Onboarded]])</f>
        <v/>
      </c>
      <c r="H195" t="str">
        <f>Table1[[#This Row],[Internal/External]]</f>
        <v>Internal</v>
      </c>
      <c r="I195">
        <f>Table1[[#This Row],[Pipeline Updated]]</f>
        <v>0</v>
      </c>
      <c r="J195" t="str">
        <f t="shared" si="5"/>
        <v/>
      </c>
      <c r="K195" t="str">
        <f t="shared" ref="K195:K258" si="6">IF(OR(E195="",G195=""),"",G195-E195)</f>
        <v/>
      </c>
    </row>
    <row r="196" spans="1:11">
      <c r="A196">
        <f>Table1[[#This Row],[Role ID]]</f>
        <v>124</v>
      </c>
      <c r="B196" t="str">
        <f>Table1[[#This Row],[Role]]</f>
        <v>Software Developer 1</v>
      </c>
      <c r="C196" t="str">
        <f>Table1[[#This Row],[Stream Internal]]</f>
        <v>ENGG</v>
      </c>
      <c r="D196" s="1">
        <f>IF(ISBLANK(Table1[[#This Row],[Demand Date]]),"",Table1[[#This Row],[Demand Date]])</f>
        <v>45892</v>
      </c>
      <c r="E196" s="1">
        <f>IF(ISBLANK(Table1[[#This Row],[Date Job Requirement Released]]),"",Table1[[#This Row],[Date Job Requirement Released]])</f>
        <v>45944</v>
      </c>
      <c r="F196" s="1">
        <f>IF(ISBLANK(Table1[[#This Row],[Date Offered]]),"",Table1[[#This Row],[Date Offered]])</f>
        <v>45955</v>
      </c>
      <c r="G196" s="1">
        <f>IF(ISBLANK(Table1[[#This Row],[Date Onboarded]]),"",Table1[[#This Row],[Date Onboarded]])</f>
        <v>45961</v>
      </c>
      <c r="H196" t="str">
        <f>Table1[[#This Row],[Internal/External]]</f>
        <v>Internal</v>
      </c>
      <c r="I196">
        <f>Table1[[#This Row],[Pipeline Updated]]</f>
        <v>1</v>
      </c>
      <c r="J196">
        <f t="shared" ref="J196:J259" si="7">IF(OR(E196="",F196=""),"",F196-E196)</f>
        <v>11</v>
      </c>
      <c r="K196">
        <f t="shared" si="6"/>
        <v>17</v>
      </c>
    </row>
    <row r="197" spans="1:11">
      <c r="A197">
        <f>Table1[[#This Row],[Role ID]]</f>
        <v>146</v>
      </c>
      <c r="B197" t="str">
        <f>Table1[[#This Row],[Role]]</f>
        <v>Software Developer 1</v>
      </c>
      <c r="C197" t="str">
        <f>Table1[[#This Row],[Stream Internal]]</f>
        <v>ENGG</v>
      </c>
      <c r="D197" s="1">
        <f>IF(ISBLANK(Table1[[#This Row],[Demand Date]]),"",Table1[[#This Row],[Demand Date]])</f>
        <v>45861</v>
      </c>
      <c r="E197" s="1">
        <f>IF(ISBLANK(Table1[[#This Row],[Date Job Requirement Released]]),"",Table1[[#This Row],[Date Job Requirement Released]])</f>
        <v>45927</v>
      </c>
      <c r="F197" s="1">
        <f>IF(ISBLANK(Table1[[#This Row],[Date Offered]]),"",Table1[[#This Row],[Date Offered]])</f>
        <v>45939</v>
      </c>
      <c r="G197" s="1">
        <f>IF(ISBLANK(Table1[[#This Row],[Date Onboarded]]),"",Table1[[#This Row],[Date Onboarded]])</f>
        <v>46013</v>
      </c>
      <c r="H197" t="str">
        <f>Table1[[#This Row],[Internal/External]]</f>
        <v>Internal</v>
      </c>
      <c r="I197">
        <f>Table1[[#This Row],[Pipeline Updated]]</f>
        <v>2</v>
      </c>
      <c r="J197">
        <f t="shared" si="7"/>
        <v>12</v>
      </c>
      <c r="K197">
        <f t="shared" si="6"/>
        <v>86</v>
      </c>
    </row>
    <row r="198" spans="1:11">
      <c r="A198">
        <f>Table1[[#This Row],[Role ID]]</f>
        <v>74</v>
      </c>
      <c r="B198" t="str">
        <f>Table1[[#This Row],[Role]]</f>
        <v>Sales Director</v>
      </c>
      <c r="C198" t="str">
        <f>Table1[[#This Row],[Stream Internal]]</f>
        <v>SAM</v>
      </c>
      <c r="D198" s="1">
        <f>IF(ISBLANK(Table1[[#This Row],[Demand Date]]),"",Table1[[#This Row],[Demand Date]])</f>
        <v>45847</v>
      </c>
      <c r="E198" s="1">
        <f>IF(ISBLANK(Table1[[#This Row],[Date Job Requirement Released]]),"",Table1[[#This Row],[Date Job Requirement Released]])</f>
        <v>45902</v>
      </c>
      <c r="F198" s="1" t="str">
        <f>IF(ISBLANK(Table1[[#This Row],[Date Offered]]),"",Table1[[#This Row],[Date Offered]])</f>
        <v/>
      </c>
      <c r="G198" s="1" t="str">
        <f>IF(ISBLANK(Table1[[#This Row],[Date Onboarded]]),"",Table1[[#This Row],[Date Onboarded]])</f>
        <v/>
      </c>
      <c r="H198" t="str">
        <f>Table1[[#This Row],[Internal/External]]</f>
        <v>Internal</v>
      </c>
      <c r="I198">
        <f>Table1[[#This Row],[Pipeline Updated]]</f>
        <v>0</v>
      </c>
      <c r="J198" t="str">
        <f t="shared" si="7"/>
        <v/>
      </c>
      <c r="K198" t="str">
        <f t="shared" si="6"/>
        <v/>
      </c>
    </row>
    <row r="199" spans="1:11">
      <c r="A199">
        <f>Table1[[#This Row],[Role ID]]</f>
        <v>147</v>
      </c>
      <c r="B199" t="str">
        <f>Table1[[#This Row],[Role]]</f>
        <v>VP Engineering</v>
      </c>
      <c r="C199" t="str">
        <f>Table1[[#This Row],[Stream Internal]]</f>
        <v>ENGG</v>
      </c>
      <c r="D199" s="1">
        <f>IF(ISBLANK(Table1[[#This Row],[Demand Date]]),"",Table1[[#This Row],[Demand Date]])</f>
        <v>45833</v>
      </c>
      <c r="E199" s="1">
        <f>IF(ISBLANK(Table1[[#This Row],[Date Job Requirement Released]]),"",Table1[[#This Row],[Date Job Requirement Released]])</f>
        <v>45893</v>
      </c>
      <c r="F199" s="1">
        <f>IF(ISBLANK(Table1[[#This Row],[Date Offered]]),"",Table1[[#This Row],[Date Offered]])</f>
        <v>45905</v>
      </c>
      <c r="G199" s="1">
        <f>IF(ISBLANK(Table1[[#This Row],[Date Onboarded]]),"",Table1[[#This Row],[Date Onboarded]])</f>
        <v>45941</v>
      </c>
      <c r="H199" t="str">
        <f>Table1[[#This Row],[Internal/External]]</f>
        <v>Internal</v>
      </c>
      <c r="I199">
        <f>Table1[[#This Row],[Pipeline Updated]]</f>
        <v>1</v>
      </c>
      <c r="J199">
        <f t="shared" si="7"/>
        <v>12</v>
      </c>
      <c r="K199">
        <f t="shared" si="6"/>
        <v>48</v>
      </c>
    </row>
    <row r="200" spans="1:11">
      <c r="A200">
        <f>Table1[[#This Row],[Role ID]]</f>
        <v>118</v>
      </c>
      <c r="B200" t="str">
        <f>Table1[[#This Row],[Role]]</f>
        <v>Sales Director</v>
      </c>
      <c r="C200" t="str">
        <f>Table1[[#This Row],[Stream Internal]]</f>
        <v>SAM</v>
      </c>
      <c r="D200" s="1">
        <f>IF(ISBLANK(Table1[[#This Row],[Demand Date]]),"",Table1[[#This Row],[Demand Date]])</f>
        <v>45842</v>
      </c>
      <c r="E200" s="1">
        <f>IF(ISBLANK(Table1[[#This Row],[Date Job Requirement Released]]),"",Table1[[#This Row],[Date Job Requirement Released]])</f>
        <v>45911</v>
      </c>
      <c r="F200" s="1" t="str">
        <f>IF(ISBLANK(Table1[[#This Row],[Date Offered]]),"",Table1[[#This Row],[Date Offered]])</f>
        <v/>
      </c>
      <c r="G200" s="1" t="str">
        <f>IF(ISBLANK(Table1[[#This Row],[Date Onboarded]]),"",Table1[[#This Row],[Date Onboarded]])</f>
        <v/>
      </c>
      <c r="H200" t="str">
        <f>Table1[[#This Row],[Internal/External]]</f>
        <v>Internal</v>
      </c>
      <c r="I200">
        <f>Table1[[#This Row],[Pipeline Updated]]</f>
        <v>0</v>
      </c>
      <c r="J200" t="str">
        <f t="shared" si="7"/>
        <v/>
      </c>
      <c r="K200" t="str">
        <f t="shared" si="6"/>
        <v/>
      </c>
    </row>
    <row r="201" spans="1:11">
      <c r="A201">
        <f>Table1[[#This Row],[Role ID]]</f>
        <v>10</v>
      </c>
      <c r="B201" t="str">
        <f>Table1[[#This Row],[Role]]</f>
        <v>Sales Director</v>
      </c>
      <c r="C201" t="str">
        <f>Table1[[#This Row],[Stream Internal]]</f>
        <v>SAM</v>
      </c>
      <c r="D201" s="1">
        <f>IF(ISBLANK(Table1[[#This Row],[Demand Date]]),"",Table1[[#This Row],[Demand Date]])</f>
        <v>45920</v>
      </c>
      <c r="E201" s="1">
        <f>IF(ISBLANK(Table1[[#This Row],[Date Job Requirement Released]]),"",Table1[[#This Row],[Date Job Requirement Released]])</f>
        <v>45984</v>
      </c>
      <c r="F201" s="1" t="str">
        <f>IF(ISBLANK(Table1[[#This Row],[Date Offered]]),"",Table1[[#This Row],[Date Offered]])</f>
        <v/>
      </c>
      <c r="G201" s="1" t="str">
        <f>IF(ISBLANK(Table1[[#This Row],[Date Onboarded]]),"",Table1[[#This Row],[Date Onboarded]])</f>
        <v/>
      </c>
      <c r="H201" t="str">
        <f>Table1[[#This Row],[Internal/External]]</f>
        <v>Internal</v>
      </c>
      <c r="I201">
        <f>Table1[[#This Row],[Pipeline Updated]]</f>
        <v>0</v>
      </c>
      <c r="J201" t="str">
        <f t="shared" si="7"/>
        <v/>
      </c>
      <c r="K201" t="str">
        <f t="shared" si="6"/>
        <v/>
      </c>
    </row>
    <row r="202" spans="1:11">
      <c r="A202">
        <f>Table1[[#This Row],[Role ID]]</f>
        <v>148</v>
      </c>
      <c r="B202" t="str">
        <f>Table1[[#This Row],[Role]]</f>
        <v>Software Developer 2</v>
      </c>
      <c r="C202" t="str">
        <f>Table1[[#This Row],[Stream Internal]]</f>
        <v>ENGG</v>
      </c>
      <c r="D202" s="1">
        <f>IF(ISBLANK(Table1[[#This Row],[Demand Date]]),"",Table1[[#This Row],[Demand Date]])</f>
        <v>45836</v>
      </c>
      <c r="E202" s="1">
        <f>IF(ISBLANK(Table1[[#This Row],[Date Job Requirement Released]]),"",Table1[[#This Row],[Date Job Requirement Released]])</f>
        <v>45904</v>
      </c>
      <c r="F202" s="1">
        <f>IF(ISBLANK(Table1[[#This Row],[Date Offered]]),"",Table1[[#This Row],[Date Offered]])</f>
        <v>45923</v>
      </c>
      <c r="G202" s="1">
        <f>IF(ISBLANK(Table1[[#This Row],[Date Onboarded]]),"",Table1[[#This Row],[Date Onboarded]])</f>
        <v>45991</v>
      </c>
      <c r="H202" t="str">
        <f>Table1[[#This Row],[Internal/External]]</f>
        <v>Internal</v>
      </c>
      <c r="I202">
        <f>Table1[[#This Row],[Pipeline Updated]]</f>
        <v>2</v>
      </c>
      <c r="J202">
        <f t="shared" si="7"/>
        <v>19</v>
      </c>
      <c r="K202">
        <f t="shared" si="6"/>
        <v>87</v>
      </c>
    </row>
    <row r="203" spans="1:11">
      <c r="A203">
        <f>Table1[[#This Row],[Role ID]]</f>
        <v>149</v>
      </c>
      <c r="B203" t="str">
        <f>Table1[[#This Row],[Role]]</f>
        <v>Sales Manager</v>
      </c>
      <c r="C203" t="str">
        <f>Table1[[#This Row],[Stream Internal]]</f>
        <v>SAM</v>
      </c>
      <c r="D203" s="1">
        <f>IF(ISBLANK(Table1[[#This Row],[Demand Date]]),"",Table1[[#This Row],[Demand Date]])</f>
        <v>45822</v>
      </c>
      <c r="E203" s="1">
        <f>IF(ISBLANK(Table1[[#This Row],[Date Job Requirement Released]]),"",Table1[[#This Row],[Date Job Requirement Released]])</f>
        <v>45892</v>
      </c>
      <c r="F203" s="1" t="str">
        <f>IF(ISBLANK(Table1[[#This Row],[Date Offered]]),"",Table1[[#This Row],[Date Offered]])</f>
        <v/>
      </c>
      <c r="G203" s="1" t="str">
        <f>IF(ISBLANK(Table1[[#This Row],[Date Onboarded]]),"",Table1[[#This Row],[Date Onboarded]])</f>
        <v/>
      </c>
      <c r="H203" t="str">
        <f>Table1[[#This Row],[Internal/External]]</f>
        <v>External</v>
      </c>
      <c r="I203">
        <f>Table1[[#This Row],[Pipeline Updated]]</f>
        <v>0</v>
      </c>
      <c r="J203" t="str">
        <f t="shared" si="7"/>
        <v/>
      </c>
      <c r="K203" t="str">
        <f t="shared" si="6"/>
        <v/>
      </c>
    </row>
    <row r="204" spans="1:11">
      <c r="A204">
        <f>Table1[[#This Row],[Role ID]]</f>
        <v>118</v>
      </c>
      <c r="B204" t="str">
        <f>Table1[[#This Row],[Role]]</f>
        <v>Sales Director</v>
      </c>
      <c r="C204" t="str">
        <f>Table1[[#This Row],[Stream Internal]]</f>
        <v>SAM</v>
      </c>
      <c r="D204" s="1">
        <f>IF(ISBLANK(Table1[[#This Row],[Demand Date]]),"",Table1[[#This Row],[Demand Date]])</f>
        <v>45865</v>
      </c>
      <c r="E204" s="1">
        <f>IF(ISBLANK(Table1[[#This Row],[Date Job Requirement Released]]),"",Table1[[#This Row],[Date Job Requirement Released]])</f>
        <v>45933</v>
      </c>
      <c r="F204" s="1">
        <f>IF(ISBLANK(Table1[[#This Row],[Date Offered]]),"",Table1[[#This Row],[Date Offered]])</f>
        <v>45947</v>
      </c>
      <c r="G204" s="1">
        <f>IF(ISBLANK(Table1[[#This Row],[Date Onboarded]]),"",Table1[[#This Row],[Date Onboarded]])</f>
        <v>46002</v>
      </c>
      <c r="H204" t="str">
        <f>Table1[[#This Row],[Internal/External]]</f>
        <v>Internal</v>
      </c>
      <c r="I204">
        <f>Table1[[#This Row],[Pipeline Updated]]</f>
        <v>2</v>
      </c>
      <c r="J204">
        <f t="shared" si="7"/>
        <v>14</v>
      </c>
      <c r="K204">
        <f t="shared" si="6"/>
        <v>69</v>
      </c>
    </row>
    <row r="205" spans="1:11">
      <c r="A205">
        <f>Table1[[#This Row],[Role ID]]</f>
        <v>150</v>
      </c>
      <c r="B205" t="str">
        <f>Table1[[#This Row],[Role]]</f>
        <v>Senior SDE</v>
      </c>
      <c r="C205" t="str">
        <f>Table1[[#This Row],[Stream Internal]]</f>
        <v>ENGG</v>
      </c>
      <c r="D205" s="1">
        <f>IF(ISBLANK(Table1[[#This Row],[Demand Date]]),"",Table1[[#This Row],[Demand Date]])</f>
        <v>45828</v>
      </c>
      <c r="E205" s="1">
        <f>IF(ISBLANK(Table1[[#This Row],[Date Job Requirement Released]]),"",Table1[[#This Row],[Date Job Requirement Released]])</f>
        <v>45882</v>
      </c>
      <c r="F205" s="1" t="str">
        <f>IF(ISBLANK(Table1[[#This Row],[Date Offered]]),"",Table1[[#This Row],[Date Offered]])</f>
        <v/>
      </c>
      <c r="G205" s="1" t="str">
        <f>IF(ISBLANK(Table1[[#This Row],[Date Onboarded]]),"",Table1[[#This Row],[Date Onboarded]])</f>
        <v/>
      </c>
      <c r="H205" t="str">
        <f>Table1[[#This Row],[Internal/External]]</f>
        <v>Internal</v>
      </c>
      <c r="I205">
        <f>Table1[[#This Row],[Pipeline Updated]]</f>
        <v>0</v>
      </c>
      <c r="J205" t="str">
        <f t="shared" si="7"/>
        <v/>
      </c>
      <c r="K205" t="str">
        <f t="shared" si="6"/>
        <v/>
      </c>
    </row>
    <row r="206" spans="1:11">
      <c r="A206">
        <f>Table1[[#This Row],[Role ID]]</f>
        <v>88</v>
      </c>
      <c r="B206" t="str">
        <f>Table1[[#This Row],[Role]]</f>
        <v>Desktop Support Specialist</v>
      </c>
      <c r="C206" t="str">
        <f>Table1[[#This Row],[Stream Internal]]</f>
        <v>ITES</v>
      </c>
      <c r="D206" s="1">
        <f>IF(ISBLANK(Table1[[#This Row],[Demand Date]]),"",Table1[[#This Row],[Demand Date]])</f>
        <v>45821</v>
      </c>
      <c r="E206" s="1">
        <f>IF(ISBLANK(Table1[[#This Row],[Date Job Requirement Released]]),"",Table1[[#This Row],[Date Job Requirement Released]])</f>
        <v>45884</v>
      </c>
      <c r="F206" s="1" t="str">
        <f>IF(ISBLANK(Table1[[#This Row],[Date Offered]]),"",Table1[[#This Row],[Date Offered]])</f>
        <v/>
      </c>
      <c r="G206" s="1" t="str">
        <f>IF(ISBLANK(Table1[[#This Row],[Date Onboarded]]),"",Table1[[#This Row],[Date Onboarded]])</f>
        <v/>
      </c>
      <c r="H206" t="str">
        <f>Table1[[#This Row],[Internal/External]]</f>
        <v>Internal</v>
      </c>
      <c r="I206">
        <f>Table1[[#This Row],[Pipeline Updated]]</f>
        <v>0</v>
      </c>
      <c r="J206" t="str">
        <f t="shared" si="7"/>
        <v/>
      </c>
      <c r="K206" t="str">
        <f t="shared" si="6"/>
        <v/>
      </c>
    </row>
    <row r="207" spans="1:11">
      <c r="A207">
        <f>Table1[[#This Row],[Role ID]]</f>
        <v>151</v>
      </c>
      <c r="B207" t="str">
        <f>Table1[[#This Row],[Role]]</f>
        <v>Research Scientist</v>
      </c>
      <c r="C207" t="str">
        <f>Table1[[#This Row],[Stream Internal]]</f>
        <v>RND</v>
      </c>
      <c r="D207" s="1">
        <f>IF(ISBLANK(Table1[[#This Row],[Demand Date]]),"",Table1[[#This Row],[Demand Date]])</f>
        <v>45864</v>
      </c>
      <c r="E207" s="1">
        <f>IF(ISBLANK(Table1[[#This Row],[Date Job Requirement Released]]),"",Table1[[#This Row],[Date Job Requirement Released]])</f>
        <v>45909</v>
      </c>
      <c r="F207" s="1" t="str">
        <f>IF(ISBLANK(Table1[[#This Row],[Date Offered]]),"",Table1[[#This Row],[Date Offered]])</f>
        <v/>
      </c>
      <c r="G207" s="1" t="str">
        <f>IF(ISBLANK(Table1[[#This Row],[Date Onboarded]]),"",Table1[[#This Row],[Date Onboarded]])</f>
        <v/>
      </c>
      <c r="H207" t="str">
        <f>Table1[[#This Row],[Internal/External]]</f>
        <v>Internal</v>
      </c>
      <c r="I207">
        <f>Table1[[#This Row],[Pipeline Updated]]</f>
        <v>0</v>
      </c>
      <c r="J207" t="str">
        <f t="shared" si="7"/>
        <v/>
      </c>
      <c r="K207" t="str">
        <f t="shared" si="6"/>
        <v/>
      </c>
    </row>
    <row r="208" spans="1:11">
      <c r="A208">
        <f>Table1[[#This Row],[Role ID]]</f>
        <v>152</v>
      </c>
      <c r="B208" t="str">
        <f>Table1[[#This Row],[Role]]</f>
        <v>Digital Marketing Specialist</v>
      </c>
      <c r="C208" t="str">
        <f>Table1[[#This Row],[Stream Internal]]</f>
        <v>SAM</v>
      </c>
      <c r="D208" s="1">
        <f>IF(ISBLANK(Table1[[#This Row],[Demand Date]]),"",Table1[[#This Row],[Demand Date]])</f>
        <v>45930</v>
      </c>
      <c r="E208" s="1">
        <f>IF(ISBLANK(Table1[[#This Row],[Date Job Requirement Released]]),"",Table1[[#This Row],[Date Job Requirement Released]])</f>
        <v>45998</v>
      </c>
      <c r="F208" s="1">
        <f>IF(ISBLANK(Table1[[#This Row],[Date Offered]]),"",Table1[[#This Row],[Date Offered]])</f>
        <v>46017</v>
      </c>
      <c r="G208" s="1">
        <f>IF(ISBLANK(Table1[[#This Row],[Date Onboarded]]),"",Table1[[#This Row],[Date Onboarded]])</f>
        <v>46036</v>
      </c>
      <c r="H208" t="str">
        <f>Table1[[#This Row],[Internal/External]]</f>
        <v>Internal</v>
      </c>
      <c r="I208">
        <f>Table1[[#This Row],[Pipeline Updated]]</f>
        <v>2</v>
      </c>
      <c r="J208">
        <f t="shared" si="7"/>
        <v>19</v>
      </c>
      <c r="K208">
        <f t="shared" si="6"/>
        <v>38</v>
      </c>
    </row>
    <row r="209" spans="1:11">
      <c r="A209">
        <f>Table1[[#This Row],[Role ID]]</f>
        <v>153</v>
      </c>
      <c r="B209" t="str">
        <f>Table1[[#This Row],[Role]]</f>
        <v>IT Coordinator</v>
      </c>
      <c r="C209" t="str">
        <f>Table1[[#This Row],[Stream Internal]]</f>
        <v>ITES</v>
      </c>
      <c r="D209" s="1">
        <f>IF(ISBLANK(Table1[[#This Row],[Demand Date]]),"",Table1[[#This Row],[Demand Date]])</f>
        <v>45912</v>
      </c>
      <c r="E209" s="1">
        <f>IF(ISBLANK(Table1[[#This Row],[Date Job Requirement Released]]),"",Table1[[#This Row],[Date Job Requirement Released]])</f>
        <v>45977</v>
      </c>
      <c r="F209" s="1" t="str">
        <f>IF(ISBLANK(Table1[[#This Row],[Date Offered]]),"",Table1[[#This Row],[Date Offered]])</f>
        <v/>
      </c>
      <c r="G209" s="1" t="str">
        <f>IF(ISBLANK(Table1[[#This Row],[Date Onboarded]]),"",Table1[[#This Row],[Date Onboarded]])</f>
        <v/>
      </c>
      <c r="H209" t="str">
        <f>Table1[[#This Row],[Internal/External]]</f>
        <v>Internal</v>
      </c>
      <c r="I209">
        <f>Table1[[#This Row],[Pipeline Updated]]</f>
        <v>0</v>
      </c>
      <c r="J209" t="str">
        <f t="shared" si="7"/>
        <v/>
      </c>
      <c r="K209" t="str">
        <f t="shared" si="6"/>
        <v/>
      </c>
    </row>
    <row r="210" spans="1:11">
      <c r="A210">
        <f>Table1[[#This Row],[Role ID]]</f>
        <v>154</v>
      </c>
      <c r="B210" t="str">
        <f>Table1[[#This Row],[Role]]</f>
        <v>Digital Marketing Specialist</v>
      </c>
      <c r="C210" t="str">
        <f>Table1[[#This Row],[Stream Internal]]</f>
        <v>SAM</v>
      </c>
      <c r="D210" s="1">
        <f>IF(ISBLANK(Table1[[#This Row],[Demand Date]]),"",Table1[[#This Row],[Demand Date]])</f>
        <v>45915</v>
      </c>
      <c r="E210" s="1">
        <f>IF(ISBLANK(Table1[[#This Row],[Date Job Requirement Released]]),"",Table1[[#This Row],[Date Job Requirement Released]])</f>
        <v>45983</v>
      </c>
      <c r="F210" s="1">
        <f>IF(ISBLANK(Table1[[#This Row],[Date Offered]]),"",Table1[[#This Row],[Date Offered]])</f>
        <v>46002</v>
      </c>
      <c r="G210" s="1">
        <f>IF(ISBLANK(Table1[[#This Row],[Date Onboarded]]),"",Table1[[#This Row],[Date Onboarded]])</f>
        <v>46051</v>
      </c>
      <c r="H210" t="str">
        <f>Table1[[#This Row],[Internal/External]]</f>
        <v>Internal</v>
      </c>
      <c r="I210">
        <f>Table1[[#This Row],[Pipeline Updated]]</f>
        <v>1</v>
      </c>
      <c r="J210">
        <f t="shared" si="7"/>
        <v>19</v>
      </c>
      <c r="K210">
        <f t="shared" si="6"/>
        <v>68</v>
      </c>
    </row>
    <row r="211" spans="1:11">
      <c r="A211">
        <f>Table1[[#This Row],[Role ID]]</f>
        <v>117</v>
      </c>
      <c r="B211" t="str">
        <f>Table1[[#This Row],[Role]]</f>
        <v>R&amp;D Engineer</v>
      </c>
      <c r="C211" t="str">
        <f>Table1[[#This Row],[Stream Internal]]</f>
        <v>RND</v>
      </c>
      <c r="D211" s="1">
        <f>IF(ISBLANK(Table1[[#This Row],[Demand Date]]),"",Table1[[#This Row],[Demand Date]])</f>
        <v>45894</v>
      </c>
      <c r="E211" s="1">
        <f>IF(ISBLANK(Table1[[#This Row],[Date Job Requirement Released]]),"",Table1[[#This Row],[Date Job Requirement Released]])</f>
        <v>45969</v>
      </c>
      <c r="F211" s="1">
        <f>IF(ISBLANK(Table1[[#This Row],[Date Offered]]),"",Table1[[#This Row],[Date Offered]])</f>
        <v>45981</v>
      </c>
      <c r="G211" s="1">
        <f>IF(ISBLANK(Table1[[#This Row],[Date Onboarded]]),"",Table1[[#This Row],[Date Onboarded]])</f>
        <v>46021</v>
      </c>
      <c r="H211" t="str">
        <f>Table1[[#This Row],[Internal/External]]</f>
        <v>Internal</v>
      </c>
      <c r="I211">
        <f>Table1[[#This Row],[Pipeline Updated]]</f>
        <v>1</v>
      </c>
      <c r="J211">
        <f t="shared" si="7"/>
        <v>12</v>
      </c>
      <c r="K211">
        <f t="shared" si="6"/>
        <v>52</v>
      </c>
    </row>
    <row r="212" spans="1:11">
      <c r="A212">
        <f>Table1[[#This Row],[Role ID]]</f>
        <v>155</v>
      </c>
      <c r="B212" t="str">
        <f>Table1[[#This Row],[Role]]</f>
        <v>Innovation Manager</v>
      </c>
      <c r="C212" t="str">
        <f>Table1[[#This Row],[Stream Internal]]</f>
        <v>RND</v>
      </c>
      <c r="D212" s="1">
        <f>IF(ISBLANK(Table1[[#This Row],[Demand Date]]),"",Table1[[#This Row],[Demand Date]])</f>
        <v>45841</v>
      </c>
      <c r="E212" s="1">
        <f>IF(ISBLANK(Table1[[#This Row],[Date Job Requirement Released]]),"",Table1[[#This Row],[Date Job Requirement Released]])</f>
        <v>45895</v>
      </c>
      <c r="F212" s="1" t="str">
        <f>IF(ISBLANK(Table1[[#This Row],[Date Offered]]),"",Table1[[#This Row],[Date Offered]])</f>
        <v/>
      </c>
      <c r="G212" s="1" t="str">
        <f>IF(ISBLANK(Table1[[#This Row],[Date Onboarded]]),"",Table1[[#This Row],[Date Onboarded]])</f>
        <v/>
      </c>
      <c r="H212" t="str">
        <f>Table1[[#This Row],[Internal/External]]</f>
        <v>Internal</v>
      </c>
      <c r="I212">
        <f>Table1[[#This Row],[Pipeline Updated]]</f>
        <v>0</v>
      </c>
      <c r="J212" t="str">
        <f t="shared" si="7"/>
        <v/>
      </c>
      <c r="K212" t="str">
        <f t="shared" si="6"/>
        <v/>
      </c>
    </row>
    <row r="213" spans="1:11">
      <c r="A213">
        <f>Table1[[#This Row],[Role ID]]</f>
        <v>156</v>
      </c>
      <c r="B213" t="str">
        <f>Table1[[#This Row],[Role]]</f>
        <v>Desktop Support Specialist</v>
      </c>
      <c r="C213" t="str">
        <f>Table1[[#This Row],[Stream Internal]]</f>
        <v>ITES</v>
      </c>
      <c r="D213" s="1">
        <f>IF(ISBLANK(Table1[[#This Row],[Demand Date]]),"",Table1[[#This Row],[Demand Date]])</f>
        <v>45854</v>
      </c>
      <c r="E213" s="1">
        <f>IF(ISBLANK(Table1[[#This Row],[Date Job Requirement Released]]),"",Table1[[#This Row],[Date Job Requirement Released]])</f>
        <v>45907</v>
      </c>
      <c r="F213" s="1" t="str">
        <f>IF(ISBLANK(Table1[[#This Row],[Date Offered]]),"",Table1[[#This Row],[Date Offered]])</f>
        <v/>
      </c>
      <c r="G213" s="1" t="str">
        <f>IF(ISBLANK(Table1[[#This Row],[Date Onboarded]]),"",Table1[[#This Row],[Date Onboarded]])</f>
        <v/>
      </c>
      <c r="H213" t="str">
        <f>Table1[[#This Row],[Internal/External]]</f>
        <v>Internal</v>
      </c>
      <c r="I213">
        <f>Table1[[#This Row],[Pipeline Updated]]</f>
        <v>0</v>
      </c>
      <c r="J213" t="str">
        <f t="shared" si="7"/>
        <v/>
      </c>
      <c r="K213" t="str">
        <f t="shared" si="6"/>
        <v/>
      </c>
    </row>
    <row r="214" spans="1:11">
      <c r="A214">
        <f>Table1[[#This Row],[Role ID]]</f>
        <v>157</v>
      </c>
      <c r="B214" t="str">
        <f>Table1[[#This Row],[Role]]</f>
        <v>R&amp;D Manager</v>
      </c>
      <c r="C214" t="str">
        <f>Table1[[#This Row],[Stream Internal]]</f>
        <v>RND</v>
      </c>
      <c r="D214" s="1">
        <f>IF(ISBLANK(Table1[[#This Row],[Demand Date]]),"",Table1[[#This Row],[Demand Date]])</f>
        <v>45922</v>
      </c>
      <c r="E214" s="1">
        <f>IF(ISBLANK(Table1[[#This Row],[Date Job Requirement Released]]),"",Table1[[#This Row],[Date Job Requirement Released]])</f>
        <v>45984</v>
      </c>
      <c r="F214" s="1">
        <f>IF(ISBLANK(Table1[[#This Row],[Date Offered]]),"",Table1[[#This Row],[Date Offered]])</f>
        <v>46004</v>
      </c>
      <c r="G214" s="1">
        <f>IF(ISBLANK(Table1[[#This Row],[Date Onboarded]]),"",Table1[[#This Row],[Date Onboarded]])</f>
        <v>46031</v>
      </c>
      <c r="H214" t="str">
        <f>Table1[[#This Row],[Internal/External]]</f>
        <v>Internal</v>
      </c>
      <c r="I214">
        <f>Table1[[#This Row],[Pipeline Updated]]</f>
        <v>0</v>
      </c>
      <c r="J214">
        <f t="shared" si="7"/>
        <v>20</v>
      </c>
      <c r="K214">
        <f t="shared" si="6"/>
        <v>47</v>
      </c>
    </row>
    <row r="215" spans="1:11">
      <c r="A215">
        <f>Table1[[#This Row],[Role ID]]</f>
        <v>158</v>
      </c>
      <c r="B215" t="str">
        <f>Table1[[#This Row],[Role]]</f>
        <v>Software Developer 2</v>
      </c>
      <c r="C215" t="str">
        <f>Table1[[#This Row],[Stream Internal]]</f>
        <v>ENGG</v>
      </c>
      <c r="D215" s="1">
        <f>IF(ISBLANK(Table1[[#This Row],[Demand Date]]),"",Table1[[#This Row],[Demand Date]])</f>
        <v>45860</v>
      </c>
      <c r="E215" s="1">
        <f>IF(ISBLANK(Table1[[#This Row],[Date Job Requirement Released]]),"",Table1[[#This Row],[Date Job Requirement Released]])</f>
        <v>45935</v>
      </c>
      <c r="F215" s="1" t="str">
        <f>IF(ISBLANK(Table1[[#This Row],[Date Offered]]),"",Table1[[#This Row],[Date Offered]])</f>
        <v/>
      </c>
      <c r="G215" s="1" t="str">
        <f>IF(ISBLANK(Table1[[#This Row],[Date Onboarded]]),"",Table1[[#This Row],[Date Onboarded]])</f>
        <v/>
      </c>
      <c r="H215" t="str">
        <f>Table1[[#This Row],[Internal/External]]</f>
        <v>Internal</v>
      </c>
      <c r="I215">
        <f>Table1[[#This Row],[Pipeline Updated]]</f>
        <v>0</v>
      </c>
      <c r="J215" t="str">
        <f t="shared" si="7"/>
        <v/>
      </c>
      <c r="K215" t="str">
        <f t="shared" si="6"/>
        <v/>
      </c>
    </row>
    <row r="216" spans="1:11">
      <c r="A216">
        <f>Table1[[#This Row],[Role ID]]</f>
        <v>9</v>
      </c>
      <c r="B216" t="str">
        <f>Table1[[#This Row],[Role]]</f>
        <v>Software Developer 1</v>
      </c>
      <c r="C216" t="str">
        <f>Table1[[#This Row],[Stream Internal]]</f>
        <v>ENGG</v>
      </c>
      <c r="D216" s="1">
        <f>IF(ISBLANK(Table1[[#This Row],[Demand Date]]),"",Table1[[#This Row],[Demand Date]])</f>
        <v>45854</v>
      </c>
      <c r="E216" s="1">
        <f>IF(ISBLANK(Table1[[#This Row],[Date Job Requirement Released]]),"",Table1[[#This Row],[Date Job Requirement Released]])</f>
        <v>45924</v>
      </c>
      <c r="F216" s="1" t="str">
        <f>IF(ISBLANK(Table1[[#This Row],[Date Offered]]),"",Table1[[#This Row],[Date Offered]])</f>
        <v/>
      </c>
      <c r="G216" s="1" t="str">
        <f>IF(ISBLANK(Table1[[#This Row],[Date Onboarded]]),"",Table1[[#This Row],[Date Onboarded]])</f>
        <v/>
      </c>
      <c r="H216" t="str">
        <f>Table1[[#This Row],[Internal/External]]</f>
        <v>Internal</v>
      </c>
      <c r="I216">
        <f>Table1[[#This Row],[Pipeline Updated]]</f>
        <v>0</v>
      </c>
      <c r="J216" t="str">
        <f t="shared" si="7"/>
        <v/>
      </c>
      <c r="K216" t="str">
        <f t="shared" si="6"/>
        <v/>
      </c>
    </row>
    <row r="217" spans="1:11">
      <c r="A217">
        <f>Table1[[#This Row],[Role ID]]</f>
        <v>159</v>
      </c>
      <c r="B217" t="str">
        <f>Table1[[#This Row],[Role]]</f>
        <v>Computer Technician</v>
      </c>
      <c r="C217" t="str">
        <f>Table1[[#This Row],[Stream Internal]]</f>
        <v>ITES</v>
      </c>
      <c r="D217" s="1">
        <f>IF(ISBLANK(Table1[[#This Row],[Demand Date]]),"",Table1[[#This Row],[Demand Date]])</f>
        <v>45815</v>
      </c>
      <c r="E217" s="1">
        <f>IF(ISBLANK(Table1[[#This Row],[Date Job Requirement Released]]),"",Table1[[#This Row],[Date Job Requirement Released]])</f>
        <v>45866</v>
      </c>
      <c r="F217" s="1">
        <f>IF(ISBLANK(Table1[[#This Row],[Date Offered]]),"",Table1[[#This Row],[Date Offered]])</f>
        <v>45880</v>
      </c>
      <c r="G217" s="1">
        <f>IF(ISBLANK(Table1[[#This Row],[Date Onboarded]]),"",Table1[[#This Row],[Date Onboarded]])</f>
        <v>45904</v>
      </c>
      <c r="H217" t="str">
        <f>Table1[[#This Row],[Internal/External]]</f>
        <v>Internal</v>
      </c>
      <c r="I217">
        <f>Table1[[#This Row],[Pipeline Updated]]</f>
        <v>1</v>
      </c>
      <c r="J217">
        <f t="shared" si="7"/>
        <v>14</v>
      </c>
      <c r="K217">
        <f t="shared" si="6"/>
        <v>38</v>
      </c>
    </row>
    <row r="218" spans="1:11">
      <c r="A218">
        <f>Table1[[#This Row],[Role ID]]</f>
        <v>160</v>
      </c>
      <c r="B218" t="str">
        <f>Table1[[#This Row],[Role]]</f>
        <v>VP Engineering</v>
      </c>
      <c r="C218" t="str">
        <f>Table1[[#This Row],[Stream Internal]]</f>
        <v>ENGG</v>
      </c>
      <c r="D218" s="1">
        <f>IF(ISBLANK(Table1[[#This Row],[Demand Date]]),"",Table1[[#This Row],[Demand Date]])</f>
        <v>45917</v>
      </c>
      <c r="E218" s="1">
        <f>IF(ISBLANK(Table1[[#This Row],[Date Job Requirement Released]]),"",Table1[[#This Row],[Date Job Requirement Released]])</f>
        <v>45992</v>
      </c>
      <c r="F218" s="1">
        <f>IF(ISBLANK(Table1[[#This Row],[Date Offered]]),"",Table1[[#This Row],[Date Offered]])</f>
        <v>46004</v>
      </c>
      <c r="G218" s="1">
        <f>IF(ISBLANK(Table1[[#This Row],[Date Onboarded]]),"",Table1[[#This Row],[Date Onboarded]])</f>
        <v>46032</v>
      </c>
      <c r="H218" t="str">
        <f>Table1[[#This Row],[Internal/External]]</f>
        <v>Internal</v>
      </c>
      <c r="I218">
        <f>Table1[[#This Row],[Pipeline Updated]]</f>
        <v>1</v>
      </c>
      <c r="J218">
        <f t="shared" si="7"/>
        <v>12</v>
      </c>
      <c r="K218">
        <f t="shared" si="6"/>
        <v>40</v>
      </c>
    </row>
    <row r="219" spans="1:11">
      <c r="A219">
        <f>Table1[[#This Row],[Role ID]]</f>
        <v>23</v>
      </c>
      <c r="B219" t="str">
        <f>Table1[[#This Row],[Role]]</f>
        <v>Application Support Analyst</v>
      </c>
      <c r="C219" t="str">
        <f>Table1[[#This Row],[Stream Internal]]</f>
        <v>ITES</v>
      </c>
      <c r="D219" s="1">
        <f>IF(ISBLANK(Table1[[#This Row],[Demand Date]]),"",Table1[[#This Row],[Demand Date]])</f>
        <v>45919</v>
      </c>
      <c r="E219" s="1">
        <f>IF(ISBLANK(Table1[[#This Row],[Date Job Requirement Released]]),"",Table1[[#This Row],[Date Job Requirement Released]])</f>
        <v>45980</v>
      </c>
      <c r="F219" s="1">
        <f>IF(ISBLANK(Table1[[#This Row],[Date Offered]]),"",Table1[[#This Row],[Date Offered]])</f>
        <v>45999</v>
      </c>
      <c r="G219" s="1">
        <f>IF(ISBLANK(Table1[[#This Row],[Date Onboarded]]),"",Table1[[#This Row],[Date Onboarded]])</f>
        <v>46056</v>
      </c>
      <c r="H219" t="str">
        <f>Table1[[#This Row],[Internal/External]]</f>
        <v>Internal</v>
      </c>
      <c r="I219">
        <f>Table1[[#This Row],[Pipeline Updated]]</f>
        <v>1</v>
      </c>
      <c r="J219">
        <f t="shared" si="7"/>
        <v>19</v>
      </c>
      <c r="K219">
        <f t="shared" si="6"/>
        <v>76</v>
      </c>
    </row>
    <row r="220" spans="1:11">
      <c r="A220">
        <f>Table1[[#This Row],[Role ID]]</f>
        <v>39</v>
      </c>
      <c r="B220" t="str">
        <f>Table1[[#This Row],[Role]]</f>
        <v>Senior SDE</v>
      </c>
      <c r="C220" t="str">
        <f>Table1[[#This Row],[Stream Internal]]</f>
        <v>ENGG</v>
      </c>
      <c r="D220" s="1">
        <f>IF(ISBLANK(Table1[[#This Row],[Demand Date]]),"",Table1[[#This Row],[Demand Date]])</f>
        <v>45900</v>
      </c>
      <c r="E220" s="1">
        <f>IF(ISBLANK(Table1[[#This Row],[Date Job Requirement Released]]),"",Table1[[#This Row],[Date Job Requirement Released]])</f>
        <v>45951</v>
      </c>
      <c r="F220" s="1" t="str">
        <f>IF(ISBLANK(Table1[[#This Row],[Date Offered]]),"",Table1[[#This Row],[Date Offered]])</f>
        <v/>
      </c>
      <c r="G220" s="1" t="str">
        <f>IF(ISBLANK(Table1[[#This Row],[Date Onboarded]]),"",Table1[[#This Row],[Date Onboarded]])</f>
        <v/>
      </c>
      <c r="H220" t="str">
        <f>Table1[[#This Row],[Internal/External]]</f>
        <v>Internal</v>
      </c>
      <c r="I220">
        <f>Table1[[#This Row],[Pipeline Updated]]</f>
        <v>0</v>
      </c>
      <c r="J220" t="str">
        <f t="shared" si="7"/>
        <v/>
      </c>
      <c r="K220" t="str">
        <f t="shared" si="6"/>
        <v/>
      </c>
    </row>
    <row r="221" spans="1:11">
      <c r="A221">
        <f>Table1[[#This Row],[Role ID]]</f>
        <v>56</v>
      </c>
      <c r="B221" t="str">
        <f>Table1[[#This Row],[Role]]</f>
        <v>Senior R&amp;D Manager</v>
      </c>
      <c r="C221" t="str">
        <f>Table1[[#This Row],[Stream Internal]]</f>
        <v>RND</v>
      </c>
      <c r="D221" s="1">
        <f>IF(ISBLANK(Table1[[#This Row],[Demand Date]]),"",Table1[[#This Row],[Demand Date]])</f>
        <v>45846</v>
      </c>
      <c r="E221" s="1">
        <f>IF(ISBLANK(Table1[[#This Row],[Date Job Requirement Released]]),"",Table1[[#This Row],[Date Job Requirement Released]])</f>
        <v>45908</v>
      </c>
      <c r="F221" s="1">
        <f>IF(ISBLANK(Table1[[#This Row],[Date Offered]]),"",Table1[[#This Row],[Date Offered]])</f>
        <v>45921</v>
      </c>
      <c r="G221" s="1">
        <f>IF(ISBLANK(Table1[[#This Row],[Date Onboarded]]),"",Table1[[#This Row],[Date Onboarded]])</f>
        <v>45957</v>
      </c>
      <c r="H221" t="str">
        <f>Table1[[#This Row],[Internal/External]]</f>
        <v>Internal</v>
      </c>
      <c r="I221">
        <f>Table1[[#This Row],[Pipeline Updated]]</f>
        <v>1</v>
      </c>
      <c r="J221">
        <f t="shared" si="7"/>
        <v>13</v>
      </c>
      <c r="K221">
        <f t="shared" si="6"/>
        <v>49</v>
      </c>
    </row>
    <row r="222" spans="1:11">
      <c r="A222">
        <f>Table1[[#This Row],[Role ID]]</f>
        <v>153</v>
      </c>
      <c r="B222" t="str">
        <f>Table1[[#This Row],[Role]]</f>
        <v>IT Coordinator</v>
      </c>
      <c r="C222" t="str">
        <f>Table1[[#This Row],[Stream Internal]]</f>
        <v>ITES</v>
      </c>
      <c r="D222" s="1">
        <f>IF(ISBLANK(Table1[[#This Row],[Demand Date]]),"",Table1[[#This Row],[Demand Date]])</f>
        <v>45894</v>
      </c>
      <c r="E222" s="1">
        <f>IF(ISBLANK(Table1[[#This Row],[Date Job Requirement Released]]),"",Table1[[#This Row],[Date Job Requirement Released]])</f>
        <v>45946</v>
      </c>
      <c r="F222" s="1" t="str">
        <f>IF(ISBLANK(Table1[[#This Row],[Date Offered]]),"",Table1[[#This Row],[Date Offered]])</f>
        <v/>
      </c>
      <c r="G222" s="1" t="str">
        <f>IF(ISBLANK(Table1[[#This Row],[Date Onboarded]]),"",Table1[[#This Row],[Date Onboarded]])</f>
        <v/>
      </c>
      <c r="H222" t="str">
        <f>Table1[[#This Row],[Internal/External]]</f>
        <v>Internal</v>
      </c>
      <c r="I222">
        <f>Table1[[#This Row],[Pipeline Updated]]</f>
        <v>0</v>
      </c>
      <c r="J222" t="str">
        <f t="shared" si="7"/>
        <v/>
      </c>
      <c r="K222" t="str">
        <f t="shared" si="6"/>
        <v/>
      </c>
    </row>
    <row r="223" spans="1:11">
      <c r="A223">
        <f>Table1[[#This Row],[Role ID]]</f>
        <v>161</v>
      </c>
      <c r="B223" t="str">
        <f>Table1[[#This Row],[Role]]</f>
        <v>Senior SDE</v>
      </c>
      <c r="C223" t="str">
        <f>Table1[[#This Row],[Stream Internal]]</f>
        <v>ENGG</v>
      </c>
      <c r="D223" s="1">
        <f>IF(ISBLANK(Table1[[#This Row],[Demand Date]]),"",Table1[[#This Row],[Demand Date]])</f>
        <v>45837</v>
      </c>
      <c r="E223" s="1">
        <f>IF(ISBLANK(Table1[[#This Row],[Date Job Requirement Released]]),"",Table1[[#This Row],[Date Job Requirement Released]])</f>
        <v>45887</v>
      </c>
      <c r="F223" s="1">
        <f>IF(ISBLANK(Table1[[#This Row],[Date Offered]]),"",Table1[[#This Row],[Date Offered]])</f>
        <v>45899</v>
      </c>
      <c r="G223" s="1">
        <f>IF(ISBLANK(Table1[[#This Row],[Date Onboarded]]),"",Table1[[#This Row],[Date Onboarded]])</f>
        <v>45929</v>
      </c>
      <c r="H223" t="str">
        <f>Table1[[#This Row],[Internal/External]]</f>
        <v>Internal</v>
      </c>
      <c r="I223">
        <f>Table1[[#This Row],[Pipeline Updated]]</f>
        <v>2</v>
      </c>
      <c r="J223">
        <f t="shared" si="7"/>
        <v>12</v>
      </c>
      <c r="K223">
        <f t="shared" si="6"/>
        <v>42</v>
      </c>
    </row>
    <row r="224" spans="1:11">
      <c r="A224">
        <f>Table1[[#This Row],[Role ID]]</f>
        <v>20</v>
      </c>
      <c r="B224" t="str">
        <f>Table1[[#This Row],[Role]]</f>
        <v>Research Analyst</v>
      </c>
      <c r="C224" t="str">
        <f>Table1[[#This Row],[Stream Internal]]</f>
        <v>RND</v>
      </c>
      <c r="D224" s="1">
        <f>IF(ISBLANK(Table1[[#This Row],[Demand Date]]),"",Table1[[#This Row],[Demand Date]])</f>
        <v>45866</v>
      </c>
      <c r="E224" s="1">
        <f>IF(ISBLANK(Table1[[#This Row],[Date Job Requirement Released]]),"",Table1[[#This Row],[Date Job Requirement Released]])</f>
        <v>45937</v>
      </c>
      <c r="F224" s="1" t="str">
        <f>IF(ISBLANK(Table1[[#This Row],[Date Offered]]),"",Table1[[#This Row],[Date Offered]])</f>
        <v/>
      </c>
      <c r="G224" s="1" t="str">
        <f>IF(ISBLANK(Table1[[#This Row],[Date Onboarded]]),"",Table1[[#This Row],[Date Onboarded]])</f>
        <v/>
      </c>
      <c r="H224" t="str">
        <f>Table1[[#This Row],[Internal/External]]</f>
        <v>External</v>
      </c>
      <c r="I224">
        <f>Table1[[#This Row],[Pipeline Updated]]</f>
        <v>0</v>
      </c>
      <c r="J224" t="str">
        <f t="shared" si="7"/>
        <v/>
      </c>
      <c r="K224" t="str">
        <f t="shared" si="6"/>
        <v/>
      </c>
    </row>
    <row r="225" spans="1:11">
      <c r="A225">
        <f>Table1[[#This Row],[Role ID]]</f>
        <v>162</v>
      </c>
      <c r="B225" t="str">
        <f>Table1[[#This Row],[Role]]</f>
        <v>Brand Manager</v>
      </c>
      <c r="C225" t="str">
        <f>Table1[[#This Row],[Stream Internal]]</f>
        <v>SAM</v>
      </c>
      <c r="D225" s="1">
        <f>IF(ISBLANK(Table1[[#This Row],[Demand Date]]),"",Table1[[#This Row],[Demand Date]])</f>
        <v>45832</v>
      </c>
      <c r="E225" s="1">
        <f>IF(ISBLANK(Table1[[#This Row],[Date Job Requirement Released]]),"",Table1[[#This Row],[Date Job Requirement Released]])</f>
        <v>45881</v>
      </c>
      <c r="F225" s="1">
        <f>IF(ISBLANK(Table1[[#This Row],[Date Offered]]),"",Table1[[#This Row],[Date Offered]])</f>
        <v>45896</v>
      </c>
      <c r="G225" s="1">
        <f>IF(ISBLANK(Table1[[#This Row],[Date Onboarded]]),"",Table1[[#This Row],[Date Onboarded]])</f>
        <v>45961</v>
      </c>
      <c r="H225" t="str">
        <f>Table1[[#This Row],[Internal/External]]</f>
        <v>Internal</v>
      </c>
      <c r="I225">
        <f>Table1[[#This Row],[Pipeline Updated]]</f>
        <v>0</v>
      </c>
      <c r="J225">
        <f t="shared" si="7"/>
        <v>15</v>
      </c>
      <c r="K225">
        <f t="shared" si="6"/>
        <v>80</v>
      </c>
    </row>
    <row r="226" spans="1:11">
      <c r="A226">
        <f>Table1[[#This Row],[Role ID]]</f>
        <v>53</v>
      </c>
      <c r="B226" t="str">
        <f>Table1[[#This Row],[Role]]</f>
        <v>Field Service Technician</v>
      </c>
      <c r="C226" t="str">
        <f>Table1[[#This Row],[Stream Internal]]</f>
        <v>ITES</v>
      </c>
      <c r="D226" s="1">
        <f>IF(ISBLANK(Table1[[#This Row],[Demand Date]]),"",Table1[[#This Row],[Demand Date]])</f>
        <v>45901</v>
      </c>
      <c r="E226" s="1">
        <f>IF(ISBLANK(Table1[[#This Row],[Date Job Requirement Released]]),"",Table1[[#This Row],[Date Job Requirement Released]])</f>
        <v>45963</v>
      </c>
      <c r="F226" s="1" t="str">
        <f>IF(ISBLANK(Table1[[#This Row],[Date Offered]]),"",Table1[[#This Row],[Date Offered]])</f>
        <v/>
      </c>
      <c r="G226" s="1" t="str">
        <f>IF(ISBLANK(Table1[[#This Row],[Date Onboarded]]),"",Table1[[#This Row],[Date Onboarded]])</f>
        <v/>
      </c>
      <c r="H226" t="str">
        <f>Table1[[#This Row],[Internal/External]]</f>
        <v>Internal</v>
      </c>
      <c r="I226">
        <f>Table1[[#This Row],[Pipeline Updated]]</f>
        <v>0</v>
      </c>
      <c r="J226" t="str">
        <f t="shared" si="7"/>
        <v/>
      </c>
      <c r="K226" t="str">
        <f t="shared" si="6"/>
        <v/>
      </c>
    </row>
    <row r="227" spans="1:11">
      <c r="A227">
        <f>Table1[[#This Row],[Role ID]]</f>
        <v>163</v>
      </c>
      <c r="B227" t="str">
        <f>Table1[[#This Row],[Role]]</f>
        <v>Field Service Technician</v>
      </c>
      <c r="C227" t="str">
        <f>Table1[[#This Row],[Stream Internal]]</f>
        <v>ITES</v>
      </c>
      <c r="D227" s="1">
        <f>IF(ISBLANK(Table1[[#This Row],[Demand Date]]),"",Table1[[#This Row],[Demand Date]])</f>
        <v>45844</v>
      </c>
      <c r="E227" s="1">
        <f>IF(ISBLANK(Table1[[#This Row],[Date Job Requirement Released]]),"",Table1[[#This Row],[Date Job Requirement Released]])</f>
        <v>45912</v>
      </c>
      <c r="F227" s="1" t="str">
        <f>IF(ISBLANK(Table1[[#This Row],[Date Offered]]),"",Table1[[#This Row],[Date Offered]])</f>
        <v/>
      </c>
      <c r="G227" s="1" t="str">
        <f>IF(ISBLANK(Table1[[#This Row],[Date Onboarded]]),"",Table1[[#This Row],[Date Onboarded]])</f>
        <v/>
      </c>
      <c r="H227" t="str">
        <f>Table1[[#This Row],[Internal/External]]</f>
        <v>Internal</v>
      </c>
      <c r="I227">
        <f>Table1[[#This Row],[Pipeline Updated]]</f>
        <v>0</v>
      </c>
      <c r="J227" t="str">
        <f t="shared" si="7"/>
        <v/>
      </c>
      <c r="K227" t="str">
        <f t="shared" si="6"/>
        <v/>
      </c>
    </row>
    <row r="228" spans="1:11">
      <c r="A228">
        <f>Table1[[#This Row],[Role ID]]</f>
        <v>90</v>
      </c>
      <c r="B228" t="str">
        <f>Table1[[#This Row],[Role]]</f>
        <v>Customer Support Specialist</v>
      </c>
      <c r="C228" t="str">
        <f>Table1[[#This Row],[Stream Internal]]</f>
        <v>SAM</v>
      </c>
      <c r="D228" s="1">
        <f>IF(ISBLANK(Table1[[#This Row],[Demand Date]]),"",Table1[[#This Row],[Demand Date]])</f>
        <v>45817</v>
      </c>
      <c r="E228" s="1">
        <f>IF(ISBLANK(Table1[[#This Row],[Date Job Requirement Released]]),"",Table1[[#This Row],[Date Job Requirement Released]])</f>
        <v>45880</v>
      </c>
      <c r="F228" s="1">
        <f>IF(ISBLANK(Table1[[#This Row],[Date Offered]]),"",Table1[[#This Row],[Date Offered]])</f>
        <v>45900</v>
      </c>
      <c r="G228" s="1">
        <f>IF(ISBLANK(Table1[[#This Row],[Date Onboarded]]),"",Table1[[#This Row],[Date Onboarded]])</f>
        <v>45927</v>
      </c>
      <c r="H228" t="str">
        <f>Table1[[#This Row],[Internal/External]]</f>
        <v>Internal</v>
      </c>
      <c r="I228">
        <f>Table1[[#This Row],[Pipeline Updated]]</f>
        <v>0</v>
      </c>
      <c r="J228">
        <f t="shared" si="7"/>
        <v>20</v>
      </c>
      <c r="K228">
        <f t="shared" si="6"/>
        <v>47</v>
      </c>
    </row>
    <row r="229" spans="1:11">
      <c r="A229">
        <f>Table1[[#This Row],[Role ID]]</f>
        <v>65</v>
      </c>
      <c r="B229" t="str">
        <f>Table1[[#This Row],[Role]]</f>
        <v>Senior R&amp;D Manager</v>
      </c>
      <c r="C229" t="str">
        <f>Table1[[#This Row],[Stream Internal]]</f>
        <v>RND</v>
      </c>
      <c r="D229" s="1">
        <f>IF(ISBLANK(Table1[[#This Row],[Demand Date]]),"",Table1[[#This Row],[Demand Date]])</f>
        <v>45865</v>
      </c>
      <c r="E229" s="1">
        <f>IF(ISBLANK(Table1[[#This Row],[Date Job Requirement Released]]),"",Table1[[#This Row],[Date Job Requirement Released]])</f>
        <v>45919</v>
      </c>
      <c r="F229" s="1" t="str">
        <f>IF(ISBLANK(Table1[[#This Row],[Date Offered]]),"",Table1[[#This Row],[Date Offered]])</f>
        <v/>
      </c>
      <c r="G229" s="1" t="str">
        <f>IF(ISBLANK(Table1[[#This Row],[Date Onboarded]]),"",Table1[[#This Row],[Date Onboarded]])</f>
        <v/>
      </c>
      <c r="H229" t="str">
        <f>Table1[[#This Row],[Internal/External]]</f>
        <v>External</v>
      </c>
      <c r="I229">
        <f>Table1[[#This Row],[Pipeline Updated]]</f>
        <v>0</v>
      </c>
      <c r="J229" t="str">
        <f t="shared" si="7"/>
        <v/>
      </c>
      <c r="K229" t="str">
        <f t="shared" si="6"/>
        <v/>
      </c>
    </row>
    <row r="230" spans="1:11">
      <c r="A230">
        <f>Table1[[#This Row],[Role ID]]</f>
        <v>52</v>
      </c>
      <c r="B230" t="str">
        <f>Table1[[#This Row],[Role]]</f>
        <v>Platform Delivery Lead</v>
      </c>
      <c r="C230" t="str">
        <f>Table1[[#This Row],[Stream Internal]]</f>
        <v>ENGG</v>
      </c>
      <c r="D230" s="1">
        <f>IF(ISBLANK(Table1[[#This Row],[Demand Date]]),"",Table1[[#This Row],[Demand Date]])</f>
        <v>45817</v>
      </c>
      <c r="E230" s="1">
        <f>IF(ISBLANK(Table1[[#This Row],[Date Job Requirement Released]]),"",Table1[[#This Row],[Date Job Requirement Released]])</f>
        <v>45881</v>
      </c>
      <c r="F230" s="1">
        <f>IF(ISBLANK(Table1[[#This Row],[Date Offered]]),"",Table1[[#This Row],[Date Offered]])</f>
        <v>45892</v>
      </c>
      <c r="G230" s="1">
        <f>IF(ISBLANK(Table1[[#This Row],[Date Onboarded]]),"",Table1[[#This Row],[Date Onboarded]])</f>
        <v>45971</v>
      </c>
      <c r="H230" t="str">
        <f>Table1[[#This Row],[Internal/External]]</f>
        <v>Internal</v>
      </c>
      <c r="I230">
        <f>Table1[[#This Row],[Pipeline Updated]]</f>
        <v>1</v>
      </c>
      <c r="J230">
        <f t="shared" si="7"/>
        <v>11</v>
      </c>
      <c r="K230">
        <f t="shared" si="6"/>
        <v>90</v>
      </c>
    </row>
    <row r="231" spans="1:11">
      <c r="A231">
        <f>Table1[[#This Row],[Role ID]]</f>
        <v>164</v>
      </c>
      <c r="B231" t="str">
        <f>Table1[[#This Row],[Role]]</f>
        <v>Customer Support Specialist</v>
      </c>
      <c r="C231" t="str">
        <f>Table1[[#This Row],[Stream Internal]]</f>
        <v>SAM</v>
      </c>
      <c r="D231" s="1">
        <f>IF(ISBLANK(Table1[[#This Row],[Demand Date]]),"",Table1[[#This Row],[Demand Date]])</f>
        <v>45891</v>
      </c>
      <c r="E231" s="1">
        <f>IF(ISBLANK(Table1[[#This Row],[Date Job Requirement Released]]),"",Table1[[#This Row],[Date Job Requirement Released]])</f>
        <v>45963</v>
      </c>
      <c r="F231" s="1">
        <f>IF(ISBLANK(Table1[[#This Row],[Date Offered]]),"",Table1[[#This Row],[Date Offered]])</f>
        <v>45978</v>
      </c>
      <c r="G231" s="1">
        <f>IF(ISBLANK(Table1[[#This Row],[Date Onboarded]]),"",Table1[[#This Row],[Date Onboarded]])</f>
        <v>46024</v>
      </c>
      <c r="H231" t="str">
        <f>Table1[[#This Row],[Internal/External]]</f>
        <v>Internal</v>
      </c>
      <c r="I231">
        <f>Table1[[#This Row],[Pipeline Updated]]</f>
        <v>0</v>
      </c>
      <c r="J231">
        <f t="shared" si="7"/>
        <v>15</v>
      </c>
      <c r="K231">
        <f t="shared" si="6"/>
        <v>61</v>
      </c>
    </row>
    <row r="232" spans="1:11">
      <c r="A232">
        <f>Table1[[#This Row],[Role ID]]</f>
        <v>165</v>
      </c>
      <c r="B232" t="str">
        <f>Table1[[#This Row],[Role]]</f>
        <v>Help Desk Technician</v>
      </c>
      <c r="C232" t="str">
        <f>Table1[[#This Row],[Stream Internal]]</f>
        <v>ITES</v>
      </c>
      <c r="D232" s="1">
        <f>IF(ISBLANK(Table1[[#This Row],[Demand Date]]),"",Table1[[#This Row],[Demand Date]])</f>
        <v>45870</v>
      </c>
      <c r="E232" s="1">
        <f>IF(ISBLANK(Table1[[#This Row],[Date Job Requirement Released]]),"",Table1[[#This Row],[Date Job Requirement Released]])</f>
        <v>45929</v>
      </c>
      <c r="F232" s="1">
        <f>IF(ISBLANK(Table1[[#This Row],[Date Offered]]),"",Table1[[#This Row],[Date Offered]])</f>
        <v>45940</v>
      </c>
      <c r="G232" s="1">
        <f>IF(ISBLANK(Table1[[#This Row],[Date Onboarded]]),"",Table1[[#This Row],[Date Onboarded]])</f>
        <v>45985</v>
      </c>
      <c r="H232" t="str">
        <f>Table1[[#This Row],[Internal/External]]</f>
        <v>Internal</v>
      </c>
      <c r="I232">
        <f>Table1[[#This Row],[Pipeline Updated]]</f>
        <v>2</v>
      </c>
      <c r="J232">
        <f t="shared" si="7"/>
        <v>11</v>
      </c>
      <c r="K232">
        <f t="shared" si="6"/>
        <v>56</v>
      </c>
    </row>
    <row r="233" spans="1:11">
      <c r="A233">
        <f>Table1[[#This Row],[Role ID]]</f>
        <v>36</v>
      </c>
      <c r="B233" t="str">
        <f>Table1[[#This Row],[Role]]</f>
        <v>Digital Marketing Specialist</v>
      </c>
      <c r="C233" t="str">
        <f>Table1[[#This Row],[Stream Internal]]</f>
        <v>SAM</v>
      </c>
      <c r="D233" s="1">
        <f>IF(ISBLANK(Table1[[#This Row],[Demand Date]]),"",Table1[[#This Row],[Demand Date]])</f>
        <v>45896</v>
      </c>
      <c r="E233" s="1">
        <f>IF(ISBLANK(Table1[[#This Row],[Date Job Requirement Released]]),"",Table1[[#This Row],[Date Job Requirement Released]])</f>
        <v>45957</v>
      </c>
      <c r="F233" s="1" t="str">
        <f>IF(ISBLANK(Table1[[#This Row],[Date Offered]]),"",Table1[[#This Row],[Date Offered]])</f>
        <v/>
      </c>
      <c r="G233" s="1" t="str">
        <f>IF(ISBLANK(Table1[[#This Row],[Date Onboarded]]),"",Table1[[#This Row],[Date Onboarded]])</f>
        <v/>
      </c>
      <c r="H233" t="str">
        <f>Table1[[#This Row],[Internal/External]]</f>
        <v>Internal</v>
      </c>
      <c r="I233">
        <f>Table1[[#This Row],[Pipeline Updated]]</f>
        <v>0</v>
      </c>
      <c r="J233" t="str">
        <f t="shared" si="7"/>
        <v/>
      </c>
      <c r="K233" t="str">
        <f t="shared" si="6"/>
        <v/>
      </c>
    </row>
    <row r="234" spans="1:11">
      <c r="A234">
        <f>Table1[[#This Row],[Role ID]]</f>
        <v>63</v>
      </c>
      <c r="B234" t="str">
        <f>Table1[[#This Row],[Role]]</f>
        <v>Staff Engineer</v>
      </c>
      <c r="C234" t="str">
        <f>Table1[[#This Row],[Stream Internal]]</f>
        <v>ENGG</v>
      </c>
      <c r="D234" s="1">
        <f>IF(ISBLANK(Table1[[#This Row],[Demand Date]]),"",Table1[[#This Row],[Demand Date]])</f>
        <v>45888</v>
      </c>
      <c r="E234" s="1">
        <f>IF(ISBLANK(Table1[[#This Row],[Date Job Requirement Released]]),"",Table1[[#This Row],[Date Job Requirement Released]])</f>
        <v>45959</v>
      </c>
      <c r="F234" s="1">
        <f>IF(ISBLANK(Table1[[#This Row],[Date Offered]]),"",Table1[[#This Row],[Date Offered]])</f>
        <v>45975</v>
      </c>
      <c r="G234" s="1">
        <f>IF(ISBLANK(Table1[[#This Row],[Date Onboarded]]),"",Table1[[#This Row],[Date Onboarded]])</f>
        <v>46016</v>
      </c>
      <c r="H234" t="str">
        <f>Table1[[#This Row],[Internal/External]]</f>
        <v>Internal</v>
      </c>
      <c r="I234">
        <f>Table1[[#This Row],[Pipeline Updated]]</f>
        <v>0</v>
      </c>
      <c r="J234">
        <f t="shared" si="7"/>
        <v>16</v>
      </c>
      <c r="K234">
        <f t="shared" si="6"/>
        <v>57</v>
      </c>
    </row>
    <row r="235" spans="1:11">
      <c r="A235">
        <f>Table1[[#This Row],[Role ID]]</f>
        <v>166</v>
      </c>
      <c r="B235" t="str">
        <f>Table1[[#This Row],[Role]]</f>
        <v>Desktop Support Specialist</v>
      </c>
      <c r="C235" t="str">
        <f>Table1[[#This Row],[Stream Internal]]</f>
        <v>ITES</v>
      </c>
      <c r="D235" s="1">
        <f>IF(ISBLANK(Table1[[#This Row],[Demand Date]]),"",Table1[[#This Row],[Demand Date]])</f>
        <v>45903</v>
      </c>
      <c r="E235" s="1">
        <f>IF(ISBLANK(Table1[[#This Row],[Date Job Requirement Released]]),"",Table1[[#This Row],[Date Job Requirement Released]])</f>
        <v>45978</v>
      </c>
      <c r="F235" s="1" t="str">
        <f>IF(ISBLANK(Table1[[#This Row],[Date Offered]]),"",Table1[[#This Row],[Date Offered]])</f>
        <v/>
      </c>
      <c r="G235" s="1" t="str">
        <f>IF(ISBLANK(Table1[[#This Row],[Date Onboarded]]),"",Table1[[#This Row],[Date Onboarded]])</f>
        <v/>
      </c>
      <c r="H235" t="str">
        <f>Table1[[#This Row],[Internal/External]]</f>
        <v>Internal</v>
      </c>
      <c r="I235">
        <f>Table1[[#This Row],[Pipeline Updated]]</f>
        <v>0</v>
      </c>
      <c r="J235" t="str">
        <f t="shared" si="7"/>
        <v/>
      </c>
      <c r="K235" t="str">
        <f t="shared" si="6"/>
        <v/>
      </c>
    </row>
    <row r="236" spans="1:11">
      <c r="A236">
        <f>Table1[[#This Row],[Role ID]]</f>
        <v>167</v>
      </c>
      <c r="B236" t="str">
        <f>Table1[[#This Row],[Role]]</f>
        <v>Field Service Technician</v>
      </c>
      <c r="C236" t="str">
        <f>Table1[[#This Row],[Stream Internal]]</f>
        <v>ITES</v>
      </c>
      <c r="D236" s="1">
        <f>IF(ISBLANK(Table1[[#This Row],[Demand Date]]),"",Table1[[#This Row],[Demand Date]])</f>
        <v>45880</v>
      </c>
      <c r="E236" s="1">
        <f>IF(ISBLANK(Table1[[#This Row],[Date Job Requirement Released]]),"",Table1[[#This Row],[Date Job Requirement Released]])</f>
        <v>45928</v>
      </c>
      <c r="F236" s="1">
        <f>IF(ISBLANK(Table1[[#This Row],[Date Offered]]),"",Table1[[#This Row],[Date Offered]])</f>
        <v>45940</v>
      </c>
      <c r="G236" s="1">
        <f>IF(ISBLANK(Table1[[#This Row],[Date Onboarded]]),"",Table1[[#This Row],[Date Onboarded]])</f>
        <v>45989</v>
      </c>
      <c r="H236" t="str">
        <f>Table1[[#This Row],[Internal/External]]</f>
        <v>Internal</v>
      </c>
      <c r="I236">
        <f>Table1[[#This Row],[Pipeline Updated]]</f>
        <v>1</v>
      </c>
      <c r="J236">
        <f t="shared" si="7"/>
        <v>12</v>
      </c>
      <c r="K236">
        <f t="shared" si="6"/>
        <v>61</v>
      </c>
    </row>
    <row r="237" spans="1:11">
      <c r="A237">
        <f>Table1[[#This Row],[Role ID]]</f>
        <v>168</v>
      </c>
      <c r="B237" t="str">
        <f>Table1[[#This Row],[Role]]</f>
        <v>Desktop Support Specialist</v>
      </c>
      <c r="C237" t="str">
        <f>Table1[[#This Row],[Stream Internal]]</f>
        <v>ITES</v>
      </c>
      <c r="D237" s="1">
        <f>IF(ISBLANK(Table1[[#This Row],[Demand Date]]),"",Table1[[#This Row],[Demand Date]])</f>
        <v>45848</v>
      </c>
      <c r="E237" s="1">
        <f>IF(ISBLANK(Table1[[#This Row],[Date Job Requirement Released]]),"",Table1[[#This Row],[Date Job Requirement Released]])</f>
        <v>45908</v>
      </c>
      <c r="F237" s="1">
        <f>IF(ISBLANK(Table1[[#This Row],[Date Offered]]),"",Table1[[#This Row],[Date Offered]])</f>
        <v>45923</v>
      </c>
      <c r="G237" s="1">
        <f>IF(ISBLANK(Table1[[#This Row],[Date Onboarded]]),"",Table1[[#This Row],[Date Onboarded]])</f>
        <v>45964</v>
      </c>
      <c r="H237" t="str">
        <f>Table1[[#This Row],[Internal/External]]</f>
        <v>Internal</v>
      </c>
      <c r="I237">
        <f>Table1[[#This Row],[Pipeline Updated]]</f>
        <v>1</v>
      </c>
      <c r="J237">
        <f t="shared" si="7"/>
        <v>15</v>
      </c>
      <c r="K237">
        <f t="shared" si="6"/>
        <v>56</v>
      </c>
    </row>
    <row r="238" spans="1:11">
      <c r="A238">
        <f>Table1[[#This Row],[Role ID]]</f>
        <v>130</v>
      </c>
      <c r="B238" t="str">
        <f>Table1[[#This Row],[Role]]</f>
        <v>IT Manager</v>
      </c>
      <c r="C238" t="str">
        <f>Table1[[#This Row],[Stream Internal]]</f>
        <v>ITES</v>
      </c>
      <c r="D238" s="1">
        <f>IF(ISBLANK(Table1[[#This Row],[Demand Date]]),"",Table1[[#This Row],[Demand Date]])</f>
        <v>45828</v>
      </c>
      <c r="E238" s="1">
        <f>IF(ISBLANK(Table1[[#This Row],[Date Job Requirement Released]]),"",Table1[[#This Row],[Date Job Requirement Released]])</f>
        <v>45887</v>
      </c>
      <c r="F238" s="1" t="str">
        <f>IF(ISBLANK(Table1[[#This Row],[Date Offered]]),"",Table1[[#This Row],[Date Offered]])</f>
        <v/>
      </c>
      <c r="G238" s="1" t="str">
        <f>IF(ISBLANK(Table1[[#This Row],[Date Onboarded]]),"",Table1[[#This Row],[Date Onboarded]])</f>
        <v/>
      </c>
      <c r="H238" t="str">
        <f>Table1[[#This Row],[Internal/External]]</f>
        <v>Internal</v>
      </c>
      <c r="I238">
        <f>Table1[[#This Row],[Pipeline Updated]]</f>
        <v>0</v>
      </c>
      <c r="J238" t="str">
        <f t="shared" si="7"/>
        <v/>
      </c>
      <c r="K238" t="str">
        <f t="shared" si="6"/>
        <v/>
      </c>
    </row>
    <row r="239" spans="1:11">
      <c r="A239">
        <f>Table1[[#This Row],[Role ID]]</f>
        <v>91</v>
      </c>
      <c r="B239" t="str">
        <f>Table1[[#This Row],[Role]]</f>
        <v>R&amp;D Engineer</v>
      </c>
      <c r="C239" t="str">
        <f>Table1[[#This Row],[Stream Internal]]</f>
        <v>RND</v>
      </c>
      <c r="D239" s="1">
        <f>IF(ISBLANK(Table1[[#This Row],[Demand Date]]),"",Table1[[#This Row],[Demand Date]])</f>
        <v>45844</v>
      </c>
      <c r="E239" s="1">
        <f>IF(ISBLANK(Table1[[#This Row],[Date Job Requirement Released]]),"",Table1[[#This Row],[Date Job Requirement Released]])</f>
        <v>45915</v>
      </c>
      <c r="F239" s="1">
        <f>IF(ISBLANK(Table1[[#This Row],[Date Offered]]),"",Table1[[#This Row],[Date Offered]])</f>
        <v>45935</v>
      </c>
      <c r="G239" s="1">
        <f>IF(ISBLANK(Table1[[#This Row],[Date Onboarded]]),"",Table1[[#This Row],[Date Onboarded]])</f>
        <v>45971</v>
      </c>
      <c r="H239" t="str">
        <f>Table1[[#This Row],[Internal/External]]</f>
        <v>Internal</v>
      </c>
      <c r="I239">
        <f>Table1[[#This Row],[Pipeline Updated]]</f>
        <v>1</v>
      </c>
      <c r="J239">
        <f t="shared" si="7"/>
        <v>20</v>
      </c>
      <c r="K239">
        <f t="shared" si="6"/>
        <v>56</v>
      </c>
    </row>
    <row r="240" spans="1:11">
      <c r="A240">
        <f>Table1[[#This Row],[Role ID]]</f>
        <v>169</v>
      </c>
      <c r="B240" t="str">
        <f>Table1[[#This Row],[Role]]</f>
        <v>IT Support Specialist</v>
      </c>
      <c r="C240" t="str">
        <f>Table1[[#This Row],[Stream Internal]]</f>
        <v>ITES</v>
      </c>
      <c r="D240" s="1">
        <f>IF(ISBLANK(Table1[[#This Row],[Demand Date]]),"",Table1[[#This Row],[Demand Date]])</f>
        <v>45894</v>
      </c>
      <c r="E240" s="1">
        <f>IF(ISBLANK(Table1[[#This Row],[Date Job Requirement Released]]),"",Table1[[#This Row],[Date Job Requirement Released]])</f>
        <v>45950</v>
      </c>
      <c r="F240" s="1">
        <f>IF(ISBLANK(Table1[[#This Row],[Date Offered]]),"",Table1[[#This Row],[Date Offered]])</f>
        <v>45964</v>
      </c>
      <c r="G240" s="1">
        <f>IF(ISBLANK(Table1[[#This Row],[Date Onboarded]]),"",Table1[[#This Row],[Date Onboarded]])</f>
        <v>46050</v>
      </c>
      <c r="H240" t="str">
        <f>Table1[[#This Row],[Internal/External]]</f>
        <v>Internal</v>
      </c>
      <c r="I240">
        <f>Table1[[#This Row],[Pipeline Updated]]</f>
        <v>2</v>
      </c>
      <c r="J240">
        <f t="shared" si="7"/>
        <v>14</v>
      </c>
      <c r="K240">
        <f t="shared" si="6"/>
        <v>100</v>
      </c>
    </row>
    <row r="241" spans="1:11">
      <c r="A241">
        <f>Table1[[#This Row],[Role ID]]</f>
        <v>26</v>
      </c>
      <c r="B241" t="str">
        <f>Table1[[#This Row],[Role]]</f>
        <v>Digital Marketing Specialist</v>
      </c>
      <c r="C241" t="str">
        <f>Table1[[#This Row],[Stream Internal]]</f>
        <v>SAM</v>
      </c>
      <c r="D241" s="1">
        <f>IF(ISBLANK(Table1[[#This Row],[Demand Date]]),"",Table1[[#This Row],[Demand Date]])</f>
        <v>45864</v>
      </c>
      <c r="E241" s="1">
        <f>IF(ISBLANK(Table1[[#This Row],[Date Job Requirement Released]]),"",Table1[[#This Row],[Date Job Requirement Released]])</f>
        <v>45911</v>
      </c>
      <c r="F241" s="1">
        <f>IF(ISBLANK(Table1[[#This Row],[Date Offered]]),"",Table1[[#This Row],[Date Offered]])</f>
        <v>45926</v>
      </c>
      <c r="G241" s="1">
        <f>IF(ISBLANK(Table1[[#This Row],[Date Onboarded]]),"",Table1[[#This Row],[Date Onboarded]])</f>
        <v>45957</v>
      </c>
      <c r="H241" t="str">
        <f>Table1[[#This Row],[Internal/External]]</f>
        <v>Internal</v>
      </c>
      <c r="I241">
        <f>Table1[[#This Row],[Pipeline Updated]]</f>
        <v>1</v>
      </c>
      <c r="J241">
        <f t="shared" si="7"/>
        <v>15</v>
      </c>
      <c r="K241">
        <f t="shared" si="6"/>
        <v>46</v>
      </c>
    </row>
    <row r="242" spans="1:11">
      <c r="A242">
        <f>Table1[[#This Row],[Role ID]]</f>
        <v>170</v>
      </c>
      <c r="B242" t="str">
        <f>Table1[[#This Row],[Role]]</f>
        <v>Senior R&amp;D Manager</v>
      </c>
      <c r="C242" t="str">
        <f>Table1[[#This Row],[Stream Internal]]</f>
        <v>RND</v>
      </c>
      <c r="D242" s="1">
        <f>IF(ISBLANK(Table1[[#This Row],[Demand Date]]),"",Table1[[#This Row],[Demand Date]])</f>
        <v>45840</v>
      </c>
      <c r="E242" s="1">
        <f>IF(ISBLANK(Table1[[#This Row],[Date Job Requirement Released]]),"",Table1[[#This Row],[Date Job Requirement Released]])</f>
        <v>45903</v>
      </c>
      <c r="F242" s="1" t="str">
        <f>IF(ISBLANK(Table1[[#This Row],[Date Offered]]),"",Table1[[#This Row],[Date Offered]])</f>
        <v/>
      </c>
      <c r="G242" s="1" t="str">
        <f>IF(ISBLANK(Table1[[#This Row],[Date Onboarded]]),"",Table1[[#This Row],[Date Onboarded]])</f>
        <v/>
      </c>
      <c r="H242" t="str">
        <f>Table1[[#This Row],[Internal/External]]</f>
        <v>Internal</v>
      </c>
      <c r="I242">
        <f>Table1[[#This Row],[Pipeline Updated]]</f>
        <v>0</v>
      </c>
      <c r="J242" t="str">
        <f t="shared" si="7"/>
        <v/>
      </c>
      <c r="K242" t="str">
        <f t="shared" si="6"/>
        <v/>
      </c>
    </row>
    <row r="243" spans="1:11">
      <c r="A243">
        <f>Table1[[#This Row],[Role ID]]</f>
        <v>171</v>
      </c>
      <c r="B243" t="str">
        <f>Table1[[#This Row],[Role]]</f>
        <v>IT Manager</v>
      </c>
      <c r="C243" t="str">
        <f>Table1[[#This Row],[Stream Internal]]</f>
        <v>ITES</v>
      </c>
      <c r="D243" s="1">
        <f>IF(ISBLANK(Table1[[#This Row],[Demand Date]]),"",Table1[[#This Row],[Demand Date]])</f>
        <v>45863</v>
      </c>
      <c r="E243" s="1">
        <f>IF(ISBLANK(Table1[[#This Row],[Date Job Requirement Released]]),"",Table1[[#This Row],[Date Job Requirement Released]])</f>
        <v>45930</v>
      </c>
      <c r="F243" s="1" t="str">
        <f>IF(ISBLANK(Table1[[#This Row],[Date Offered]]),"",Table1[[#This Row],[Date Offered]])</f>
        <v/>
      </c>
      <c r="G243" s="1" t="str">
        <f>IF(ISBLANK(Table1[[#This Row],[Date Onboarded]]),"",Table1[[#This Row],[Date Onboarded]])</f>
        <v/>
      </c>
      <c r="H243" t="str">
        <f>Table1[[#This Row],[Internal/External]]</f>
        <v>Internal</v>
      </c>
      <c r="I243">
        <f>Table1[[#This Row],[Pipeline Updated]]</f>
        <v>0</v>
      </c>
      <c r="J243" t="str">
        <f t="shared" si="7"/>
        <v/>
      </c>
      <c r="K243" t="str">
        <f t="shared" si="6"/>
        <v/>
      </c>
    </row>
    <row r="244" spans="1:11">
      <c r="A244">
        <f>Table1[[#This Row],[Role ID]]</f>
        <v>59</v>
      </c>
      <c r="B244" t="str">
        <f>Table1[[#This Row],[Role]]</f>
        <v>Research Analyst</v>
      </c>
      <c r="C244" t="str">
        <f>Table1[[#This Row],[Stream Internal]]</f>
        <v>RND</v>
      </c>
      <c r="D244" s="1">
        <f>IF(ISBLANK(Table1[[#This Row],[Demand Date]]),"",Table1[[#This Row],[Demand Date]])</f>
        <v>45822</v>
      </c>
      <c r="E244" s="1">
        <f>IF(ISBLANK(Table1[[#This Row],[Date Job Requirement Released]]),"",Table1[[#This Row],[Date Job Requirement Released]])</f>
        <v>45882</v>
      </c>
      <c r="F244" s="1" t="str">
        <f>IF(ISBLANK(Table1[[#This Row],[Date Offered]]),"",Table1[[#This Row],[Date Offered]])</f>
        <v/>
      </c>
      <c r="G244" s="1" t="str">
        <f>IF(ISBLANK(Table1[[#This Row],[Date Onboarded]]),"",Table1[[#This Row],[Date Onboarded]])</f>
        <v/>
      </c>
      <c r="H244" t="str">
        <f>Table1[[#This Row],[Internal/External]]</f>
        <v>Internal</v>
      </c>
      <c r="I244">
        <f>Table1[[#This Row],[Pipeline Updated]]</f>
        <v>0</v>
      </c>
      <c r="J244" t="str">
        <f t="shared" si="7"/>
        <v/>
      </c>
      <c r="K244" t="str">
        <f t="shared" si="6"/>
        <v/>
      </c>
    </row>
    <row r="245" spans="1:11">
      <c r="A245">
        <f>Table1[[#This Row],[Role ID]]</f>
        <v>172</v>
      </c>
      <c r="B245" t="str">
        <f>Table1[[#This Row],[Role]]</f>
        <v>Staff Engineer</v>
      </c>
      <c r="C245" t="str">
        <f>Table1[[#This Row],[Stream Internal]]</f>
        <v>ENGG</v>
      </c>
      <c r="D245" s="1">
        <f>IF(ISBLANK(Table1[[#This Row],[Demand Date]]),"",Table1[[#This Row],[Demand Date]])</f>
        <v>45888</v>
      </c>
      <c r="E245" s="1">
        <f>IF(ISBLANK(Table1[[#This Row],[Date Job Requirement Released]]),"",Table1[[#This Row],[Date Job Requirement Released]])</f>
        <v>45941</v>
      </c>
      <c r="F245" s="1" t="str">
        <f>IF(ISBLANK(Table1[[#This Row],[Date Offered]]),"",Table1[[#This Row],[Date Offered]])</f>
        <v/>
      </c>
      <c r="G245" s="1" t="str">
        <f>IF(ISBLANK(Table1[[#This Row],[Date Onboarded]]),"",Table1[[#This Row],[Date Onboarded]])</f>
        <v/>
      </c>
      <c r="H245" t="str">
        <f>Table1[[#This Row],[Internal/External]]</f>
        <v>Internal</v>
      </c>
      <c r="I245">
        <f>Table1[[#This Row],[Pipeline Updated]]</f>
        <v>0</v>
      </c>
      <c r="J245" t="str">
        <f t="shared" si="7"/>
        <v/>
      </c>
      <c r="K245" t="str">
        <f t="shared" si="6"/>
        <v/>
      </c>
    </row>
    <row r="246" spans="1:11">
      <c r="A246">
        <f>Table1[[#This Row],[Role ID]]</f>
        <v>102</v>
      </c>
      <c r="B246" t="str">
        <f>Table1[[#This Row],[Role]]</f>
        <v>Customer Support Specialist</v>
      </c>
      <c r="C246" t="str">
        <f>Table1[[#This Row],[Stream Internal]]</f>
        <v>SAM</v>
      </c>
      <c r="D246" s="1">
        <f>IF(ISBLANK(Table1[[#This Row],[Demand Date]]),"",Table1[[#This Row],[Demand Date]])</f>
        <v>45925</v>
      </c>
      <c r="E246" s="1">
        <f>IF(ISBLANK(Table1[[#This Row],[Date Job Requirement Released]]),"",Table1[[#This Row],[Date Job Requirement Released]])</f>
        <v>45988</v>
      </c>
      <c r="F246" s="1" t="str">
        <f>IF(ISBLANK(Table1[[#This Row],[Date Offered]]),"",Table1[[#This Row],[Date Offered]])</f>
        <v/>
      </c>
      <c r="G246" s="1" t="str">
        <f>IF(ISBLANK(Table1[[#This Row],[Date Onboarded]]),"",Table1[[#This Row],[Date Onboarded]])</f>
        <v/>
      </c>
      <c r="H246" t="str">
        <f>Table1[[#This Row],[Internal/External]]</f>
        <v>Internal</v>
      </c>
      <c r="I246">
        <f>Table1[[#This Row],[Pipeline Updated]]</f>
        <v>0</v>
      </c>
      <c r="J246" t="str">
        <f t="shared" si="7"/>
        <v/>
      </c>
      <c r="K246" t="str">
        <f t="shared" si="6"/>
        <v/>
      </c>
    </row>
    <row r="247" spans="1:11">
      <c r="A247">
        <f>Table1[[#This Row],[Role ID]]</f>
        <v>173</v>
      </c>
      <c r="B247" t="str">
        <f>Table1[[#This Row],[Role]]</f>
        <v>Application Support Analyst</v>
      </c>
      <c r="C247" t="str">
        <f>Table1[[#This Row],[Stream Internal]]</f>
        <v>ITES</v>
      </c>
      <c r="D247" s="1">
        <f>IF(ISBLANK(Table1[[#This Row],[Demand Date]]),"",Table1[[#This Row],[Demand Date]])</f>
        <v>45872</v>
      </c>
      <c r="E247" s="1">
        <f>IF(ISBLANK(Table1[[#This Row],[Date Job Requirement Released]]),"",Table1[[#This Row],[Date Job Requirement Released]])</f>
        <v>45941</v>
      </c>
      <c r="F247" s="1" t="str">
        <f>IF(ISBLANK(Table1[[#This Row],[Date Offered]]),"",Table1[[#This Row],[Date Offered]])</f>
        <v/>
      </c>
      <c r="G247" s="1" t="str">
        <f>IF(ISBLANK(Table1[[#This Row],[Date Onboarded]]),"",Table1[[#This Row],[Date Onboarded]])</f>
        <v/>
      </c>
      <c r="H247" t="str">
        <f>Table1[[#This Row],[Internal/External]]</f>
        <v>Internal</v>
      </c>
      <c r="I247">
        <f>Table1[[#This Row],[Pipeline Updated]]</f>
        <v>0</v>
      </c>
      <c r="J247" t="str">
        <f t="shared" si="7"/>
        <v/>
      </c>
      <c r="K247" t="str">
        <f t="shared" si="6"/>
        <v/>
      </c>
    </row>
    <row r="248" spans="1:11">
      <c r="A248">
        <f>Table1[[#This Row],[Role ID]]</f>
        <v>174</v>
      </c>
      <c r="B248" t="str">
        <f>Table1[[#This Row],[Role]]</f>
        <v>IT Coordinator</v>
      </c>
      <c r="C248" t="str">
        <f>Table1[[#This Row],[Stream Internal]]</f>
        <v>ITES</v>
      </c>
      <c r="D248" s="1">
        <f>IF(ISBLANK(Table1[[#This Row],[Demand Date]]),"",Table1[[#This Row],[Demand Date]])</f>
        <v>45883</v>
      </c>
      <c r="E248" s="1">
        <f>IF(ISBLANK(Table1[[#This Row],[Date Job Requirement Released]]),"",Table1[[#This Row],[Date Job Requirement Released]])</f>
        <v>45945</v>
      </c>
      <c r="F248" s="1">
        <f>IF(ISBLANK(Table1[[#This Row],[Date Offered]]),"",Table1[[#This Row],[Date Offered]])</f>
        <v>45961</v>
      </c>
      <c r="G248" s="1">
        <f>IF(ISBLANK(Table1[[#This Row],[Date Onboarded]]),"",Table1[[#This Row],[Date Onboarded]])</f>
        <v>45979</v>
      </c>
      <c r="H248" t="str">
        <f>Table1[[#This Row],[Internal/External]]</f>
        <v>Internal</v>
      </c>
      <c r="I248">
        <f>Table1[[#This Row],[Pipeline Updated]]</f>
        <v>0</v>
      </c>
      <c r="J248">
        <f t="shared" si="7"/>
        <v>16</v>
      </c>
      <c r="K248">
        <f t="shared" si="6"/>
        <v>34</v>
      </c>
    </row>
    <row r="249" spans="1:11">
      <c r="A249">
        <f>Table1[[#This Row],[Role ID]]</f>
        <v>175</v>
      </c>
      <c r="B249" t="str">
        <f>Table1[[#This Row],[Role]]</f>
        <v>Senior SDE</v>
      </c>
      <c r="C249" t="str">
        <f>Table1[[#This Row],[Stream Internal]]</f>
        <v>ENGG</v>
      </c>
      <c r="D249" s="1">
        <f>IF(ISBLANK(Table1[[#This Row],[Demand Date]]),"",Table1[[#This Row],[Demand Date]])</f>
        <v>45838</v>
      </c>
      <c r="E249" s="1">
        <f>IF(ISBLANK(Table1[[#This Row],[Date Job Requirement Released]]),"",Table1[[#This Row],[Date Job Requirement Released]])</f>
        <v>45912</v>
      </c>
      <c r="F249" s="1">
        <f>IF(ISBLANK(Table1[[#This Row],[Date Offered]]),"",Table1[[#This Row],[Date Offered]])</f>
        <v>45922</v>
      </c>
      <c r="G249" s="1">
        <f>IF(ISBLANK(Table1[[#This Row],[Date Onboarded]]),"",Table1[[#This Row],[Date Onboarded]])</f>
        <v>45992</v>
      </c>
      <c r="H249" t="str">
        <f>Table1[[#This Row],[Internal/External]]</f>
        <v>Internal</v>
      </c>
      <c r="I249">
        <f>Table1[[#This Row],[Pipeline Updated]]</f>
        <v>2</v>
      </c>
      <c r="J249">
        <f t="shared" si="7"/>
        <v>10</v>
      </c>
      <c r="K249">
        <f t="shared" si="6"/>
        <v>80</v>
      </c>
    </row>
    <row r="250" spans="1:11">
      <c r="A250">
        <f>Table1[[#This Row],[Role ID]]</f>
        <v>176</v>
      </c>
      <c r="B250" t="str">
        <f>Table1[[#This Row],[Role]]</f>
        <v>Desktop Support Specialist</v>
      </c>
      <c r="C250" t="str">
        <f>Table1[[#This Row],[Stream Internal]]</f>
        <v>ITES</v>
      </c>
      <c r="D250" s="1">
        <f>IF(ISBLANK(Table1[[#This Row],[Demand Date]]),"",Table1[[#This Row],[Demand Date]])</f>
        <v>45902</v>
      </c>
      <c r="E250" s="1">
        <f>IF(ISBLANK(Table1[[#This Row],[Date Job Requirement Released]]),"",Table1[[#This Row],[Date Job Requirement Released]])</f>
        <v>45970</v>
      </c>
      <c r="F250" s="1">
        <f>IF(ISBLANK(Table1[[#This Row],[Date Offered]]),"",Table1[[#This Row],[Date Offered]])</f>
        <v>45987</v>
      </c>
      <c r="G250" s="1">
        <f>IF(ISBLANK(Table1[[#This Row],[Date Onboarded]]),"",Table1[[#This Row],[Date Onboarded]])</f>
        <v>46014</v>
      </c>
      <c r="H250" t="str">
        <f>Table1[[#This Row],[Internal/External]]</f>
        <v>Internal</v>
      </c>
      <c r="I250">
        <f>Table1[[#This Row],[Pipeline Updated]]</f>
        <v>2</v>
      </c>
      <c r="J250">
        <f t="shared" si="7"/>
        <v>17</v>
      </c>
      <c r="K250">
        <f t="shared" si="6"/>
        <v>44</v>
      </c>
    </row>
    <row r="251" spans="1:11">
      <c r="A251">
        <f>Table1[[#This Row],[Role ID]]</f>
        <v>26</v>
      </c>
      <c r="B251" t="str">
        <f>Table1[[#This Row],[Role]]</f>
        <v>Digital Marketing Specialist</v>
      </c>
      <c r="C251" t="str">
        <f>Table1[[#This Row],[Stream Internal]]</f>
        <v>SAM</v>
      </c>
      <c r="D251" s="1">
        <f>IF(ISBLANK(Table1[[#This Row],[Demand Date]]),"",Table1[[#This Row],[Demand Date]])</f>
        <v>45826</v>
      </c>
      <c r="E251" s="1">
        <f>IF(ISBLANK(Table1[[#This Row],[Date Job Requirement Released]]),"",Table1[[#This Row],[Date Job Requirement Released]])</f>
        <v>45890</v>
      </c>
      <c r="F251" s="1" t="str">
        <f>IF(ISBLANK(Table1[[#This Row],[Date Offered]]),"",Table1[[#This Row],[Date Offered]])</f>
        <v/>
      </c>
      <c r="G251" s="1" t="str">
        <f>IF(ISBLANK(Table1[[#This Row],[Date Onboarded]]),"",Table1[[#This Row],[Date Onboarded]])</f>
        <v/>
      </c>
      <c r="H251" t="str">
        <f>Table1[[#This Row],[Internal/External]]</f>
        <v>Internal</v>
      </c>
      <c r="I251">
        <f>Table1[[#This Row],[Pipeline Updated]]</f>
        <v>0</v>
      </c>
      <c r="J251" t="str">
        <f t="shared" si="7"/>
        <v/>
      </c>
      <c r="K251" t="str">
        <f t="shared" si="6"/>
        <v/>
      </c>
    </row>
    <row r="252" spans="1:11">
      <c r="A252">
        <f>Table1[[#This Row],[Role ID]]</f>
        <v>177</v>
      </c>
      <c r="B252" t="str">
        <f>Table1[[#This Row],[Role]]</f>
        <v>Product Marketing Manager</v>
      </c>
      <c r="C252" t="str">
        <f>Table1[[#This Row],[Stream Internal]]</f>
        <v>SAM</v>
      </c>
      <c r="D252" s="1">
        <f>IF(ISBLANK(Table1[[#This Row],[Demand Date]]),"",Table1[[#This Row],[Demand Date]])</f>
        <v>45902</v>
      </c>
      <c r="E252" s="1">
        <f>IF(ISBLANK(Table1[[#This Row],[Date Job Requirement Released]]),"",Table1[[#This Row],[Date Job Requirement Released]])</f>
        <v>45970</v>
      </c>
      <c r="F252" s="1" t="str">
        <f>IF(ISBLANK(Table1[[#This Row],[Date Offered]]),"",Table1[[#This Row],[Date Offered]])</f>
        <v/>
      </c>
      <c r="G252" s="1" t="str">
        <f>IF(ISBLANK(Table1[[#This Row],[Date Onboarded]]),"",Table1[[#This Row],[Date Onboarded]])</f>
        <v/>
      </c>
      <c r="H252" t="str">
        <f>Table1[[#This Row],[Internal/External]]</f>
        <v>Internal</v>
      </c>
      <c r="I252">
        <f>Table1[[#This Row],[Pipeline Updated]]</f>
        <v>0</v>
      </c>
      <c r="J252" t="str">
        <f t="shared" si="7"/>
        <v/>
      </c>
      <c r="K252" t="str">
        <f t="shared" si="6"/>
        <v/>
      </c>
    </row>
    <row r="253" spans="1:11">
      <c r="A253">
        <f>Table1[[#This Row],[Role ID]]</f>
        <v>61</v>
      </c>
      <c r="B253" t="str">
        <f>Table1[[#This Row],[Role]]</f>
        <v>Sales Manager</v>
      </c>
      <c r="C253" t="str">
        <f>Table1[[#This Row],[Stream Internal]]</f>
        <v>SAM</v>
      </c>
      <c r="D253" s="1">
        <f>IF(ISBLANK(Table1[[#This Row],[Demand Date]]),"",Table1[[#This Row],[Demand Date]])</f>
        <v>45814</v>
      </c>
      <c r="E253" s="1">
        <f>IF(ISBLANK(Table1[[#This Row],[Date Job Requirement Released]]),"",Table1[[#This Row],[Date Job Requirement Released]])</f>
        <v>45887</v>
      </c>
      <c r="F253" s="1" t="str">
        <f>IF(ISBLANK(Table1[[#This Row],[Date Offered]]),"",Table1[[#This Row],[Date Offered]])</f>
        <v/>
      </c>
      <c r="G253" s="1" t="str">
        <f>IF(ISBLANK(Table1[[#This Row],[Date Onboarded]]),"",Table1[[#This Row],[Date Onboarded]])</f>
        <v/>
      </c>
      <c r="H253" t="str">
        <f>Table1[[#This Row],[Internal/External]]</f>
        <v>Internal</v>
      </c>
      <c r="I253">
        <f>Table1[[#This Row],[Pipeline Updated]]</f>
        <v>0</v>
      </c>
      <c r="J253" t="str">
        <f t="shared" si="7"/>
        <v/>
      </c>
      <c r="K253" t="str">
        <f t="shared" si="6"/>
        <v/>
      </c>
    </row>
    <row r="254" spans="1:11">
      <c r="A254">
        <f>Table1[[#This Row],[Role ID]]</f>
        <v>178</v>
      </c>
      <c r="B254" t="str">
        <f>Table1[[#This Row],[Role]]</f>
        <v>IT Manager</v>
      </c>
      <c r="C254" t="str">
        <f>Table1[[#This Row],[Stream Internal]]</f>
        <v>ITES</v>
      </c>
      <c r="D254" s="1">
        <f>IF(ISBLANK(Table1[[#This Row],[Demand Date]]),"",Table1[[#This Row],[Demand Date]])</f>
        <v>45851</v>
      </c>
      <c r="E254" s="1">
        <f>IF(ISBLANK(Table1[[#This Row],[Date Job Requirement Released]]),"",Table1[[#This Row],[Date Job Requirement Released]])</f>
        <v>45909</v>
      </c>
      <c r="F254" s="1" t="str">
        <f>IF(ISBLANK(Table1[[#This Row],[Date Offered]]),"",Table1[[#This Row],[Date Offered]])</f>
        <v/>
      </c>
      <c r="G254" s="1" t="str">
        <f>IF(ISBLANK(Table1[[#This Row],[Date Onboarded]]),"",Table1[[#This Row],[Date Onboarded]])</f>
        <v/>
      </c>
      <c r="H254" t="str">
        <f>Table1[[#This Row],[Internal/External]]</f>
        <v>Internal</v>
      </c>
      <c r="I254">
        <f>Table1[[#This Row],[Pipeline Updated]]</f>
        <v>0</v>
      </c>
      <c r="J254" t="str">
        <f t="shared" si="7"/>
        <v/>
      </c>
      <c r="K254" t="str">
        <f t="shared" si="6"/>
        <v/>
      </c>
    </row>
    <row r="255" spans="1:11">
      <c r="A255">
        <f>Table1[[#This Row],[Role ID]]</f>
        <v>123</v>
      </c>
      <c r="B255" t="str">
        <f>Table1[[#This Row],[Role]]</f>
        <v>Software Developer 2</v>
      </c>
      <c r="C255" t="str">
        <f>Table1[[#This Row],[Stream Internal]]</f>
        <v>ENGG</v>
      </c>
      <c r="D255" s="1">
        <f>IF(ISBLANK(Table1[[#This Row],[Demand Date]]),"",Table1[[#This Row],[Demand Date]])</f>
        <v>45872</v>
      </c>
      <c r="E255" s="1">
        <f>IF(ISBLANK(Table1[[#This Row],[Date Job Requirement Released]]),"",Table1[[#This Row],[Date Job Requirement Released]])</f>
        <v>45947</v>
      </c>
      <c r="F255" s="1" t="str">
        <f>IF(ISBLANK(Table1[[#This Row],[Date Offered]]),"",Table1[[#This Row],[Date Offered]])</f>
        <v/>
      </c>
      <c r="G255" s="1" t="str">
        <f>IF(ISBLANK(Table1[[#This Row],[Date Onboarded]]),"",Table1[[#This Row],[Date Onboarded]])</f>
        <v/>
      </c>
      <c r="H255" t="str">
        <f>Table1[[#This Row],[Internal/External]]</f>
        <v>Internal</v>
      </c>
      <c r="I255">
        <f>Table1[[#This Row],[Pipeline Updated]]</f>
        <v>0</v>
      </c>
      <c r="J255" t="str">
        <f t="shared" si="7"/>
        <v/>
      </c>
      <c r="K255" t="str">
        <f t="shared" si="6"/>
        <v/>
      </c>
    </row>
    <row r="256" spans="1:11">
      <c r="A256">
        <f>Table1[[#This Row],[Role ID]]</f>
        <v>62</v>
      </c>
      <c r="B256" t="str">
        <f>Table1[[#This Row],[Role]]</f>
        <v>Principal Investigator</v>
      </c>
      <c r="C256" t="str">
        <f>Table1[[#This Row],[Stream Internal]]</f>
        <v>RND</v>
      </c>
      <c r="D256" s="1">
        <f>IF(ISBLANK(Table1[[#This Row],[Demand Date]]),"",Table1[[#This Row],[Demand Date]])</f>
        <v>45832</v>
      </c>
      <c r="E256" s="1">
        <f>IF(ISBLANK(Table1[[#This Row],[Date Job Requirement Released]]),"",Table1[[#This Row],[Date Job Requirement Released]])</f>
        <v>45900</v>
      </c>
      <c r="F256" s="1" t="str">
        <f>IF(ISBLANK(Table1[[#This Row],[Date Offered]]),"",Table1[[#This Row],[Date Offered]])</f>
        <v/>
      </c>
      <c r="G256" s="1" t="str">
        <f>IF(ISBLANK(Table1[[#This Row],[Date Onboarded]]),"",Table1[[#This Row],[Date Onboarded]])</f>
        <v/>
      </c>
      <c r="H256" t="str">
        <f>Table1[[#This Row],[Internal/External]]</f>
        <v>Internal</v>
      </c>
      <c r="I256">
        <f>Table1[[#This Row],[Pipeline Updated]]</f>
        <v>0</v>
      </c>
      <c r="J256" t="str">
        <f t="shared" si="7"/>
        <v/>
      </c>
      <c r="K256" t="str">
        <f t="shared" si="6"/>
        <v/>
      </c>
    </row>
    <row r="257" spans="1:11">
      <c r="A257">
        <f>Table1[[#This Row],[Role ID]]</f>
        <v>179</v>
      </c>
      <c r="B257" t="str">
        <f>Table1[[#This Row],[Role]]</f>
        <v>Help Desk Technician</v>
      </c>
      <c r="C257" t="str">
        <f>Table1[[#This Row],[Stream Internal]]</f>
        <v>ITES</v>
      </c>
      <c r="D257" s="1">
        <f>IF(ISBLANK(Table1[[#This Row],[Demand Date]]),"",Table1[[#This Row],[Demand Date]])</f>
        <v>45907</v>
      </c>
      <c r="E257" s="1">
        <f>IF(ISBLANK(Table1[[#This Row],[Date Job Requirement Released]]),"",Table1[[#This Row],[Date Job Requirement Released]])</f>
        <v>45962</v>
      </c>
      <c r="F257" s="1" t="str">
        <f>IF(ISBLANK(Table1[[#This Row],[Date Offered]]),"",Table1[[#This Row],[Date Offered]])</f>
        <v/>
      </c>
      <c r="G257" s="1" t="str">
        <f>IF(ISBLANK(Table1[[#This Row],[Date Onboarded]]),"",Table1[[#This Row],[Date Onboarded]])</f>
        <v/>
      </c>
      <c r="H257" t="str">
        <f>Table1[[#This Row],[Internal/External]]</f>
        <v>Internal</v>
      </c>
      <c r="I257">
        <f>Table1[[#This Row],[Pipeline Updated]]</f>
        <v>0</v>
      </c>
      <c r="J257" t="str">
        <f t="shared" si="7"/>
        <v/>
      </c>
      <c r="K257" t="str">
        <f t="shared" si="6"/>
        <v/>
      </c>
    </row>
    <row r="258" spans="1:11">
      <c r="A258">
        <f>Table1[[#This Row],[Role ID]]</f>
        <v>87</v>
      </c>
      <c r="B258" t="str">
        <f>Table1[[#This Row],[Role]]</f>
        <v>Principal Engineer</v>
      </c>
      <c r="C258" t="str">
        <f>Table1[[#This Row],[Stream Internal]]</f>
        <v>ENGG</v>
      </c>
      <c r="D258" s="1">
        <f>IF(ISBLANK(Table1[[#This Row],[Demand Date]]),"",Table1[[#This Row],[Demand Date]])</f>
        <v>45889</v>
      </c>
      <c r="E258" s="1">
        <f>IF(ISBLANK(Table1[[#This Row],[Date Job Requirement Released]]),"",Table1[[#This Row],[Date Job Requirement Released]])</f>
        <v>45961</v>
      </c>
      <c r="F258" s="1">
        <f>IF(ISBLANK(Table1[[#This Row],[Date Offered]]),"",Table1[[#This Row],[Date Offered]])</f>
        <v>45975</v>
      </c>
      <c r="G258" s="1">
        <f>IF(ISBLANK(Table1[[#This Row],[Date Onboarded]]),"",Table1[[#This Row],[Date Onboarded]])</f>
        <v>46048</v>
      </c>
      <c r="H258" t="str">
        <f>Table1[[#This Row],[Internal/External]]</f>
        <v>Internal</v>
      </c>
      <c r="I258">
        <f>Table1[[#This Row],[Pipeline Updated]]</f>
        <v>1</v>
      </c>
      <c r="J258">
        <f t="shared" si="7"/>
        <v>14</v>
      </c>
      <c r="K258">
        <f t="shared" si="6"/>
        <v>87</v>
      </c>
    </row>
    <row r="259" spans="1:11">
      <c r="A259">
        <f>Table1[[#This Row],[Role ID]]</f>
        <v>180</v>
      </c>
      <c r="B259" t="str">
        <f>Table1[[#This Row],[Role]]</f>
        <v>R&amp;D Engineer</v>
      </c>
      <c r="C259" t="str">
        <f>Table1[[#This Row],[Stream Internal]]</f>
        <v>RND</v>
      </c>
      <c r="D259" s="1">
        <f>IF(ISBLANK(Table1[[#This Row],[Demand Date]]),"",Table1[[#This Row],[Demand Date]])</f>
        <v>45839</v>
      </c>
      <c r="E259" s="1">
        <f>IF(ISBLANK(Table1[[#This Row],[Date Job Requirement Released]]),"",Table1[[#This Row],[Date Job Requirement Released]])</f>
        <v>45908</v>
      </c>
      <c r="F259" s="1">
        <f>IF(ISBLANK(Table1[[#This Row],[Date Offered]]),"",Table1[[#This Row],[Date Offered]])</f>
        <v>45928</v>
      </c>
      <c r="G259" s="1">
        <f>IF(ISBLANK(Table1[[#This Row],[Date Onboarded]]),"",Table1[[#This Row],[Date Onboarded]])</f>
        <v>45943</v>
      </c>
      <c r="H259" t="str">
        <f>Table1[[#This Row],[Internal/External]]</f>
        <v>Internal</v>
      </c>
      <c r="I259">
        <f>Table1[[#This Row],[Pipeline Updated]]</f>
        <v>2</v>
      </c>
      <c r="J259">
        <f t="shared" si="7"/>
        <v>20</v>
      </c>
      <c r="K259">
        <f t="shared" ref="K259:K301" si="8">IF(OR(E259="",G259=""),"",G259-E259)</f>
        <v>35</v>
      </c>
    </row>
    <row r="260" spans="1:11">
      <c r="A260">
        <f>Table1[[#This Row],[Role ID]]</f>
        <v>81</v>
      </c>
      <c r="B260" t="str">
        <f>Table1[[#This Row],[Role]]</f>
        <v>Senior Staff Engineer</v>
      </c>
      <c r="C260" t="str">
        <f>Table1[[#This Row],[Stream Internal]]</f>
        <v>ENGG</v>
      </c>
      <c r="D260" s="1">
        <f>IF(ISBLANK(Table1[[#This Row],[Demand Date]]),"",Table1[[#This Row],[Demand Date]])</f>
        <v>45904</v>
      </c>
      <c r="E260" s="1">
        <f>IF(ISBLANK(Table1[[#This Row],[Date Job Requirement Released]]),"",Table1[[#This Row],[Date Job Requirement Released]])</f>
        <v>45965</v>
      </c>
      <c r="F260" s="1" t="str">
        <f>IF(ISBLANK(Table1[[#This Row],[Date Offered]]),"",Table1[[#This Row],[Date Offered]])</f>
        <v/>
      </c>
      <c r="G260" s="1" t="str">
        <f>IF(ISBLANK(Table1[[#This Row],[Date Onboarded]]),"",Table1[[#This Row],[Date Onboarded]])</f>
        <v/>
      </c>
      <c r="H260" t="str">
        <f>Table1[[#This Row],[Internal/External]]</f>
        <v>Internal</v>
      </c>
      <c r="I260">
        <f>Table1[[#This Row],[Pipeline Updated]]</f>
        <v>0</v>
      </c>
      <c r="J260" t="str">
        <f t="shared" ref="J260:J301" si="9">IF(OR(E260="",F260=""),"",F260-E260)</f>
        <v/>
      </c>
      <c r="K260" t="str">
        <f t="shared" si="8"/>
        <v/>
      </c>
    </row>
    <row r="261" spans="1:11">
      <c r="A261">
        <f>Table1[[#This Row],[Role ID]]</f>
        <v>78</v>
      </c>
      <c r="B261" t="str">
        <f>Table1[[#This Row],[Role]]</f>
        <v>R&amp;D Manager</v>
      </c>
      <c r="C261" t="str">
        <f>Table1[[#This Row],[Stream Internal]]</f>
        <v>RND</v>
      </c>
      <c r="D261" s="1">
        <f>IF(ISBLANK(Table1[[#This Row],[Demand Date]]),"",Table1[[#This Row],[Demand Date]])</f>
        <v>45830</v>
      </c>
      <c r="E261" s="1">
        <f>IF(ISBLANK(Table1[[#This Row],[Date Job Requirement Released]]),"",Table1[[#This Row],[Date Job Requirement Released]])</f>
        <v>45905</v>
      </c>
      <c r="F261" s="1" t="str">
        <f>IF(ISBLANK(Table1[[#This Row],[Date Offered]]),"",Table1[[#This Row],[Date Offered]])</f>
        <v/>
      </c>
      <c r="G261" s="1" t="str">
        <f>IF(ISBLANK(Table1[[#This Row],[Date Onboarded]]),"",Table1[[#This Row],[Date Onboarded]])</f>
        <v/>
      </c>
      <c r="H261" t="str">
        <f>Table1[[#This Row],[Internal/External]]</f>
        <v>External</v>
      </c>
      <c r="I261">
        <f>Table1[[#This Row],[Pipeline Updated]]</f>
        <v>0</v>
      </c>
      <c r="J261" t="str">
        <f t="shared" si="9"/>
        <v/>
      </c>
      <c r="K261" t="str">
        <f t="shared" si="8"/>
        <v/>
      </c>
    </row>
    <row r="262" spans="1:11">
      <c r="A262">
        <f>Table1[[#This Row],[Role ID]]</f>
        <v>181</v>
      </c>
      <c r="B262" t="str">
        <f>Table1[[#This Row],[Role]]</f>
        <v>Desktop Support Specialist</v>
      </c>
      <c r="C262" t="str">
        <f>Table1[[#This Row],[Stream Internal]]</f>
        <v>ITES</v>
      </c>
      <c r="D262" s="1">
        <f>IF(ISBLANK(Table1[[#This Row],[Demand Date]]),"",Table1[[#This Row],[Demand Date]])</f>
        <v>45930</v>
      </c>
      <c r="E262" s="1">
        <f>IF(ISBLANK(Table1[[#This Row],[Date Job Requirement Released]]),"",Table1[[#This Row],[Date Job Requirement Released]])</f>
        <v>45982</v>
      </c>
      <c r="F262" s="1">
        <f>IF(ISBLANK(Table1[[#This Row],[Date Offered]]),"",Table1[[#This Row],[Date Offered]])</f>
        <v>45998</v>
      </c>
      <c r="G262" s="1">
        <f>IF(ISBLANK(Table1[[#This Row],[Date Onboarded]]),"",Table1[[#This Row],[Date Onboarded]])</f>
        <v>46023</v>
      </c>
      <c r="H262" t="str">
        <f>Table1[[#This Row],[Internal/External]]</f>
        <v>Internal</v>
      </c>
      <c r="I262">
        <f>Table1[[#This Row],[Pipeline Updated]]</f>
        <v>2</v>
      </c>
      <c r="J262">
        <f t="shared" si="9"/>
        <v>16</v>
      </c>
      <c r="K262">
        <f t="shared" si="8"/>
        <v>41</v>
      </c>
    </row>
    <row r="263" spans="1:11">
      <c r="A263">
        <f>Table1[[#This Row],[Role ID]]</f>
        <v>179</v>
      </c>
      <c r="B263" t="str">
        <f>Table1[[#This Row],[Role]]</f>
        <v>Help Desk Technician</v>
      </c>
      <c r="C263" t="str">
        <f>Table1[[#This Row],[Stream Internal]]</f>
        <v>ITES</v>
      </c>
      <c r="D263" s="1">
        <f>IF(ISBLANK(Table1[[#This Row],[Demand Date]]),"",Table1[[#This Row],[Demand Date]])</f>
        <v>45889</v>
      </c>
      <c r="E263" s="1">
        <f>IF(ISBLANK(Table1[[#This Row],[Date Job Requirement Released]]),"",Table1[[#This Row],[Date Job Requirement Released]])</f>
        <v>45956</v>
      </c>
      <c r="F263" s="1" t="str">
        <f>IF(ISBLANK(Table1[[#This Row],[Date Offered]]),"",Table1[[#This Row],[Date Offered]])</f>
        <v/>
      </c>
      <c r="G263" s="1" t="str">
        <f>IF(ISBLANK(Table1[[#This Row],[Date Onboarded]]),"",Table1[[#This Row],[Date Onboarded]])</f>
        <v/>
      </c>
      <c r="H263" t="str">
        <f>Table1[[#This Row],[Internal/External]]</f>
        <v>Internal</v>
      </c>
      <c r="I263">
        <f>Table1[[#This Row],[Pipeline Updated]]</f>
        <v>0</v>
      </c>
      <c r="J263" t="str">
        <f t="shared" si="9"/>
        <v/>
      </c>
      <c r="K263" t="str">
        <f t="shared" si="8"/>
        <v/>
      </c>
    </row>
    <row r="264" spans="1:11">
      <c r="A264">
        <f>Table1[[#This Row],[Role ID]]</f>
        <v>177</v>
      </c>
      <c r="B264" t="str">
        <f>Table1[[#This Row],[Role]]</f>
        <v>Product Marketing Manager</v>
      </c>
      <c r="C264" t="str">
        <f>Table1[[#This Row],[Stream Internal]]</f>
        <v>SAM</v>
      </c>
      <c r="D264" s="1">
        <f>IF(ISBLANK(Table1[[#This Row],[Demand Date]]),"",Table1[[#This Row],[Demand Date]])</f>
        <v>45919</v>
      </c>
      <c r="E264" s="1">
        <f>IF(ISBLANK(Table1[[#This Row],[Date Job Requirement Released]]),"",Table1[[#This Row],[Date Job Requirement Released]])</f>
        <v>45979</v>
      </c>
      <c r="F264" s="1">
        <f>IF(ISBLANK(Table1[[#This Row],[Date Offered]]),"",Table1[[#This Row],[Date Offered]])</f>
        <v>45997</v>
      </c>
      <c r="G264" s="1">
        <f>IF(ISBLANK(Table1[[#This Row],[Date Onboarded]]),"",Table1[[#This Row],[Date Onboarded]])</f>
        <v>46008</v>
      </c>
      <c r="H264" t="str">
        <f>Table1[[#This Row],[Internal/External]]</f>
        <v>Internal</v>
      </c>
      <c r="I264">
        <f>Table1[[#This Row],[Pipeline Updated]]</f>
        <v>2</v>
      </c>
      <c r="J264">
        <f t="shared" si="9"/>
        <v>18</v>
      </c>
      <c r="K264">
        <f t="shared" si="8"/>
        <v>29</v>
      </c>
    </row>
    <row r="265" spans="1:11">
      <c r="A265">
        <f>Table1[[#This Row],[Role ID]]</f>
        <v>182</v>
      </c>
      <c r="B265" t="str">
        <f>Table1[[#This Row],[Role]]</f>
        <v>Senior R&amp;D Manager</v>
      </c>
      <c r="C265" t="str">
        <f>Table1[[#This Row],[Stream Internal]]</f>
        <v>RND</v>
      </c>
      <c r="D265" s="1">
        <f>IF(ISBLANK(Table1[[#This Row],[Demand Date]]),"",Table1[[#This Row],[Demand Date]])</f>
        <v>45922</v>
      </c>
      <c r="E265" s="1">
        <f>IF(ISBLANK(Table1[[#This Row],[Date Job Requirement Released]]),"",Table1[[#This Row],[Date Job Requirement Released]])</f>
        <v>45986</v>
      </c>
      <c r="F265" s="1" t="str">
        <f>IF(ISBLANK(Table1[[#This Row],[Date Offered]]),"",Table1[[#This Row],[Date Offered]])</f>
        <v/>
      </c>
      <c r="G265" s="1" t="str">
        <f>IF(ISBLANK(Table1[[#This Row],[Date Onboarded]]),"",Table1[[#This Row],[Date Onboarded]])</f>
        <v/>
      </c>
      <c r="H265" t="str">
        <f>Table1[[#This Row],[Internal/External]]</f>
        <v>Internal</v>
      </c>
      <c r="I265">
        <f>Table1[[#This Row],[Pipeline Updated]]</f>
        <v>0</v>
      </c>
      <c r="J265" t="str">
        <f t="shared" si="9"/>
        <v/>
      </c>
      <c r="K265" t="str">
        <f t="shared" si="8"/>
        <v/>
      </c>
    </row>
    <row r="266" spans="1:11">
      <c r="A266">
        <f>Table1[[#This Row],[Role ID]]</f>
        <v>183</v>
      </c>
      <c r="B266" t="str">
        <f>Table1[[#This Row],[Role]]</f>
        <v>Research Analyst</v>
      </c>
      <c r="C266" t="str">
        <f>Table1[[#This Row],[Stream Internal]]</f>
        <v>RND</v>
      </c>
      <c r="D266" s="1">
        <f>IF(ISBLANK(Table1[[#This Row],[Demand Date]]),"",Table1[[#This Row],[Demand Date]])</f>
        <v>45834</v>
      </c>
      <c r="E266" s="1">
        <f>IF(ISBLANK(Table1[[#This Row],[Date Job Requirement Released]]),"",Table1[[#This Row],[Date Job Requirement Released]])</f>
        <v>45883</v>
      </c>
      <c r="F266" s="1" t="str">
        <f>IF(ISBLANK(Table1[[#This Row],[Date Offered]]),"",Table1[[#This Row],[Date Offered]])</f>
        <v/>
      </c>
      <c r="G266" s="1" t="str">
        <f>IF(ISBLANK(Table1[[#This Row],[Date Onboarded]]),"",Table1[[#This Row],[Date Onboarded]])</f>
        <v/>
      </c>
      <c r="H266" t="str">
        <f>Table1[[#This Row],[Internal/External]]</f>
        <v>Internal</v>
      </c>
      <c r="I266">
        <f>Table1[[#This Row],[Pipeline Updated]]</f>
        <v>0</v>
      </c>
      <c r="J266" t="str">
        <f t="shared" si="9"/>
        <v/>
      </c>
      <c r="K266" t="str">
        <f t="shared" si="8"/>
        <v/>
      </c>
    </row>
    <row r="267" spans="1:11">
      <c r="A267">
        <f>Table1[[#This Row],[Role ID]]</f>
        <v>184</v>
      </c>
      <c r="B267" t="str">
        <f>Table1[[#This Row],[Role]]</f>
        <v>Innovation Manager</v>
      </c>
      <c r="C267" t="str">
        <f>Table1[[#This Row],[Stream Internal]]</f>
        <v>RND</v>
      </c>
      <c r="D267" s="1">
        <f>IF(ISBLANK(Table1[[#This Row],[Demand Date]]),"",Table1[[#This Row],[Demand Date]])</f>
        <v>45902</v>
      </c>
      <c r="E267" s="1">
        <f>IF(ISBLANK(Table1[[#This Row],[Date Job Requirement Released]]),"",Table1[[#This Row],[Date Job Requirement Released]])</f>
        <v>45957</v>
      </c>
      <c r="F267" s="1" t="str">
        <f>IF(ISBLANK(Table1[[#This Row],[Date Offered]]),"",Table1[[#This Row],[Date Offered]])</f>
        <v/>
      </c>
      <c r="G267" s="1" t="str">
        <f>IF(ISBLANK(Table1[[#This Row],[Date Onboarded]]),"",Table1[[#This Row],[Date Onboarded]])</f>
        <v/>
      </c>
      <c r="H267" t="str">
        <f>Table1[[#This Row],[Internal/External]]</f>
        <v>Internal</v>
      </c>
      <c r="I267">
        <f>Table1[[#This Row],[Pipeline Updated]]</f>
        <v>0</v>
      </c>
      <c r="J267" t="str">
        <f t="shared" si="9"/>
        <v/>
      </c>
      <c r="K267" t="str">
        <f t="shared" si="8"/>
        <v/>
      </c>
    </row>
    <row r="268" spans="1:11">
      <c r="A268">
        <f>Table1[[#This Row],[Role ID]]</f>
        <v>185</v>
      </c>
      <c r="B268" t="str">
        <f>Table1[[#This Row],[Role]]</f>
        <v>Engineering Manager</v>
      </c>
      <c r="C268" t="str">
        <f>Table1[[#This Row],[Stream Internal]]</f>
        <v>ENGG</v>
      </c>
      <c r="D268" s="1">
        <f>IF(ISBLANK(Table1[[#This Row],[Demand Date]]),"",Table1[[#This Row],[Demand Date]])</f>
        <v>45818</v>
      </c>
      <c r="E268" s="1">
        <f>IF(ISBLANK(Table1[[#This Row],[Date Job Requirement Released]]),"",Table1[[#This Row],[Date Job Requirement Released]])</f>
        <v>45875</v>
      </c>
      <c r="F268" s="1">
        <f>IF(ISBLANK(Table1[[#This Row],[Date Offered]]),"",Table1[[#This Row],[Date Offered]])</f>
        <v>45890</v>
      </c>
      <c r="G268" s="1">
        <f>IF(ISBLANK(Table1[[#This Row],[Date Onboarded]]),"",Table1[[#This Row],[Date Onboarded]])</f>
        <v>45900</v>
      </c>
      <c r="H268" t="str">
        <f>Table1[[#This Row],[Internal/External]]</f>
        <v>Internal</v>
      </c>
      <c r="I268">
        <f>Table1[[#This Row],[Pipeline Updated]]</f>
        <v>0</v>
      </c>
      <c r="J268">
        <f t="shared" si="9"/>
        <v>15</v>
      </c>
      <c r="K268">
        <f t="shared" si="8"/>
        <v>25</v>
      </c>
    </row>
    <row r="269" spans="1:11">
      <c r="A269">
        <f>Table1[[#This Row],[Role ID]]</f>
        <v>77</v>
      </c>
      <c r="B269" t="str">
        <f>Table1[[#This Row],[Role]]</f>
        <v>Technical Support Analyst</v>
      </c>
      <c r="C269" t="str">
        <f>Table1[[#This Row],[Stream Internal]]</f>
        <v>ITES</v>
      </c>
      <c r="D269" s="1">
        <f>IF(ISBLANK(Table1[[#This Row],[Demand Date]]),"",Table1[[#This Row],[Demand Date]])</f>
        <v>45911</v>
      </c>
      <c r="E269" s="1">
        <f>IF(ISBLANK(Table1[[#This Row],[Date Job Requirement Released]]),"",Table1[[#This Row],[Date Job Requirement Released]])</f>
        <v>45984</v>
      </c>
      <c r="F269" s="1" t="str">
        <f>IF(ISBLANK(Table1[[#This Row],[Date Offered]]),"",Table1[[#This Row],[Date Offered]])</f>
        <v/>
      </c>
      <c r="G269" s="1" t="str">
        <f>IF(ISBLANK(Table1[[#This Row],[Date Onboarded]]),"",Table1[[#This Row],[Date Onboarded]])</f>
        <v/>
      </c>
      <c r="H269" t="str">
        <f>Table1[[#This Row],[Internal/External]]</f>
        <v>Internal</v>
      </c>
      <c r="I269">
        <f>Table1[[#This Row],[Pipeline Updated]]</f>
        <v>0</v>
      </c>
      <c r="J269" t="str">
        <f t="shared" si="9"/>
        <v/>
      </c>
      <c r="K269" t="str">
        <f t="shared" si="8"/>
        <v/>
      </c>
    </row>
    <row r="270" spans="1:11">
      <c r="A270">
        <f>Table1[[#This Row],[Role ID]]</f>
        <v>39</v>
      </c>
      <c r="B270" t="str">
        <f>Table1[[#This Row],[Role]]</f>
        <v>Senior SDE</v>
      </c>
      <c r="C270" t="str">
        <f>Table1[[#This Row],[Stream Internal]]</f>
        <v>ENGG</v>
      </c>
      <c r="D270" s="1">
        <f>IF(ISBLANK(Table1[[#This Row],[Demand Date]]),"",Table1[[#This Row],[Demand Date]])</f>
        <v>45925</v>
      </c>
      <c r="E270" s="1">
        <f>IF(ISBLANK(Table1[[#This Row],[Date Job Requirement Released]]),"",Table1[[#This Row],[Date Job Requirement Released]])</f>
        <v>45984</v>
      </c>
      <c r="F270" s="1">
        <f>IF(ISBLANK(Table1[[#This Row],[Date Offered]]),"",Table1[[#This Row],[Date Offered]])</f>
        <v>45994</v>
      </c>
      <c r="G270" s="1">
        <f>IF(ISBLANK(Table1[[#This Row],[Date Onboarded]]),"",Table1[[#This Row],[Date Onboarded]])</f>
        <v>46028</v>
      </c>
      <c r="H270" t="str">
        <f>Table1[[#This Row],[Internal/External]]</f>
        <v>External</v>
      </c>
      <c r="I270">
        <f>Table1[[#This Row],[Pipeline Updated]]</f>
        <v>2</v>
      </c>
      <c r="J270">
        <f t="shared" si="9"/>
        <v>10</v>
      </c>
      <c r="K270">
        <f t="shared" si="8"/>
        <v>44</v>
      </c>
    </row>
    <row r="271" spans="1:11">
      <c r="A271">
        <f>Table1[[#This Row],[Role ID]]</f>
        <v>86</v>
      </c>
      <c r="B271" t="str">
        <f>Table1[[#This Row],[Role]]</f>
        <v>R&amp;D Project Lead</v>
      </c>
      <c r="C271" t="str">
        <f>Table1[[#This Row],[Stream Internal]]</f>
        <v>RND</v>
      </c>
      <c r="D271" s="1">
        <f>IF(ISBLANK(Table1[[#This Row],[Demand Date]]),"",Table1[[#This Row],[Demand Date]])</f>
        <v>45864</v>
      </c>
      <c r="E271" s="1">
        <f>IF(ISBLANK(Table1[[#This Row],[Date Job Requirement Released]]),"",Table1[[#This Row],[Date Job Requirement Released]])</f>
        <v>45914</v>
      </c>
      <c r="F271" s="1">
        <f>IF(ISBLANK(Table1[[#This Row],[Date Offered]]),"",Table1[[#This Row],[Date Offered]])</f>
        <v>45924</v>
      </c>
      <c r="G271" s="1">
        <f>IF(ISBLANK(Table1[[#This Row],[Date Onboarded]]),"",Table1[[#This Row],[Date Onboarded]])</f>
        <v>46002</v>
      </c>
      <c r="H271" t="str">
        <f>Table1[[#This Row],[Internal/External]]</f>
        <v>Internal</v>
      </c>
      <c r="I271">
        <f>Table1[[#This Row],[Pipeline Updated]]</f>
        <v>2</v>
      </c>
      <c r="J271">
        <f t="shared" si="9"/>
        <v>10</v>
      </c>
      <c r="K271">
        <f t="shared" si="8"/>
        <v>88</v>
      </c>
    </row>
    <row r="272" spans="1:11">
      <c r="A272">
        <f>Table1[[#This Row],[Role ID]]</f>
        <v>186</v>
      </c>
      <c r="B272" t="str">
        <f>Table1[[#This Row],[Role]]</f>
        <v>R&amp;D Project Lead</v>
      </c>
      <c r="C272" t="str">
        <f>Table1[[#This Row],[Stream Internal]]</f>
        <v>RND</v>
      </c>
      <c r="D272" s="1">
        <f>IF(ISBLANK(Table1[[#This Row],[Demand Date]]),"",Table1[[#This Row],[Demand Date]])</f>
        <v>45848</v>
      </c>
      <c r="E272" s="1">
        <f>IF(ISBLANK(Table1[[#This Row],[Date Job Requirement Released]]),"",Table1[[#This Row],[Date Job Requirement Released]])</f>
        <v>45895</v>
      </c>
      <c r="F272" s="1" t="str">
        <f>IF(ISBLANK(Table1[[#This Row],[Date Offered]]),"",Table1[[#This Row],[Date Offered]])</f>
        <v/>
      </c>
      <c r="G272" s="1" t="str">
        <f>IF(ISBLANK(Table1[[#This Row],[Date Onboarded]]),"",Table1[[#This Row],[Date Onboarded]])</f>
        <v/>
      </c>
      <c r="H272" t="str">
        <f>Table1[[#This Row],[Internal/External]]</f>
        <v>Internal</v>
      </c>
      <c r="I272">
        <f>Table1[[#This Row],[Pipeline Updated]]</f>
        <v>0</v>
      </c>
      <c r="J272" t="str">
        <f t="shared" si="9"/>
        <v/>
      </c>
      <c r="K272" t="str">
        <f t="shared" si="8"/>
        <v/>
      </c>
    </row>
    <row r="273" spans="1:11">
      <c r="A273">
        <f>Table1[[#This Row],[Role ID]]</f>
        <v>187</v>
      </c>
      <c r="B273" t="str">
        <f>Table1[[#This Row],[Role]]</f>
        <v>Software Developer 1</v>
      </c>
      <c r="C273" t="str">
        <f>Table1[[#This Row],[Stream Internal]]</f>
        <v>ENGG</v>
      </c>
      <c r="D273" s="1">
        <f>IF(ISBLANK(Table1[[#This Row],[Demand Date]]),"",Table1[[#This Row],[Demand Date]])</f>
        <v>45838</v>
      </c>
      <c r="E273" s="1">
        <f>IF(ISBLANK(Table1[[#This Row],[Date Job Requirement Released]]),"",Table1[[#This Row],[Date Job Requirement Released]])</f>
        <v>45909</v>
      </c>
      <c r="F273" s="1" t="str">
        <f>IF(ISBLANK(Table1[[#This Row],[Date Offered]]),"",Table1[[#This Row],[Date Offered]])</f>
        <v/>
      </c>
      <c r="G273" s="1" t="str">
        <f>IF(ISBLANK(Table1[[#This Row],[Date Onboarded]]),"",Table1[[#This Row],[Date Onboarded]])</f>
        <v/>
      </c>
      <c r="H273" t="str">
        <f>Table1[[#This Row],[Internal/External]]</f>
        <v>Internal</v>
      </c>
      <c r="I273">
        <f>Table1[[#This Row],[Pipeline Updated]]</f>
        <v>0</v>
      </c>
      <c r="J273" t="str">
        <f t="shared" si="9"/>
        <v/>
      </c>
      <c r="K273" t="str">
        <f t="shared" si="8"/>
        <v/>
      </c>
    </row>
    <row r="274" spans="1:11">
      <c r="A274">
        <f>Table1[[#This Row],[Role ID]]</f>
        <v>11</v>
      </c>
      <c r="B274" t="str">
        <f>Table1[[#This Row],[Role]]</f>
        <v>Sales Director</v>
      </c>
      <c r="C274" t="str">
        <f>Table1[[#This Row],[Stream Internal]]</f>
        <v>SAM</v>
      </c>
      <c r="D274" s="1">
        <f>IF(ISBLANK(Table1[[#This Row],[Demand Date]]),"",Table1[[#This Row],[Demand Date]])</f>
        <v>45862</v>
      </c>
      <c r="E274" s="1">
        <f>IF(ISBLANK(Table1[[#This Row],[Date Job Requirement Released]]),"",Table1[[#This Row],[Date Job Requirement Released]])</f>
        <v>45930</v>
      </c>
      <c r="F274" s="1" t="str">
        <f>IF(ISBLANK(Table1[[#This Row],[Date Offered]]),"",Table1[[#This Row],[Date Offered]])</f>
        <v/>
      </c>
      <c r="G274" s="1" t="str">
        <f>IF(ISBLANK(Table1[[#This Row],[Date Onboarded]]),"",Table1[[#This Row],[Date Onboarded]])</f>
        <v/>
      </c>
      <c r="H274" t="str">
        <f>Table1[[#This Row],[Internal/External]]</f>
        <v>External</v>
      </c>
      <c r="I274">
        <f>Table1[[#This Row],[Pipeline Updated]]</f>
        <v>0</v>
      </c>
      <c r="J274" t="str">
        <f t="shared" si="9"/>
        <v/>
      </c>
      <c r="K274" t="str">
        <f t="shared" si="8"/>
        <v/>
      </c>
    </row>
    <row r="275" spans="1:11">
      <c r="A275">
        <f>Table1[[#This Row],[Role ID]]</f>
        <v>68</v>
      </c>
      <c r="B275" t="str">
        <f>Table1[[#This Row],[Role]]</f>
        <v>R&amp;D Manager</v>
      </c>
      <c r="C275" t="str">
        <f>Table1[[#This Row],[Stream Internal]]</f>
        <v>RND</v>
      </c>
      <c r="D275" s="1">
        <f>IF(ISBLANK(Table1[[#This Row],[Demand Date]]),"",Table1[[#This Row],[Demand Date]])</f>
        <v>45827</v>
      </c>
      <c r="E275" s="1">
        <f>IF(ISBLANK(Table1[[#This Row],[Date Job Requirement Released]]),"",Table1[[#This Row],[Date Job Requirement Released]])</f>
        <v>45896</v>
      </c>
      <c r="F275" s="1">
        <f>IF(ISBLANK(Table1[[#This Row],[Date Offered]]),"",Table1[[#This Row],[Date Offered]])</f>
        <v>45915</v>
      </c>
      <c r="G275" s="1">
        <f>IF(ISBLANK(Table1[[#This Row],[Date Onboarded]]),"",Table1[[#This Row],[Date Onboarded]])</f>
        <v>45981</v>
      </c>
      <c r="H275" t="str">
        <f>Table1[[#This Row],[Internal/External]]</f>
        <v>Internal</v>
      </c>
      <c r="I275">
        <f>Table1[[#This Row],[Pipeline Updated]]</f>
        <v>1</v>
      </c>
      <c r="J275">
        <f t="shared" si="9"/>
        <v>19</v>
      </c>
      <c r="K275">
        <f t="shared" si="8"/>
        <v>85</v>
      </c>
    </row>
    <row r="276" spans="1:11">
      <c r="A276">
        <f>Table1[[#This Row],[Role ID]]</f>
        <v>188</v>
      </c>
      <c r="B276" t="str">
        <f>Table1[[#This Row],[Role]]</f>
        <v>Principal Engineer</v>
      </c>
      <c r="C276" t="str">
        <f>Table1[[#This Row],[Stream Internal]]</f>
        <v>ENGG</v>
      </c>
      <c r="D276" s="1">
        <f>IF(ISBLANK(Table1[[#This Row],[Demand Date]]),"",Table1[[#This Row],[Demand Date]])</f>
        <v>45929</v>
      </c>
      <c r="E276" s="1">
        <f>IF(ISBLANK(Table1[[#This Row],[Date Job Requirement Released]]),"",Table1[[#This Row],[Date Job Requirement Released]])</f>
        <v>45990</v>
      </c>
      <c r="F276" s="1">
        <f>IF(ISBLANK(Table1[[#This Row],[Date Offered]]),"",Table1[[#This Row],[Date Offered]])</f>
        <v>46005</v>
      </c>
      <c r="G276" s="1">
        <f>IF(ISBLANK(Table1[[#This Row],[Date Onboarded]]),"",Table1[[#This Row],[Date Onboarded]])</f>
        <v>46049</v>
      </c>
      <c r="H276" t="str">
        <f>Table1[[#This Row],[Internal/External]]</f>
        <v>Internal</v>
      </c>
      <c r="I276">
        <f>Table1[[#This Row],[Pipeline Updated]]</f>
        <v>0</v>
      </c>
      <c r="J276">
        <f t="shared" si="9"/>
        <v>15</v>
      </c>
      <c r="K276">
        <f t="shared" si="8"/>
        <v>59</v>
      </c>
    </row>
    <row r="277" spans="1:11">
      <c r="A277">
        <f>Table1[[#This Row],[Role ID]]</f>
        <v>155</v>
      </c>
      <c r="B277" t="str">
        <f>Table1[[#This Row],[Role]]</f>
        <v>Innovation Manager</v>
      </c>
      <c r="C277" t="str">
        <f>Table1[[#This Row],[Stream Internal]]</f>
        <v>RND</v>
      </c>
      <c r="D277" s="1">
        <f>IF(ISBLANK(Table1[[#This Row],[Demand Date]]),"",Table1[[#This Row],[Demand Date]])</f>
        <v>45930</v>
      </c>
      <c r="E277" s="1">
        <f>IF(ISBLANK(Table1[[#This Row],[Date Job Requirement Released]]),"",Table1[[#This Row],[Date Job Requirement Released]])</f>
        <v>46000</v>
      </c>
      <c r="F277" s="1">
        <f>IF(ISBLANK(Table1[[#This Row],[Date Offered]]),"",Table1[[#This Row],[Date Offered]])</f>
        <v>46017</v>
      </c>
      <c r="G277" s="1">
        <f>IF(ISBLANK(Table1[[#This Row],[Date Onboarded]]),"",Table1[[#This Row],[Date Onboarded]])</f>
        <v>46055</v>
      </c>
      <c r="H277" t="str">
        <f>Table1[[#This Row],[Internal/External]]</f>
        <v>Internal</v>
      </c>
      <c r="I277">
        <f>Table1[[#This Row],[Pipeline Updated]]</f>
        <v>2</v>
      </c>
      <c r="J277">
        <f t="shared" si="9"/>
        <v>17</v>
      </c>
      <c r="K277">
        <f t="shared" si="8"/>
        <v>55</v>
      </c>
    </row>
    <row r="278" spans="1:11">
      <c r="A278">
        <f>Table1[[#This Row],[Role ID]]</f>
        <v>15</v>
      </c>
      <c r="B278" t="str">
        <f>Table1[[#This Row],[Role]]</f>
        <v>Brand Manager</v>
      </c>
      <c r="C278" t="str">
        <f>Table1[[#This Row],[Stream Internal]]</f>
        <v>SAM</v>
      </c>
      <c r="D278" s="1">
        <f>IF(ISBLANK(Table1[[#This Row],[Demand Date]]),"",Table1[[#This Row],[Demand Date]])</f>
        <v>45897</v>
      </c>
      <c r="E278" s="1">
        <f>IF(ISBLANK(Table1[[#This Row],[Date Job Requirement Released]]),"",Table1[[#This Row],[Date Job Requirement Released]])</f>
        <v>45951</v>
      </c>
      <c r="F278" s="1" t="str">
        <f>IF(ISBLANK(Table1[[#This Row],[Date Offered]]),"",Table1[[#This Row],[Date Offered]])</f>
        <v/>
      </c>
      <c r="G278" s="1" t="str">
        <f>IF(ISBLANK(Table1[[#This Row],[Date Onboarded]]),"",Table1[[#This Row],[Date Onboarded]])</f>
        <v/>
      </c>
      <c r="H278" t="str">
        <f>Table1[[#This Row],[Internal/External]]</f>
        <v>Internal</v>
      </c>
      <c r="I278">
        <f>Table1[[#This Row],[Pipeline Updated]]</f>
        <v>0</v>
      </c>
      <c r="J278" t="str">
        <f t="shared" si="9"/>
        <v/>
      </c>
      <c r="K278" t="str">
        <f t="shared" si="8"/>
        <v/>
      </c>
    </row>
    <row r="279" spans="1:11">
      <c r="A279">
        <f>Table1[[#This Row],[Role ID]]</f>
        <v>96</v>
      </c>
      <c r="B279" t="str">
        <f>Table1[[#This Row],[Role]]</f>
        <v>Platform Delivery Lead</v>
      </c>
      <c r="C279" t="str">
        <f>Table1[[#This Row],[Stream Internal]]</f>
        <v>ENGG</v>
      </c>
      <c r="D279" s="1">
        <f>IF(ISBLANK(Table1[[#This Row],[Demand Date]]),"",Table1[[#This Row],[Demand Date]])</f>
        <v>45836</v>
      </c>
      <c r="E279" s="1">
        <f>IF(ISBLANK(Table1[[#This Row],[Date Job Requirement Released]]),"",Table1[[#This Row],[Date Job Requirement Released]])</f>
        <v>45909</v>
      </c>
      <c r="F279" s="1" t="str">
        <f>IF(ISBLANK(Table1[[#This Row],[Date Offered]]),"",Table1[[#This Row],[Date Offered]])</f>
        <v/>
      </c>
      <c r="G279" s="1" t="str">
        <f>IF(ISBLANK(Table1[[#This Row],[Date Onboarded]]),"",Table1[[#This Row],[Date Onboarded]])</f>
        <v/>
      </c>
      <c r="H279" t="str">
        <f>Table1[[#This Row],[Internal/External]]</f>
        <v>Internal</v>
      </c>
      <c r="I279">
        <f>Table1[[#This Row],[Pipeline Updated]]</f>
        <v>0</v>
      </c>
      <c r="J279" t="str">
        <f t="shared" si="9"/>
        <v/>
      </c>
      <c r="K279" t="str">
        <f t="shared" si="8"/>
        <v/>
      </c>
    </row>
    <row r="280" spans="1:11">
      <c r="A280">
        <f>Table1[[#This Row],[Role ID]]</f>
        <v>6</v>
      </c>
      <c r="B280" t="str">
        <f>Table1[[#This Row],[Role]]</f>
        <v>Staff Engineer</v>
      </c>
      <c r="C280" t="str">
        <f>Table1[[#This Row],[Stream Internal]]</f>
        <v>ENGG</v>
      </c>
      <c r="D280" s="1">
        <f>IF(ISBLANK(Table1[[#This Row],[Demand Date]]),"",Table1[[#This Row],[Demand Date]])</f>
        <v>45885</v>
      </c>
      <c r="E280" s="1">
        <f>IF(ISBLANK(Table1[[#This Row],[Date Job Requirement Released]]),"",Table1[[#This Row],[Date Job Requirement Released]])</f>
        <v>45938</v>
      </c>
      <c r="F280" s="1" t="str">
        <f>IF(ISBLANK(Table1[[#This Row],[Date Offered]]),"",Table1[[#This Row],[Date Offered]])</f>
        <v/>
      </c>
      <c r="G280" s="1" t="str">
        <f>IF(ISBLANK(Table1[[#This Row],[Date Onboarded]]),"",Table1[[#This Row],[Date Onboarded]])</f>
        <v/>
      </c>
      <c r="H280" t="str">
        <f>Table1[[#This Row],[Internal/External]]</f>
        <v>Internal</v>
      </c>
      <c r="I280">
        <f>Table1[[#This Row],[Pipeline Updated]]</f>
        <v>0</v>
      </c>
      <c r="J280" t="str">
        <f t="shared" si="9"/>
        <v/>
      </c>
      <c r="K280" t="str">
        <f t="shared" si="8"/>
        <v/>
      </c>
    </row>
    <row r="281" spans="1:11">
      <c r="A281">
        <f>Table1[[#This Row],[Role ID]]</f>
        <v>99</v>
      </c>
      <c r="B281" t="str">
        <f>Table1[[#This Row],[Role]]</f>
        <v>IT Manager</v>
      </c>
      <c r="C281" t="str">
        <f>Table1[[#This Row],[Stream Internal]]</f>
        <v>ITES</v>
      </c>
      <c r="D281" s="1">
        <f>IF(ISBLANK(Table1[[#This Row],[Demand Date]]),"",Table1[[#This Row],[Demand Date]])</f>
        <v>45816</v>
      </c>
      <c r="E281" s="1">
        <f>IF(ISBLANK(Table1[[#This Row],[Date Job Requirement Released]]),"",Table1[[#This Row],[Date Job Requirement Released]])</f>
        <v>45865</v>
      </c>
      <c r="F281" s="1">
        <f>IF(ISBLANK(Table1[[#This Row],[Date Offered]]),"",Table1[[#This Row],[Date Offered]])</f>
        <v>45885</v>
      </c>
      <c r="G281" s="1">
        <f>IF(ISBLANK(Table1[[#This Row],[Date Onboarded]]),"",Table1[[#This Row],[Date Onboarded]])</f>
        <v>45951</v>
      </c>
      <c r="H281" t="str">
        <f>Table1[[#This Row],[Internal/External]]</f>
        <v>Internal</v>
      </c>
      <c r="I281">
        <f>Table1[[#This Row],[Pipeline Updated]]</f>
        <v>0</v>
      </c>
      <c r="J281">
        <f t="shared" si="9"/>
        <v>20</v>
      </c>
      <c r="K281">
        <f t="shared" si="8"/>
        <v>86</v>
      </c>
    </row>
    <row r="282" spans="1:11">
      <c r="A282">
        <f>Table1[[#This Row],[Role ID]]</f>
        <v>160</v>
      </c>
      <c r="B282" t="str">
        <f>Table1[[#This Row],[Role]]</f>
        <v>VP Engineering</v>
      </c>
      <c r="C282" t="str">
        <f>Table1[[#This Row],[Stream Internal]]</f>
        <v>ENGG</v>
      </c>
      <c r="D282" s="1">
        <f>IF(ISBLANK(Table1[[#This Row],[Demand Date]]),"",Table1[[#This Row],[Demand Date]])</f>
        <v>45846</v>
      </c>
      <c r="E282" s="1">
        <f>IF(ISBLANK(Table1[[#This Row],[Date Job Requirement Released]]),"",Table1[[#This Row],[Date Job Requirement Released]])</f>
        <v>45904</v>
      </c>
      <c r="F282" s="1" t="str">
        <f>IF(ISBLANK(Table1[[#This Row],[Date Offered]]),"",Table1[[#This Row],[Date Offered]])</f>
        <v/>
      </c>
      <c r="G282" s="1" t="str">
        <f>IF(ISBLANK(Table1[[#This Row],[Date Onboarded]]),"",Table1[[#This Row],[Date Onboarded]])</f>
        <v/>
      </c>
      <c r="H282" t="str">
        <f>Table1[[#This Row],[Internal/External]]</f>
        <v>Internal</v>
      </c>
      <c r="I282">
        <f>Table1[[#This Row],[Pipeline Updated]]</f>
        <v>0</v>
      </c>
      <c r="J282" t="str">
        <f t="shared" si="9"/>
        <v/>
      </c>
      <c r="K282" t="str">
        <f t="shared" si="8"/>
        <v/>
      </c>
    </row>
    <row r="283" spans="1:11">
      <c r="A283">
        <f>Table1[[#This Row],[Role ID]]</f>
        <v>187</v>
      </c>
      <c r="B283" t="str">
        <f>Table1[[#This Row],[Role]]</f>
        <v>Software Developer 1</v>
      </c>
      <c r="C283" t="str">
        <f>Table1[[#This Row],[Stream Internal]]</f>
        <v>ENGG</v>
      </c>
      <c r="D283" s="1">
        <f>IF(ISBLANK(Table1[[#This Row],[Demand Date]]),"",Table1[[#This Row],[Demand Date]])</f>
        <v>45826</v>
      </c>
      <c r="E283" s="1">
        <f>IF(ISBLANK(Table1[[#This Row],[Date Job Requirement Released]]),"",Table1[[#This Row],[Date Job Requirement Released]])</f>
        <v>45876</v>
      </c>
      <c r="F283" s="1" t="str">
        <f>IF(ISBLANK(Table1[[#This Row],[Date Offered]]),"",Table1[[#This Row],[Date Offered]])</f>
        <v/>
      </c>
      <c r="G283" s="1" t="str">
        <f>IF(ISBLANK(Table1[[#This Row],[Date Onboarded]]),"",Table1[[#This Row],[Date Onboarded]])</f>
        <v/>
      </c>
      <c r="H283" t="str">
        <f>Table1[[#This Row],[Internal/External]]</f>
        <v>Internal</v>
      </c>
      <c r="I283">
        <f>Table1[[#This Row],[Pipeline Updated]]</f>
        <v>0</v>
      </c>
      <c r="J283" t="str">
        <f t="shared" si="9"/>
        <v/>
      </c>
      <c r="K283" t="str">
        <f t="shared" si="8"/>
        <v/>
      </c>
    </row>
    <row r="284" spans="1:11">
      <c r="A284">
        <f>Table1[[#This Row],[Role ID]]</f>
        <v>45</v>
      </c>
      <c r="B284" t="str">
        <f>Table1[[#This Row],[Role]]</f>
        <v>Technical Support Analyst</v>
      </c>
      <c r="C284" t="str">
        <f>Table1[[#This Row],[Stream Internal]]</f>
        <v>ITES</v>
      </c>
      <c r="D284" s="1">
        <f>IF(ISBLANK(Table1[[#This Row],[Demand Date]]),"",Table1[[#This Row],[Demand Date]])</f>
        <v>45813</v>
      </c>
      <c r="E284" s="1">
        <f>IF(ISBLANK(Table1[[#This Row],[Date Job Requirement Released]]),"",Table1[[#This Row],[Date Job Requirement Released]])</f>
        <v>45864</v>
      </c>
      <c r="F284" s="1">
        <f>IF(ISBLANK(Table1[[#This Row],[Date Offered]]),"",Table1[[#This Row],[Date Offered]])</f>
        <v>45875</v>
      </c>
      <c r="G284" s="1">
        <f>IF(ISBLANK(Table1[[#This Row],[Date Onboarded]]),"",Table1[[#This Row],[Date Onboarded]])</f>
        <v>45905</v>
      </c>
      <c r="H284" t="str">
        <f>Table1[[#This Row],[Internal/External]]</f>
        <v>Internal</v>
      </c>
      <c r="I284">
        <f>Table1[[#This Row],[Pipeline Updated]]</f>
        <v>2</v>
      </c>
      <c r="J284">
        <f t="shared" si="9"/>
        <v>11</v>
      </c>
      <c r="K284">
        <f t="shared" si="8"/>
        <v>41</v>
      </c>
    </row>
    <row r="285" spans="1:11">
      <c r="A285">
        <f>Table1[[#This Row],[Role ID]]</f>
        <v>189</v>
      </c>
      <c r="B285" t="str">
        <f>Table1[[#This Row],[Role]]</f>
        <v>Network Administrator</v>
      </c>
      <c r="C285" t="str">
        <f>Table1[[#This Row],[Stream Internal]]</f>
        <v>ITES</v>
      </c>
      <c r="D285" s="1">
        <f>IF(ISBLANK(Table1[[#This Row],[Demand Date]]),"",Table1[[#This Row],[Demand Date]])</f>
        <v>45882</v>
      </c>
      <c r="E285" s="1">
        <f>IF(ISBLANK(Table1[[#This Row],[Date Job Requirement Released]]),"",Table1[[#This Row],[Date Job Requirement Released]])</f>
        <v>45946</v>
      </c>
      <c r="F285" s="1" t="str">
        <f>IF(ISBLANK(Table1[[#This Row],[Date Offered]]),"",Table1[[#This Row],[Date Offered]])</f>
        <v/>
      </c>
      <c r="G285" s="1" t="str">
        <f>IF(ISBLANK(Table1[[#This Row],[Date Onboarded]]),"",Table1[[#This Row],[Date Onboarded]])</f>
        <v/>
      </c>
      <c r="H285" t="str">
        <f>Table1[[#This Row],[Internal/External]]</f>
        <v>Internal</v>
      </c>
      <c r="I285">
        <f>Table1[[#This Row],[Pipeline Updated]]</f>
        <v>0</v>
      </c>
      <c r="J285" t="str">
        <f t="shared" si="9"/>
        <v/>
      </c>
      <c r="K285" t="str">
        <f t="shared" si="8"/>
        <v/>
      </c>
    </row>
    <row r="286" spans="1:11">
      <c r="A286">
        <f>Table1[[#This Row],[Role ID]]</f>
        <v>103</v>
      </c>
      <c r="B286" t="str">
        <f>Table1[[#This Row],[Role]]</f>
        <v>Engineering Manager</v>
      </c>
      <c r="C286" t="str">
        <f>Table1[[#This Row],[Stream Internal]]</f>
        <v>ENGG</v>
      </c>
      <c r="D286" s="1">
        <f>IF(ISBLANK(Table1[[#This Row],[Demand Date]]),"",Table1[[#This Row],[Demand Date]])</f>
        <v>45842</v>
      </c>
      <c r="E286" s="1">
        <f>IF(ISBLANK(Table1[[#This Row],[Date Job Requirement Released]]),"",Table1[[#This Row],[Date Job Requirement Released]])</f>
        <v>45898</v>
      </c>
      <c r="F286" s="1">
        <f>IF(ISBLANK(Table1[[#This Row],[Date Offered]]),"",Table1[[#This Row],[Date Offered]])</f>
        <v>45917</v>
      </c>
      <c r="G286" s="1">
        <f>IF(ISBLANK(Table1[[#This Row],[Date Onboarded]]),"",Table1[[#This Row],[Date Onboarded]])</f>
        <v>45938</v>
      </c>
      <c r="H286" t="str">
        <f>Table1[[#This Row],[Internal/External]]</f>
        <v>Internal</v>
      </c>
      <c r="I286">
        <f>Table1[[#This Row],[Pipeline Updated]]</f>
        <v>2</v>
      </c>
      <c r="J286">
        <f t="shared" si="9"/>
        <v>19</v>
      </c>
      <c r="K286">
        <f t="shared" si="8"/>
        <v>40</v>
      </c>
    </row>
    <row r="287" spans="1:11">
      <c r="A287">
        <f>Table1[[#This Row],[Role ID]]</f>
        <v>27</v>
      </c>
      <c r="B287" t="str">
        <f>Table1[[#This Row],[Role]]</f>
        <v>Engineering Manager</v>
      </c>
      <c r="C287" t="str">
        <f>Table1[[#This Row],[Stream Internal]]</f>
        <v>ENGG</v>
      </c>
      <c r="D287" s="1">
        <f>IF(ISBLANK(Table1[[#This Row],[Demand Date]]),"",Table1[[#This Row],[Demand Date]])</f>
        <v>45918</v>
      </c>
      <c r="E287" s="1">
        <f>IF(ISBLANK(Table1[[#This Row],[Date Job Requirement Released]]),"",Table1[[#This Row],[Date Job Requirement Released]])</f>
        <v>45964</v>
      </c>
      <c r="F287" s="1">
        <f>IF(ISBLANK(Table1[[#This Row],[Date Offered]]),"",Table1[[#This Row],[Date Offered]])</f>
        <v>45976</v>
      </c>
      <c r="G287" s="1">
        <f>IF(ISBLANK(Table1[[#This Row],[Date Onboarded]]),"",Table1[[#This Row],[Date Onboarded]])</f>
        <v>46045</v>
      </c>
      <c r="H287" t="str">
        <f>Table1[[#This Row],[Internal/External]]</f>
        <v>Internal</v>
      </c>
      <c r="I287">
        <f>Table1[[#This Row],[Pipeline Updated]]</f>
        <v>0</v>
      </c>
      <c r="J287">
        <f t="shared" si="9"/>
        <v>12</v>
      </c>
      <c r="K287">
        <f t="shared" si="8"/>
        <v>81</v>
      </c>
    </row>
    <row r="288" spans="1:11">
      <c r="A288">
        <f>Table1[[#This Row],[Role ID]]</f>
        <v>34</v>
      </c>
      <c r="B288" t="str">
        <f>Table1[[#This Row],[Role]]</f>
        <v>Software Developer 1</v>
      </c>
      <c r="C288" t="str">
        <f>Table1[[#This Row],[Stream Internal]]</f>
        <v>ENGG</v>
      </c>
      <c r="D288" s="1">
        <f>IF(ISBLANK(Table1[[#This Row],[Demand Date]]),"",Table1[[#This Row],[Demand Date]])</f>
        <v>45913</v>
      </c>
      <c r="E288" s="1">
        <f>IF(ISBLANK(Table1[[#This Row],[Date Job Requirement Released]]),"",Table1[[#This Row],[Date Job Requirement Released]])</f>
        <v>45963</v>
      </c>
      <c r="F288" s="1" t="str">
        <f>IF(ISBLANK(Table1[[#This Row],[Date Offered]]),"",Table1[[#This Row],[Date Offered]])</f>
        <v/>
      </c>
      <c r="G288" s="1" t="str">
        <f>IF(ISBLANK(Table1[[#This Row],[Date Onboarded]]),"",Table1[[#This Row],[Date Onboarded]])</f>
        <v/>
      </c>
      <c r="H288" t="str">
        <f>Table1[[#This Row],[Internal/External]]</f>
        <v>External</v>
      </c>
      <c r="I288">
        <f>Table1[[#This Row],[Pipeline Updated]]</f>
        <v>0</v>
      </c>
      <c r="J288" t="str">
        <f t="shared" si="9"/>
        <v/>
      </c>
      <c r="K288" t="str">
        <f t="shared" si="8"/>
        <v/>
      </c>
    </row>
    <row r="289" spans="1:11">
      <c r="A289">
        <f>Table1[[#This Row],[Role ID]]</f>
        <v>110</v>
      </c>
      <c r="B289" t="str">
        <f>Table1[[#This Row],[Role]]</f>
        <v>Innovation Manager</v>
      </c>
      <c r="C289" t="str">
        <f>Table1[[#This Row],[Stream Internal]]</f>
        <v>RND</v>
      </c>
      <c r="D289" s="1">
        <f>IF(ISBLANK(Table1[[#This Row],[Demand Date]]),"",Table1[[#This Row],[Demand Date]])</f>
        <v>45859</v>
      </c>
      <c r="E289" s="1">
        <f>IF(ISBLANK(Table1[[#This Row],[Date Job Requirement Released]]),"",Table1[[#This Row],[Date Job Requirement Released]])</f>
        <v>45931</v>
      </c>
      <c r="F289" s="1" t="str">
        <f>IF(ISBLANK(Table1[[#This Row],[Date Offered]]),"",Table1[[#This Row],[Date Offered]])</f>
        <v/>
      </c>
      <c r="G289" s="1" t="str">
        <f>IF(ISBLANK(Table1[[#This Row],[Date Onboarded]]),"",Table1[[#This Row],[Date Onboarded]])</f>
        <v/>
      </c>
      <c r="H289" t="str">
        <f>Table1[[#This Row],[Internal/External]]</f>
        <v>Internal</v>
      </c>
      <c r="I289">
        <f>Table1[[#This Row],[Pipeline Updated]]</f>
        <v>0</v>
      </c>
      <c r="J289" t="str">
        <f t="shared" si="9"/>
        <v/>
      </c>
      <c r="K289" t="str">
        <f t="shared" si="8"/>
        <v/>
      </c>
    </row>
    <row r="290" spans="1:11">
      <c r="A290">
        <f>Table1[[#This Row],[Role ID]]</f>
        <v>32</v>
      </c>
      <c r="B290" t="str">
        <f>Table1[[#This Row],[Role]]</f>
        <v>Brand Manager</v>
      </c>
      <c r="C290" t="str">
        <f>Table1[[#This Row],[Stream Internal]]</f>
        <v>SAM</v>
      </c>
      <c r="D290" s="1">
        <f>IF(ISBLANK(Table1[[#This Row],[Demand Date]]),"",Table1[[#This Row],[Demand Date]])</f>
        <v>45853</v>
      </c>
      <c r="E290" s="1">
        <f>IF(ISBLANK(Table1[[#This Row],[Date Job Requirement Released]]),"",Table1[[#This Row],[Date Job Requirement Released]])</f>
        <v>45927</v>
      </c>
      <c r="F290" s="1" t="str">
        <f>IF(ISBLANK(Table1[[#This Row],[Date Offered]]),"",Table1[[#This Row],[Date Offered]])</f>
        <v/>
      </c>
      <c r="G290" s="1" t="str">
        <f>IF(ISBLANK(Table1[[#This Row],[Date Onboarded]]),"",Table1[[#This Row],[Date Onboarded]])</f>
        <v/>
      </c>
      <c r="H290" t="str">
        <f>Table1[[#This Row],[Internal/External]]</f>
        <v>Internal</v>
      </c>
      <c r="I290">
        <f>Table1[[#This Row],[Pipeline Updated]]</f>
        <v>0</v>
      </c>
      <c r="J290" t="str">
        <f t="shared" si="9"/>
        <v/>
      </c>
      <c r="K290" t="str">
        <f t="shared" si="8"/>
        <v/>
      </c>
    </row>
    <row r="291" spans="1:11">
      <c r="A291">
        <f>Table1[[#This Row],[Role ID]]</f>
        <v>176</v>
      </c>
      <c r="B291" t="str">
        <f>Table1[[#This Row],[Role]]</f>
        <v>Desktop Support Specialist</v>
      </c>
      <c r="C291" t="str">
        <f>Table1[[#This Row],[Stream Internal]]</f>
        <v>ITES</v>
      </c>
      <c r="D291" s="1">
        <f>IF(ISBLANK(Table1[[#This Row],[Demand Date]]),"",Table1[[#This Row],[Demand Date]])</f>
        <v>45847</v>
      </c>
      <c r="E291" s="1">
        <f>IF(ISBLANK(Table1[[#This Row],[Date Job Requirement Released]]),"",Table1[[#This Row],[Date Job Requirement Released]])</f>
        <v>45914</v>
      </c>
      <c r="F291" s="1" t="str">
        <f>IF(ISBLANK(Table1[[#This Row],[Date Offered]]),"",Table1[[#This Row],[Date Offered]])</f>
        <v/>
      </c>
      <c r="G291" s="1" t="str">
        <f>IF(ISBLANK(Table1[[#This Row],[Date Onboarded]]),"",Table1[[#This Row],[Date Onboarded]])</f>
        <v/>
      </c>
      <c r="H291" t="str">
        <f>Table1[[#This Row],[Internal/External]]</f>
        <v>Internal</v>
      </c>
      <c r="I291">
        <f>Table1[[#This Row],[Pipeline Updated]]</f>
        <v>0</v>
      </c>
      <c r="J291" t="str">
        <f t="shared" si="9"/>
        <v/>
      </c>
      <c r="K291" t="str">
        <f t="shared" si="8"/>
        <v/>
      </c>
    </row>
    <row r="292" spans="1:11">
      <c r="A292">
        <f>Table1[[#This Row],[Role ID]]</f>
        <v>190</v>
      </c>
      <c r="B292" t="str">
        <f>Table1[[#This Row],[Role]]</f>
        <v>Senior R&amp;D Manager</v>
      </c>
      <c r="C292" t="str">
        <f>Table1[[#This Row],[Stream Internal]]</f>
        <v>RND</v>
      </c>
      <c r="D292" s="1">
        <f>IF(ISBLANK(Table1[[#This Row],[Demand Date]]),"",Table1[[#This Row],[Demand Date]])</f>
        <v>45845</v>
      </c>
      <c r="E292" s="1">
        <f>IF(ISBLANK(Table1[[#This Row],[Date Job Requirement Released]]),"",Table1[[#This Row],[Date Job Requirement Released]])</f>
        <v>45913</v>
      </c>
      <c r="F292" s="1" t="str">
        <f>IF(ISBLANK(Table1[[#This Row],[Date Offered]]),"",Table1[[#This Row],[Date Offered]])</f>
        <v/>
      </c>
      <c r="G292" s="1" t="str">
        <f>IF(ISBLANK(Table1[[#This Row],[Date Onboarded]]),"",Table1[[#This Row],[Date Onboarded]])</f>
        <v/>
      </c>
      <c r="H292" t="str">
        <f>Table1[[#This Row],[Internal/External]]</f>
        <v>Internal</v>
      </c>
      <c r="I292">
        <f>Table1[[#This Row],[Pipeline Updated]]</f>
        <v>0</v>
      </c>
      <c r="J292" t="str">
        <f t="shared" si="9"/>
        <v/>
      </c>
      <c r="K292" t="str">
        <f t="shared" si="8"/>
        <v/>
      </c>
    </row>
    <row r="293" spans="1:11">
      <c r="A293">
        <f>Table1[[#This Row],[Role ID]]</f>
        <v>191</v>
      </c>
      <c r="B293" t="str">
        <f>Table1[[#This Row],[Role]]</f>
        <v>R&amp;D Manager</v>
      </c>
      <c r="C293" t="str">
        <f>Table1[[#This Row],[Stream Internal]]</f>
        <v>RND</v>
      </c>
      <c r="D293" s="1">
        <f>IF(ISBLANK(Table1[[#This Row],[Demand Date]]),"",Table1[[#This Row],[Demand Date]])</f>
        <v>45927</v>
      </c>
      <c r="E293" s="1">
        <f>IF(ISBLANK(Table1[[#This Row],[Date Job Requirement Released]]),"",Table1[[#This Row],[Date Job Requirement Released]])</f>
        <v>45985</v>
      </c>
      <c r="F293" s="1" t="str">
        <f>IF(ISBLANK(Table1[[#This Row],[Date Offered]]),"",Table1[[#This Row],[Date Offered]])</f>
        <v/>
      </c>
      <c r="G293" s="1" t="str">
        <f>IF(ISBLANK(Table1[[#This Row],[Date Onboarded]]),"",Table1[[#This Row],[Date Onboarded]])</f>
        <v/>
      </c>
      <c r="H293" t="str">
        <f>Table1[[#This Row],[Internal/External]]</f>
        <v>Internal</v>
      </c>
      <c r="I293">
        <f>Table1[[#This Row],[Pipeline Updated]]</f>
        <v>0</v>
      </c>
      <c r="J293" t="str">
        <f t="shared" si="9"/>
        <v/>
      </c>
      <c r="K293" t="str">
        <f t="shared" si="8"/>
        <v/>
      </c>
    </row>
    <row r="294" spans="1:11">
      <c r="A294">
        <f>Table1[[#This Row],[Role ID]]</f>
        <v>183</v>
      </c>
      <c r="B294" t="str">
        <f>Table1[[#This Row],[Role]]</f>
        <v>Research Analyst</v>
      </c>
      <c r="C294" t="str">
        <f>Table1[[#This Row],[Stream Internal]]</f>
        <v>RND</v>
      </c>
      <c r="D294" s="1">
        <f>IF(ISBLANK(Table1[[#This Row],[Demand Date]]),"",Table1[[#This Row],[Demand Date]])</f>
        <v>45910</v>
      </c>
      <c r="E294" s="1">
        <f>IF(ISBLANK(Table1[[#This Row],[Date Job Requirement Released]]),"",Table1[[#This Row],[Date Job Requirement Released]])</f>
        <v>45967</v>
      </c>
      <c r="F294" s="1">
        <f>IF(ISBLANK(Table1[[#This Row],[Date Offered]]),"",Table1[[#This Row],[Date Offered]])</f>
        <v>45981</v>
      </c>
      <c r="G294" s="1">
        <f>IF(ISBLANK(Table1[[#This Row],[Date Onboarded]]),"",Table1[[#This Row],[Date Onboarded]])</f>
        <v>46062</v>
      </c>
      <c r="H294" t="str">
        <f>Table1[[#This Row],[Internal/External]]</f>
        <v>Internal</v>
      </c>
      <c r="I294">
        <f>Table1[[#This Row],[Pipeline Updated]]</f>
        <v>1</v>
      </c>
      <c r="J294">
        <f t="shared" si="9"/>
        <v>14</v>
      </c>
      <c r="K294">
        <f t="shared" si="8"/>
        <v>95</v>
      </c>
    </row>
    <row r="295" spans="1:11">
      <c r="A295">
        <f>Table1[[#This Row],[Role ID]]</f>
        <v>192</v>
      </c>
      <c r="B295" t="str">
        <f>Table1[[#This Row],[Role]]</f>
        <v>Network Administrator</v>
      </c>
      <c r="C295" t="str">
        <f>Table1[[#This Row],[Stream Internal]]</f>
        <v>ITES</v>
      </c>
      <c r="D295" s="1">
        <f>IF(ISBLANK(Table1[[#This Row],[Demand Date]]),"",Table1[[#This Row],[Demand Date]])</f>
        <v>45895</v>
      </c>
      <c r="E295" s="1">
        <f>IF(ISBLANK(Table1[[#This Row],[Date Job Requirement Released]]),"",Table1[[#This Row],[Date Job Requirement Released]])</f>
        <v>45966</v>
      </c>
      <c r="F295" s="1" t="str">
        <f>IF(ISBLANK(Table1[[#This Row],[Date Offered]]),"",Table1[[#This Row],[Date Offered]])</f>
        <v/>
      </c>
      <c r="G295" s="1" t="str">
        <f>IF(ISBLANK(Table1[[#This Row],[Date Onboarded]]),"",Table1[[#This Row],[Date Onboarded]])</f>
        <v/>
      </c>
      <c r="H295" t="str">
        <f>Table1[[#This Row],[Internal/External]]</f>
        <v>Internal</v>
      </c>
      <c r="I295">
        <f>Table1[[#This Row],[Pipeline Updated]]</f>
        <v>0</v>
      </c>
      <c r="J295" t="str">
        <f t="shared" si="9"/>
        <v/>
      </c>
      <c r="K295" t="str">
        <f t="shared" si="8"/>
        <v/>
      </c>
    </row>
    <row r="296" spans="1:11">
      <c r="A296">
        <f>Table1[[#This Row],[Role ID]]</f>
        <v>193</v>
      </c>
      <c r="B296" t="str">
        <f>Table1[[#This Row],[Role]]</f>
        <v>Brand Manager</v>
      </c>
      <c r="C296" t="str">
        <f>Table1[[#This Row],[Stream Internal]]</f>
        <v>SAM</v>
      </c>
      <c r="D296" s="1">
        <f>IF(ISBLANK(Table1[[#This Row],[Demand Date]]),"",Table1[[#This Row],[Demand Date]])</f>
        <v>45930</v>
      </c>
      <c r="E296" s="1">
        <f>IF(ISBLANK(Table1[[#This Row],[Date Job Requirement Released]]),"",Table1[[#This Row],[Date Job Requirement Released]])</f>
        <v>45987</v>
      </c>
      <c r="F296" s="1" t="str">
        <f>IF(ISBLANK(Table1[[#This Row],[Date Offered]]),"",Table1[[#This Row],[Date Offered]])</f>
        <v/>
      </c>
      <c r="G296" s="1" t="str">
        <f>IF(ISBLANK(Table1[[#This Row],[Date Onboarded]]),"",Table1[[#This Row],[Date Onboarded]])</f>
        <v/>
      </c>
      <c r="H296" t="str">
        <f>Table1[[#This Row],[Internal/External]]</f>
        <v>Internal</v>
      </c>
      <c r="I296">
        <f>Table1[[#This Row],[Pipeline Updated]]</f>
        <v>0</v>
      </c>
      <c r="J296" t="str">
        <f t="shared" si="9"/>
        <v/>
      </c>
      <c r="K296" t="str">
        <f t="shared" si="8"/>
        <v/>
      </c>
    </row>
    <row r="297" spans="1:11">
      <c r="A297">
        <f>Table1[[#This Row],[Role ID]]</f>
        <v>36</v>
      </c>
      <c r="B297" t="str">
        <f>Table1[[#This Row],[Role]]</f>
        <v>Digital Marketing Specialist</v>
      </c>
      <c r="C297" t="str">
        <f>Table1[[#This Row],[Stream Internal]]</f>
        <v>SAM</v>
      </c>
      <c r="D297" s="1">
        <f>IF(ISBLANK(Table1[[#This Row],[Demand Date]]),"",Table1[[#This Row],[Demand Date]])</f>
        <v>45927</v>
      </c>
      <c r="E297" s="1">
        <f>IF(ISBLANK(Table1[[#This Row],[Date Job Requirement Released]]),"",Table1[[#This Row],[Date Job Requirement Released]])</f>
        <v>45984</v>
      </c>
      <c r="F297" s="1" t="str">
        <f>IF(ISBLANK(Table1[[#This Row],[Date Offered]]),"",Table1[[#This Row],[Date Offered]])</f>
        <v/>
      </c>
      <c r="G297" s="1" t="str">
        <f>IF(ISBLANK(Table1[[#This Row],[Date Onboarded]]),"",Table1[[#This Row],[Date Onboarded]])</f>
        <v/>
      </c>
      <c r="H297" t="str">
        <f>Table1[[#This Row],[Internal/External]]</f>
        <v>Internal</v>
      </c>
      <c r="I297">
        <f>Table1[[#This Row],[Pipeline Updated]]</f>
        <v>0</v>
      </c>
      <c r="J297" t="str">
        <f t="shared" si="9"/>
        <v/>
      </c>
      <c r="K297" t="str">
        <f t="shared" si="8"/>
        <v/>
      </c>
    </row>
    <row r="298" spans="1:11">
      <c r="A298">
        <f>Table1[[#This Row],[Role ID]]</f>
        <v>194</v>
      </c>
      <c r="B298" t="str">
        <f>Table1[[#This Row],[Role]]</f>
        <v>System Administrator</v>
      </c>
      <c r="C298" t="str">
        <f>Table1[[#This Row],[Stream Internal]]</f>
        <v>ITES</v>
      </c>
      <c r="D298" s="1">
        <f>IF(ISBLANK(Table1[[#This Row],[Demand Date]]),"",Table1[[#This Row],[Demand Date]])</f>
        <v>45828</v>
      </c>
      <c r="E298" s="1">
        <f>IF(ISBLANK(Table1[[#This Row],[Date Job Requirement Released]]),"",Table1[[#This Row],[Date Job Requirement Released]])</f>
        <v>45890</v>
      </c>
      <c r="F298" s="1" t="str">
        <f>IF(ISBLANK(Table1[[#This Row],[Date Offered]]),"",Table1[[#This Row],[Date Offered]])</f>
        <v/>
      </c>
      <c r="G298" s="1" t="str">
        <f>IF(ISBLANK(Table1[[#This Row],[Date Onboarded]]),"",Table1[[#This Row],[Date Onboarded]])</f>
        <v/>
      </c>
      <c r="H298" t="str">
        <f>Table1[[#This Row],[Internal/External]]</f>
        <v>Internal</v>
      </c>
      <c r="I298">
        <f>Table1[[#This Row],[Pipeline Updated]]</f>
        <v>0</v>
      </c>
      <c r="J298" t="str">
        <f t="shared" si="9"/>
        <v/>
      </c>
      <c r="K298" t="str">
        <f t="shared" si="8"/>
        <v/>
      </c>
    </row>
    <row r="299" spans="1:11">
      <c r="A299">
        <f>Table1[[#This Row],[Role ID]]</f>
        <v>195</v>
      </c>
      <c r="B299" t="str">
        <f>Table1[[#This Row],[Role]]</f>
        <v>Senior Staff Engineer</v>
      </c>
      <c r="C299" t="str">
        <f>Table1[[#This Row],[Stream Internal]]</f>
        <v>ENGG</v>
      </c>
      <c r="D299" s="1">
        <f>IF(ISBLANK(Table1[[#This Row],[Demand Date]]),"",Table1[[#This Row],[Demand Date]])</f>
        <v>45890</v>
      </c>
      <c r="E299" s="1">
        <f>IF(ISBLANK(Table1[[#This Row],[Date Job Requirement Released]]),"",Table1[[#This Row],[Date Job Requirement Released]])</f>
        <v>45936</v>
      </c>
      <c r="F299" s="1" t="str">
        <f>IF(ISBLANK(Table1[[#This Row],[Date Offered]]),"",Table1[[#This Row],[Date Offered]])</f>
        <v/>
      </c>
      <c r="G299" s="1" t="str">
        <f>IF(ISBLANK(Table1[[#This Row],[Date Onboarded]]),"",Table1[[#This Row],[Date Onboarded]])</f>
        <v/>
      </c>
      <c r="H299" t="str">
        <f>Table1[[#This Row],[Internal/External]]</f>
        <v>Internal</v>
      </c>
      <c r="I299">
        <f>Table1[[#This Row],[Pipeline Updated]]</f>
        <v>0</v>
      </c>
      <c r="J299" t="str">
        <f t="shared" si="9"/>
        <v/>
      </c>
      <c r="K299" t="str">
        <f t="shared" si="8"/>
        <v/>
      </c>
    </row>
    <row r="300" spans="1:11">
      <c r="A300">
        <f>Table1[[#This Row],[Role ID]]</f>
        <v>44</v>
      </c>
      <c r="B300" t="str">
        <f>Table1[[#This Row],[Role]]</f>
        <v>Sales Manager</v>
      </c>
      <c r="C300" t="str">
        <f>Table1[[#This Row],[Stream Internal]]</f>
        <v>SAM</v>
      </c>
      <c r="D300" s="1">
        <f>IF(ISBLANK(Table1[[#This Row],[Demand Date]]),"",Table1[[#This Row],[Demand Date]])</f>
        <v>45834</v>
      </c>
      <c r="E300" s="1">
        <f>IF(ISBLANK(Table1[[#This Row],[Date Job Requirement Released]]),"",Table1[[#This Row],[Date Job Requirement Released]])</f>
        <v>45891</v>
      </c>
      <c r="F300" s="1">
        <f>IF(ISBLANK(Table1[[#This Row],[Date Offered]]),"",Table1[[#This Row],[Date Offered]])</f>
        <v>45910</v>
      </c>
      <c r="G300" s="1">
        <f>IF(ISBLANK(Table1[[#This Row],[Date Onboarded]]),"",Table1[[#This Row],[Date Onboarded]])</f>
        <v>45985</v>
      </c>
      <c r="H300" t="str">
        <f>Table1[[#This Row],[Internal/External]]</f>
        <v>Internal</v>
      </c>
      <c r="I300">
        <f>Table1[[#This Row],[Pipeline Updated]]</f>
        <v>0</v>
      </c>
      <c r="J300">
        <f t="shared" si="9"/>
        <v>19</v>
      </c>
      <c r="K300">
        <f t="shared" si="8"/>
        <v>94</v>
      </c>
    </row>
    <row r="301" spans="1:11">
      <c r="A301">
        <f>Table1[[#This Row],[Role ID]]</f>
        <v>196</v>
      </c>
      <c r="B301" t="str">
        <f>Table1[[#This Row],[Role]]</f>
        <v>Computer Technician</v>
      </c>
      <c r="C301" t="str">
        <f>Table1[[#This Row],[Stream Internal]]</f>
        <v>ITES</v>
      </c>
      <c r="D301" s="1">
        <f>IF(ISBLANK(Table1[[#This Row],[Demand Date]]),"",Table1[[#This Row],[Demand Date]])</f>
        <v>45885</v>
      </c>
      <c r="E301" s="1">
        <f>IF(ISBLANK(Table1[[#This Row],[Date Job Requirement Released]]),"",Table1[[#This Row],[Date Job Requirement Released]])</f>
        <v>45944</v>
      </c>
      <c r="F301" s="1" t="str">
        <f>IF(ISBLANK(Table1[[#This Row],[Date Offered]]),"",Table1[[#This Row],[Date Offered]])</f>
        <v/>
      </c>
      <c r="G301" s="1" t="str">
        <f>IF(ISBLANK(Table1[[#This Row],[Date Onboarded]]),"",Table1[[#This Row],[Date Onboarded]])</f>
        <v/>
      </c>
      <c r="H301" t="str">
        <f>Table1[[#This Row],[Internal/External]]</f>
        <v>Internal</v>
      </c>
      <c r="I301">
        <f>Table1[[#This Row],[Pipeline Updated]]</f>
        <v>0</v>
      </c>
      <c r="J301" t="str">
        <f t="shared" si="9"/>
        <v/>
      </c>
      <c r="K301" t="str">
        <f t="shared" si="8"/>
        <v/>
      </c>
    </row>
  </sheetData>
  <autoFilter ref="A1:K301" xr:uid="{0B61AD98-AC3A-4D19-BD17-FB89E510102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B9E2-13C6-4E1D-806A-8CF750D0D051}">
  <dimension ref="A1:H197"/>
  <sheetViews>
    <sheetView topLeftCell="B1" workbookViewId="0">
      <selection activeCell="F30" sqref="F30"/>
    </sheetView>
  </sheetViews>
  <sheetFormatPr defaultRowHeight="14.5"/>
  <cols>
    <col min="1" max="1" width="42.54296875" bestFit="1" customWidth="1"/>
    <col min="3" max="4" width="25" customWidth="1"/>
    <col min="5" max="5" width="20.1796875" customWidth="1"/>
    <col min="6" max="6" width="11.453125" customWidth="1"/>
    <col min="7" max="7" width="11.81640625" customWidth="1"/>
  </cols>
  <sheetData>
    <row r="1" spans="1:8">
      <c r="A1" t="s">
        <v>45</v>
      </c>
      <c r="B1" t="s">
        <v>46</v>
      </c>
      <c r="C1" t="s">
        <v>33</v>
      </c>
      <c r="D1" t="s">
        <v>700</v>
      </c>
      <c r="E1" t="s">
        <v>32</v>
      </c>
      <c r="F1" t="s">
        <v>701</v>
      </c>
      <c r="G1" t="s">
        <v>30</v>
      </c>
      <c r="H1" t="s">
        <v>702</v>
      </c>
    </row>
    <row r="2" spans="1:8">
      <c r="A2" t="str" cm="1">
        <f t="array" ref="A2:A197">_xlfn.UNIQUE(_xlfn._xlws.FILTER('Raw Data'!Q2:Q500, 'Raw Data'!Q2:Q500&lt;&gt;""))</f>
        <v>SAM_SalesTeam4_Brand Manager</v>
      </c>
      <c r="B2" cm="1">
        <f t="array" ref="B2:B197">_xlfn.SEQUENCE(COUNTA(_xlfn.ANCHORARRAY(A2)))</f>
        <v>1</v>
      </c>
      <c r="C2" t="str" cm="1">
        <f t="array" ref="C2:C197">_xlfn.TEXTAFTER(_xlfn.ANCHORARRAY(A2),"_",2)</f>
        <v>Brand Manager</v>
      </c>
      <c r="D2">
        <v>7</v>
      </c>
      <c r="E2" t="str" cm="1">
        <f t="array" ref="E2:E197">_xlfn.TEXTBEFORE(_xlfn.TEXTAFTER(_xlfn.ANCHORARRAY(A2),"_"),"_")</f>
        <v>SalesTeam4</v>
      </c>
      <c r="F2">
        <f>VLOOKUP(E2,Teams!$A$1:$B$41,2,FALSE)</f>
        <v>1</v>
      </c>
      <c r="G2" t="str">
        <f>_xlfn.TEXTBEFORE(A2,"_")</f>
        <v>SAM</v>
      </c>
      <c r="H2">
        <f>VLOOKUP(G2,Streams!$C$1:$D$5,2,FALSE)</f>
        <v>3</v>
      </c>
    </row>
    <row r="3" spans="1:8">
      <c r="A3" t="str">
        <v>ITES_ITTeam5_System Administrator</v>
      </c>
      <c r="B3">
        <v>2</v>
      </c>
      <c r="C3" t="str">
        <v>System Administrator</v>
      </c>
      <c r="D3">
        <v>9</v>
      </c>
      <c r="E3" t="str">
        <v>ITTeam5</v>
      </c>
      <c r="F3">
        <f>VLOOKUP(E3,Teams!$A$1:$B$41,2,FALSE)</f>
        <v>2</v>
      </c>
      <c r="G3" t="str">
        <f t="shared" ref="G3:G66" si="0">_xlfn.TEXTBEFORE(A3,"_")</f>
        <v>ITES</v>
      </c>
      <c r="H3">
        <f>VLOOKUP(G3,Streams!$C$1:$D$5,2,FALSE)</f>
        <v>2</v>
      </c>
    </row>
    <row r="4" spans="1:8">
      <c r="A4" t="str">
        <v>ITES_ITTeam5_IT Support Specialist</v>
      </c>
      <c r="B4">
        <v>3</v>
      </c>
      <c r="C4" t="str">
        <v>IT Support Specialist</v>
      </c>
      <c r="D4">
        <v>9</v>
      </c>
      <c r="E4" t="str">
        <v>ITTeam5</v>
      </c>
      <c r="F4">
        <f>VLOOKUP(E4,Teams!$A$1:$B$41,2,FALSE)</f>
        <v>2</v>
      </c>
      <c r="G4" t="str">
        <f t="shared" si="0"/>
        <v>ITES</v>
      </c>
      <c r="H4">
        <f>VLOOKUP(G4,Streams!$C$1:$D$5,2,FALSE)</f>
        <v>2</v>
      </c>
    </row>
    <row r="5" spans="1:8">
      <c r="A5" t="str">
        <v>SAM_SalesTeam4_Sales Director</v>
      </c>
      <c r="B5">
        <v>4</v>
      </c>
      <c r="C5" t="str">
        <v>Sales Director</v>
      </c>
      <c r="D5">
        <v>4</v>
      </c>
      <c r="E5" t="str">
        <v>SalesTeam4</v>
      </c>
      <c r="F5">
        <f>VLOOKUP(E5,Teams!$A$1:$B$41,2,FALSE)</f>
        <v>1</v>
      </c>
      <c r="G5" t="str">
        <f t="shared" si="0"/>
        <v>SAM</v>
      </c>
      <c r="H5">
        <f>VLOOKUP(G5,Streams!$C$1:$D$5,2,FALSE)</f>
        <v>3</v>
      </c>
    </row>
    <row r="6" spans="1:8">
      <c r="A6" t="str">
        <v>ENGG_EngineeringTeam1_Platform Delivery Lead</v>
      </c>
      <c r="B6">
        <v>5</v>
      </c>
      <c r="C6" t="str">
        <v>Platform Delivery Lead</v>
      </c>
      <c r="D6">
        <v>5</v>
      </c>
      <c r="E6" t="str">
        <v>EngineeringTeam1</v>
      </c>
      <c r="F6">
        <f>VLOOKUP(E6,Teams!$A$1:$B$41,2,FALSE)</f>
        <v>3</v>
      </c>
      <c r="G6" t="str">
        <f t="shared" si="0"/>
        <v>ENGG</v>
      </c>
      <c r="H6">
        <f>VLOOKUP(G6,Streams!$C$1:$D$5,2,FALSE)</f>
        <v>1</v>
      </c>
    </row>
    <row r="7" spans="1:8">
      <c r="A7" t="str">
        <v>ENGG_EngineeringTeam10_Staff Engineer</v>
      </c>
      <c r="B7">
        <v>6</v>
      </c>
      <c r="C7" t="str">
        <v>Staff Engineer</v>
      </c>
      <c r="D7">
        <v>11</v>
      </c>
      <c r="E7" t="str">
        <v>EngineeringTeam10</v>
      </c>
      <c r="F7">
        <f>VLOOKUP(E7,Teams!$A$1:$B$41,2,FALSE)</f>
        <v>4</v>
      </c>
      <c r="G7" t="str">
        <f t="shared" si="0"/>
        <v>ENGG</v>
      </c>
      <c r="H7">
        <f>VLOOKUP(G7,Streams!$C$1:$D$5,2,FALSE)</f>
        <v>1</v>
      </c>
    </row>
    <row r="8" spans="1:8">
      <c r="A8" t="str">
        <v>ITES_ITTeam2_Network Administrator</v>
      </c>
      <c r="B8">
        <v>7</v>
      </c>
      <c r="C8" t="str">
        <v>Network Administrator</v>
      </c>
      <c r="D8">
        <v>9</v>
      </c>
      <c r="E8" t="str">
        <v>ITTeam2</v>
      </c>
      <c r="F8">
        <f>VLOOKUP(E8,Teams!$A$1:$B$41,2,FALSE)</f>
        <v>5</v>
      </c>
      <c r="G8" t="str">
        <f t="shared" si="0"/>
        <v>ITES</v>
      </c>
      <c r="H8">
        <f>VLOOKUP(G8,Streams!$C$1:$D$5,2,FALSE)</f>
        <v>2</v>
      </c>
    </row>
    <row r="9" spans="1:8">
      <c r="A9" t="str">
        <v>ITES_ITTeam1_System Administrator</v>
      </c>
      <c r="B9">
        <v>8</v>
      </c>
      <c r="C9" t="str">
        <v>System Administrator</v>
      </c>
      <c r="D9">
        <v>9</v>
      </c>
      <c r="E9" t="str">
        <v>ITTeam1</v>
      </c>
      <c r="F9">
        <f>VLOOKUP(E9,Teams!$A$1:$B$41,2,FALSE)</f>
        <v>6</v>
      </c>
      <c r="G9" t="str">
        <f t="shared" si="0"/>
        <v>ITES</v>
      </c>
      <c r="H9">
        <f>VLOOKUP(G9,Streams!$C$1:$D$5,2,FALSE)</f>
        <v>2</v>
      </c>
    </row>
    <row r="10" spans="1:8">
      <c r="A10" t="str">
        <v>ENGG_EngineeringTeam1_Software Developer 1</v>
      </c>
      <c r="B10">
        <v>9</v>
      </c>
      <c r="C10" t="str">
        <v>Software Developer 1</v>
      </c>
      <c r="D10">
        <v>11</v>
      </c>
      <c r="E10" t="str">
        <v>EngineeringTeam1</v>
      </c>
      <c r="F10">
        <f>VLOOKUP(E10,Teams!$A$1:$B$41,2,FALSE)</f>
        <v>3</v>
      </c>
      <c r="G10" t="str">
        <f t="shared" si="0"/>
        <v>ENGG</v>
      </c>
      <c r="H10">
        <f>VLOOKUP(G10,Streams!$C$1:$D$5,2,FALSE)</f>
        <v>1</v>
      </c>
    </row>
    <row r="11" spans="1:8">
      <c r="A11" t="str">
        <v>SAM_SalesTeam3_Sales Director</v>
      </c>
      <c r="B11">
        <v>10</v>
      </c>
      <c r="C11" t="str">
        <v>Sales Director</v>
      </c>
      <c r="D11">
        <v>4</v>
      </c>
      <c r="E11" t="str">
        <v>SalesTeam3</v>
      </c>
      <c r="F11">
        <f>VLOOKUP(E11,Teams!$A$1:$B$41,2,FALSE)</f>
        <v>7</v>
      </c>
      <c r="G11" t="str">
        <f t="shared" si="0"/>
        <v>SAM</v>
      </c>
      <c r="H11">
        <f>VLOOKUP(G11,Streams!$C$1:$D$5,2,FALSE)</f>
        <v>3</v>
      </c>
    </row>
    <row r="12" spans="1:8">
      <c r="A12" t="str">
        <v>SAM_SalesTeam5_Sales Director</v>
      </c>
      <c r="B12">
        <v>11</v>
      </c>
      <c r="C12" t="str">
        <v>Sales Director</v>
      </c>
      <c r="D12">
        <v>4</v>
      </c>
      <c r="E12" t="str">
        <v>SalesTeam5</v>
      </c>
      <c r="F12">
        <f>VLOOKUP(E12,Teams!$A$1:$B$41,2,FALSE)</f>
        <v>8</v>
      </c>
      <c r="G12" t="str">
        <f t="shared" si="0"/>
        <v>SAM</v>
      </c>
      <c r="H12">
        <f>VLOOKUP(G12,Streams!$C$1:$D$5,2,FALSE)</f>
        <v>3</v>
      </c>
    </row>
    <row r="13" spans="1:8">
      <c r="A13" t="str">
        <v>ITES_ITTeam6_System Administrator</v>
      </c>
      <c r="B13">
        <v>12</v>
      </c>
      <c r="C13" t="str">
        <v>System Administrator</v>
      </c>
      <c r="D13">
        <v>9</v>
      </c>
      <c r="E13" t="str">
        <v>ITTeam6</v>
      </c>
      <c r="F13">
        <f>VLOOKUP(E13,Teams!$A$1:$B$41,2,FALSE)</f>
        <v>9</v>
      </c>
      <c r="G13" t="str">
        <f t="shared" si="0"/>
        <v>ITES</v>
      </c>
      <c r="H13">
        <f>VLOOKUP(G13,Streams!$C$1:$D$5,2,FALSE)</f>
        <v>2</v>
      </c>
    </row>
    <row r="14" spans="1:8">
      <c r="A14" t="str">
        <v>SAM_SalesTeam8_Digital Marketing Specialist</v>
      </c>
      <c r="B14">
        <v>13</v>
      </c>
      <c r="C14" t="str">
        <v>Digital Marketing Specialist</v>
      </c>
      <c r="D14">
        <v>10</v>
      </c>
      <c r="E14" t="str">
        <v>SalesTeam8</v>
      </c>
      <c r="F14">
        <f>VLOOKUP(E14,Teams!$A$1:$B$41,2,FALSE)</f>
        <v>10</v>
      </c>
      <c r="G14" t="str">
        <f t="shared" si="0"/>
        <v>SAM</v>
      </c>
      <c r="H14">
        <f>VLOOKUP(G14,Streams!$C$1:$D$5,2,FALSE)</f>
        <v>3</v>
      </c>
    </row>
    <row r="15" spans="1:8">
      <c r="A15" t="str">
        <v>RND_ResearchTeam8_Innovation Manager</v>
      </c>
      <c r="B15">
        <v>14</v>
      </c>
      <c r="C15" t="str">
        <v>Innovation Manager</v>
      </c>
      <c r="D15">
        <v>8</v>
      </c>
      <c r="E15" t="str">
        <v>ResearchTeam8</v>
      </c>
      <c r="F15">
        <f>VLOOKUP(E15,Teams!$A$1:$B$41,2,FALSE)</f>
        <v>11</v>
      </c>
      <c r="G15" t="str">
        <f t="shared" si="0"/>
        <v>RND</v>
      </c>
      <c r="H15">
        <f>VLOOKUP(G15,Streams!$C$1:$D$5,2,FALSE)</f>
        <v>4</v>
      </c>
    </row>
    <row r="16" spans="1:8">
      <c r="A16" t="str">
        <v>SAM_SalesTeam5_Brand Manager</v>
      </c>
      <c r="B16">
        <v>15</v>
      </c>
      <c r="C16" t="str">
        <v>Brand Manager</v>
      </c>
      <c r="D16">
        <v>7</v>
      </c>
      <c r="E16" t="str">
        <v>SalesTeam5</v>
      </c>
      <c r="F16">
        <f>VLOOKUP(E16,Teams!$A$1:$B$41,2,FALSE)</f>
        <v>8</v>
      </c>
      <c r="G16" t="str">
        <f t="shared" si="0"/>
        <v>SAM</v>
      </c>
      <c r="H16">
        <f>VLOOKUP(G16,Streams!$C$1:$D$5,2,FALSE)</f>
        <v>3</v>
      </c>
    </row>
    <row r="17" spans="1:8">
      <c r="A17" t="str">
        <v>ITES_ITTeam9_System Administrator</v>
      </c>
      <c r="B17">
        <v>16</v>
      </c>
      <c r="C17" t="str">
        <v>System Administrator</v>
      </c>
      <c r="D17">
        <v>9</v>
      </c>
      <c r="E17" t="str">
        <v>ITTeam9</v>
      </c>
      <c r="F17">
        <f>VLOOKUP(E17,Teams!$A$1:$B$41,2,FALSE)</f>
        <v>12</v>
      </c>
      <c r="G17" t="str">
        <f t="shared" si="0"/>
        <v>ITES</v>
      </c>
      <c r="H17">
        <f>VLOOKUP(G17,Streams!$C$1:$D$5,2,FALSE)</f>
        <v>2</v>
      </c>
    </row>
    <row r="18" spans="1:8">
      <c r="A18" t="str">
        <v>ITES_ITTeam3_Technical Support Analyst</v>
      </c>
      <c r="B18">
        <v>17</v>
      </c>
      <c r="C18" t="str">
        <v>Technical Support Analyst</v>
      </c>
      <c r="D18">
        <v>11</v>
      </c>
      <c r="E18" t="str">
        <v>ITTeam3</v>
      </c>
      <c r="F18">
        <f>VLOOKUP(E18,Teams!$A$1:$B$41,2,FALSE)</f>
        <v>13</v>
      </c>
      <c r="G18" t="str">
        <f t="shared" si="0"/>
        <v>ITES</v>
      </c>
      <c r="H18">
        <f>VLOOKUP(G18,Streams!$C$1:$D$5,2,FALSE)</f>
        <v>2</v>
      </c>
    </row>
    <row r="19" spans="1:8">
      <c r="A19" t="str">
        <v>ITES_ITTeam10_Technical Support Analyst</v>
      </c>
      <c r="B19">
        <v>18</v>
      </c>
      <c r="C19" t="str">
        <v>Technical Support Analyst</v>
      </c>
      <c r="D19">
        <v>11</v>
      </c>
      <c r="E19" t="str">
        <v>ITTeam10</v>
      </c>
      <c r="F19">
        <f>VLOOKUP(E19,Teams!$A$1:$B$41,2,FALSE)</f>
        <v>14</v>
      </c>
      <c r="G19" t="str">
        <f t="shared" si="0"/>
        <v>ITES</v>
      </c>
      <c r="H19">
        <f>VLOOKUP(G19,Streams!$C$1:$D$5,2,FALSE)</f>
        <v>2</v>
      </c>
    </row>
    <row r="20" spans="1:8">
      <c r="A20" t="str">
        <v>RND_ResearchTeam9_Research Analyst</v>
      </c>
      <c r="B20">
        <v>19</v>
      </c>
      <c r="C20" t="str">
        <v>Research Analyst</v>
      </c>
      <c r="D20">
        <v>11</v>
      </c>
      <c r="E20" t="str">
        <v>ResearchTeam9</v>
      </c>
      <c r="F20">
        <f>VLOOKUP(E20,Teams!$A$1:$B$41,2,FALSE)</f>
        <v>15</v>
      </c>
      <c r="G20" t="str">
        <f t="shared" si="0"/>
        <v>RND</v>
      </c>
      <c r="H20">
        <f>VLOOKUP(G20,Streams!$C$1:$D$5,2,FALSE)</f>
        <v>4</v>
      </c>
    </row>
    <row r="21" spans="1:8">
      <c r="A21" t="str">
        <v>RND_ResearchTeam7_Research Analyst</v>
      </c>
      <c r="B21">
        <v>20</v>
      </c>
      <c r="C21" t="str">
        <v>Research Analyst</v>
      </c>
      <c r="D21">
        <v>11</v>
      </c>
      <c r="E21" t="str">
        <v>ResearchTeam7</v>
      </c>
      <c r="F21">
        <f>VLOOKUP(E21,Teams!$A$1:$B$41,2,FALSE)</f>
        <v>16</v>
      </c>
      <c r="G21" t="str">
        <f t="shared" si="0"/>
        <v>RND</v>
      </c>
      <c r="H21">
        <f>VLOOKUP(G21,Streams!$C$1:$D$5,2,FALSE)</f>
        <v>4</v>
      </c>
    </row>
    <row r="22" spans="1:8">
      <c r="A22" t="str">
        <v>SAM_SalesTeam6_Sales Director</v>
      </c>
      <c r="B22">
        <v>21</v>
      </c>
      <c r="C22" t="str">
        <v>Sales Director</v>
      </c>
      <c r="D22">
        <v>4</v>
      </c>
      <c r="E22" t="str">
        <v>SalesTeam6</v>
      </c>
      <c r="F22">
        <f>VLOOKUP(E22,Teams!$A$1:$B$41,2,FALSE)</f>
        <v>17</v>
      </c>
      <c r="G22" t="str">
        <f t="shared" si="0"/>
        <v>SAM</v>
      </c>
      <c r="H22">
        <f>VLOOKUP(G22,Streams!$C$1:$D$5,2,FALSE)</f>
        <v>3</v>
      </c>
    </row>
    <row r="23" spans="1:8">
      <c r="A23" t="str">
        <v>RND_ResearchTeam3_Research Analyst</v>
      </c>
      <c r="B23">
        <v>22</v>
      </c>
      <c r="C23" t="str">
        <v>Research Analyst</v>
      </c>
      <c r="D23">
        <v>11</v>
      </c>
      <c r="E23" t="str">
        <v>ResearchTeam3</v>
      </c>
      <c r="F23">
        <f>VLOOKUP(E23,Teams!$A$1:$B$41,2,FALSE)</f>
        <v>18</v>
      </c>
      <c r="G23" t="str">
        <f t="shared" si="0"/>
        <v>RND</v>
      </c>
      <c r="H23">
        <f>VLOOKUP(G23,Streams!$C$1:$D$5,2,FALSE)</f>
        <v>4</v>
      </c>
    </row>
    <row r="24" spans="1:8">
      <c r="A24" t="str">
        <v>ITES_ITTeam4_Application Support Analyst</v>
      </c>
      <c r="B24">
        <v>23</v>
      </c>
      <c r="C24" t="str">
        <v>Application Support Analyst</v>
      </c>
      <c r="D24">
        <v>11</v>
      </c>
      <c r="E24" t="str">
        <v>ITTeam4</v>
      </c>
      <c r="F24">
        <f>VLOOKUP(E24,Teams!$A$1:$B$41,2,FALSE)</f>
        <v>19</v>
      </c>
      <c r="G24" t="str">
        <f t="shared" si="0"/>
        <v>ITES</v>
      </c>
      <c r="H24">
        <f>VLOOKUP(G24,Streams!$C$1:$D$5,2,FALSE)</f>
        <v>2</v>
      </c>
    </row>
    <row r="25" spans="1:8">
      <c r="A25" t="str">
        <v>ENGG_EngineeringTeam5_Engineering Manager</v>
      </c>
      <c r="B25">
        <v>24</v>
      </c>
      <c r="C25" t="str">
        <v>Engineering Manager</v>
      </c>
      <c r="D25">
        <v>7</v>
      </c>
      <c r="E25" t="str">
        <v>EngineeringTeam5</v>
      </c>
      <c r="F25">
        <f>VLOOKUP(E25,Teams!$A$1:$B$41,2,FALSE)</f>
        <v>20</v>
      </c>
      <c r="G25" t="str">
        <f t="shared" si="0"/>
        <v>ENGG</v>
      </c>
      <c r="H25">
        <f>VLOOKUP(G25,Streams!$C$1:$D$5,2,FALSE)</f>
        <v>1</v>
      </c>
    </row>
    <row r="26" spans="1:8">
      <c r="A26" t="str">
        <v>SAM_SalesTeam2_Sales Manager</v>
      </c>
      <c r="B26">
        <v>25</v>
      </c>
      <c r="C26" t="str">
        <v>Sales Manager</v>
      </c>
      <c r="D26">
        <v>7</v>
      </c>
      <c r="E26" t="str">
        <v>SalesTeam2</v>
      </c>
      <c r="F26">
        <f>VLOOKUP(E26,Teams!$A$1:$B$41,2,FALSE)</f>
        <v>21</v>
      </c>
      <c r="G26" t="str">
        <f t="shared" si="0"/>
        <v>SAM</v>
      </c>
      <c r="H26">
        <f>VLOOKUP(G26,Streams!$C$1:$D$5,2,FALSE)</f>
        <v>3</v>
      </c>
    </row>
    <row r="27" spans="1:8">
      <c r="A27" t="str">
        <v>SAM_SalesTeam2_Digital Marketing Specialist</v>
      </c>
      <c r="B27">
        <v>26</v>
      </c>
      <c r="C27" t="str">
        <v>Digital Marketing Specialist</v>
      </c>
      <c r="D27">
        <v>10</v>
      </c>
      <c r="E27" t="str">
        <v>SalesTeam2</v>
      </c>
      <c r="F27">
        <f>VLOOKUP(E27,Teams!$A$1:$B$41,2,FALSE)</f>
        <v>21</v>
      </c>
      <c r="G27" t="str">
        <f t="shared" si="0"/>
        <v>SAM</v>
      </c>
      <c r="H27">
        <f>VLOOKUP(G27,Streams!$C$1:$D$5,2,FALSE)</f>
        <v>3</v>
      </c>
    </row>
    <row r="28" spans="1:8">
      <c r="A28" t="str">
        <v>ENGG_EngineeringTeam8_Engineering Manager</v>
      </c>
      <c r="B28">
        <v>27</v>
      </c>
      <c r="C28" t="str">
        <v>Engineering Manager</v>
      </c>
      <c r="D28">
        <v>7</v>
      </c>
      <c r="E28" t="str">
        <v>EngineeringTeam8</v>
      </c>
      <c r="F28">
        <f>VLOOKUP(E28,Teams!$A$1:$B$41,2,FALSE)</f>
        <v>22</v>
      </c>
      <c r="G28" t="str">
        <f t="shared" si="0"/>
        <v>ENGG</v>
      </c>
      <c r="H28">
        <f>VLOOKUP(G28,Streams!$C$1:$D$5,2,FALSE)</f>
        <v>1</v>
      </c>
    </row>
    <row r="29" spans="1:8">
      <c r="A29" t="str">
        <v>ENGG_EngineeringTeam1_Engineering Manager</v>
      </c>
      <c r="B29">
        <v>28</v>
      </c>
      <c r="C29" t="str">
        <v>Engineering Manager</v>
      </c>
      <c r="D29">
        <v>7</v>
      </c>
      <c r="E29" t="str">
        <v>EngineeringTeam1</v>
      </c>
      <c r="F29">
        <f>VLOOKUP(E29,Teams!$A$1:$B$41,2,FALSE)</f>
        <v>3</v>
      </c>
      <c r="G29" t="str">
        <f t="shared" si="0"/>
        <v>ENGG</v>
      </c>
      <c r="H29">
        <f>VLOOKUP(G29,Streams!$C$1:$D$5,2,FALSE)</f>
        <v>1</v>
      </c>
    </row>
    <row r="30" spans="1:8">
      <c r="A30" t="str">
        <v>ITES_ITTeam7_System Administrator</v>
      </c>
      <c r="B30">
        <v>29</v>
      </c>
      <c r="C30" t="str">
        <v>System Administrator</v>
      </c>
      <c r="D30">
        <v>9</v>
      </c>
      <c r="E30" t="str">
        <v>ITTeam7</v>
      </c>
      <c r="F30">
        <f>VLOOKUP(E30,Teams!$A$1:$B$41,2,FALSE)</f>
        <v>23</v>
      </c>
      <c r="G30" t="str">
        <f t="shared" si="0"/>
        <v>ITES</v>
      </c>
      <c r="H30">
        <f>VLOOKUP(G30,Streams!$C$1:$D$5,2,FALSE)</f>
        <v>2</v>
      </c>
    </row>
    <row r="31" spans="1:8">
      <c r="A31" t="str">
        <v>ITES_ITTeam7_Computer Technician</v>
      </c>
      <c r="B31">
        <v>30</v>
      </c>
      <c r="C31" t="str">
        <v>Computer Technician</v>
      </c>
      <c r="D31">
        <v>10</v>
      </c>
      <c r="E31" t="str">
        <v>ITTeam7</v>
      </c>
      <c r="F31">
        <f>VLOOKUP(E31,Teams!$A$1:$B$41,2,FALSE)</f>
        <v>23</v>
      </c>
      <c r="G31" t="str">
        <f t="shared" si="0"/>
        <v>ITES</v>
      </c>
      <c r="H31">
        <f>VLOOKUP(G31,Streams!$C$1:$D$5,2,FALSE)</f>
        <v>2</v>
      </c>
    </row>
    <row r="32" spans="1:8">
      <c r="A32" t="str">
        <v>ENGG_EngineeringTeam2_VP Engineering</v>
      </c>
      <c r="B32">
        <v>31</v>
      </c>
      <c r="C32" t="str">
        <v>VP Engineering</v>
      </c>
      <c r="D32">
        <v>3</v>
      </c>
      <c r="E32" t="str">
        <v>EngineeringTeam2</v>
      </c>
      <c r="F32">
        <f>VLOOKUP(E32,Teams!$A$1:$B$41,2,FALSE)</f>
        <v>24</v>
      </c>
      <c r="G32" t="str">
        <f t="shared" si="0"/>
        <v>ENGG</v>
      </c>
      <c r="H32">
        <f>VLOOKUP(G32,Streams!$C$1:$D$5,2,FALSE)</f>
        <v>1</v>
      </c>
    </row>
    <row r="33" spans="1:8">
      <c r="A33" t="str">
        <v>SAM_SalesTeam1_Brand Manager</v>
      </c>
      <c r="B33">
        <v>32</v>
      </c>
      <c r="C33" t="str">
        <v>Brand Manager</v>
      </c>
      <c r="D33">
        <v>7</v>
      </c>
      <c r="E33" t="str">
        <v>SalesTeam1</v>
      </c>
      <c r="F33">
        <f>VLOOKUP(E33,Teams!$A$1:$B$41,2,FALSE)</f>
        <v>25</v>
      </c>
      <c r="G33" t="str">
        <f t="shared" si="0"/>
        <v>SAM</v>
      </c>
      <c r="H33">
        <f>VLOOKUP(G33,Streams!$C$1:$D$5,2,FALSE)</f>
        <v>3</v>
      </c>
    </row>
    <row r="34" spans="1:8">
      <c r="A34" t="str">
        <v>ENGG_EngineeringTeam7_Senior SDE</v>
      </c>
      <c r="B34">
        <v>33</v>
      </c>
      <c r="C34" t="str">
        <v>Senior SDE</v>
      </c>
      <c r="D34">
        <v>9</v>
      </c>
      <c r="E34" t="str">
        <v>EngineeringTeam7</v>
      </c>
      <c r="F34">
        <f>VLOOKUP(E34,Teams!$A$1:$B$41,2,FALSE)</f>
        <v>26</v>
      </c>
      <c r="G34" t="str">
        <f t="shared" si="0"/>
        <v>ENGG</v>
      </c>
      <c r="H34">
        <f>VLOOKUP(G34,Streams!$C$1:$D$5,2,FALSE)</f>
        <v>1</v>
      </c>
    </row>
    <row r="35" spans="1:8">
      <c r="A35" t="str">
        <v>ENGG_EngineeringTeam3_Software Developer 1</v>
      </c>
      <c r="B35">
        <v>34</v>
      </c>
      <c r="C35" t="str">
        <v>Software Developer 1</v>
      </c>
      <c r="D35">
        <v>11</v>
      </c>
      <c r="E35" t="str">
        <v>EngineeringTeam3</v>
      </c>
      <c r="F35">
        <f>VLOOKUP(E35,Teams!$A$1:$B$41,2,FALSE)</f>
        <v>27</v>
      </c>
      <c r="G35" t="str">
        <f t="shared" si="0"/>
        <v>ENGG</v>
      </c>
      <c r="H35">
        <f>VLOOKUP(G35,Streams!$C$1:$D$5,2,FALSE)</f>
        <v>1</v>
      </c>
    </row>
    <row r="36" spans="1:8">
      <c r="A36" t="str">
        <v>ITES_ITTeam8_Application Support Analyst</v>
      </c>
      <c r="B36">
        <v>35</v>
      </c>
      <c r="C36" t="str">
        <v>Application Support Analyst</v>
      </c>
      <c r="D36">
        <v>11</v>
      </c>
      <c r="E36" t="str">
        <v>ITTeam8</v>
      </c>
      <c r="F36">
        <f>VLOOKUP(E36,Teams!$A$1:$B$41,2,FALSE)</f>
        <v>28</v>
      </c>
      <c r="G36" t="str">
        <f t="shared" si="0"/>
        <v>ITES</v>
      </c>
      <c r="H36">
        <f>VLOOKUP(G36,Streams!$C$1:$D$5,2,FALSE)</f>
        <v>2</v>
      </c>
    </row>
    <row r="37" spans="1:8">
      <c r="A37" t="str">
        <v>SAM_SalesTeam10_Digital Marketing Specialist</v>
      </c>
      <c r="B37">
        <v>36</v>
      </c>
      <c r="C37" t="str">
        <v>Digital Marketing Specialist</v>
      </c>
      <c r="D37">
        <v>10</v>
      </c>
      <c r="E37" t="str">
        <v>SalesTeam10</v>
      </c>
      <c r="F37">
        <f>VLOOKUP(E37,Teams!$A$1:$B$41,2,FALSE)</f>
        <v>29</v>
      </c>
      <c r="G37" t="str">
        <f t="shared" si="0"/>
        <v>SAM</v>
      </c>
      <c r="H37">
        <f>VLOOKUP(G37,Streams!$C$1:$D$5,2,FALSE)</f>
        <v>3</v>
      </c>
    </row>
    <row r="38" spans="1:8">
      <c r="A38" t="str">
        <v>SAM_SalesTeam3_Customer Support Specialist</v>
      </c>
      <c r="B38">
        <v>37</v>
      </c>
      <c r="C38" t="str">
        <v>Customer Support Specialist</v>
      </c>
      <c r="D38">
        <v>10</v>
      </c>
      <c r="E38" t="str">
        <v>SalesTeam3</v>
      </c>
      <c r="F38">
        <f>VLOOKUP(E38,Teams!$A$1:$B$41,2,FALSE)</f>
        <v>7</v>
      </c>
      <c r="G38" t="str">
        <f t="shared" si="0"/>
        <v>SAM</v>
      </c>
      <c r="H38">
        <f>VLOOKUP(G38,Streams!$C$1:$D$5,2,FALSE)</f>
        <v>3</v>
      </c>
    </row>
    <row r="39" spans="1:8">
      <c r="A39" t="str">
        <v>RND_ResearchTeam10_Principal Investigator</v>
      </c>
      <c r="B39">
        <v>38</v>
      </c>
      <c r="C39" t="str">
        <v>Principal Investigator</v>
      </c>
      <c r="D39">
        <v>8</v>
      </c>
      <c r="E39" t="str">
        <v>ResearchTeam10</v>
      </c>
      <c r="F39">
        <f>VLOOKUP(E39,Teams!$A$1:$B$41,2,FALSE)</f>
        <v>30</v>
      </c>
      <c r="G39" t="str">
        <f t="shared" si="0"/>
        <v>RND</v>
      </c>
      <c r="H39">
        <f>VLOOKUP(G39,Streams!$C$1:$D$5,2,FALSE)</f>
        <v>4</v>
      </c>
    </row>
    <row r="40" spans="1:8">
      <c r="A40" t="str">
        <v>ENGG_EngineeringTeam5_Senior SDE</v>
      </c>
      <c r="B40">
        <v>39</v>
      </c>
      <c r="C40" t="str">
        <v>Senior SDE</v>
      </c>
      <c r="D40">
        <v>9</v>
      </c>
      <c r="E40" t="str">
        <v>EngineeringTeam5</v>
      </c>
      <c r="F40">
        <f>VLOOKUP(E40,Teams!$A$1:$B$41,2,FALSE)</f>
        <v>20</v>
      </c>
      <c r="G40" t="str">
        <f t="shared" si="0"/>
        <v>ENGG</v>
      </c>
      <c r="H40">
        <f>VLOOKUP(G40,Streams!$C$1:$D$5,2,FALSE)</f>
        <v>1</v>
      </c>
    </row>
    <row r="41" spans="1:8">
      <c r="A41" t="str">
        <v>ITES_ITTeam6_Network Administrator</v>
      </c>
      <c r="B41">
        <v>40</v>
      </c>
      <c r="C41" t="str">
        <v>Network Administrator</v>
      </c>
      <c r="D41">
        <v>9</v>
      </c>
      <c r="E41" t="str">
        <v>ITTeam6</v>
      </c>
      <c r="F41">
        <f>VLOOKUP(E41,Teams!$A$1:$B$41,2,FALSE)</f>
        <v>9</v>
      </c>
      <c r="G41" t="str">
        <f t="shared" si="0"/>
        <v>ITES</v>
      </c>
      <c r="H41">
        <f>VLOOKUP(G41,Streams!$C$1:$D$5,2,FALSE)</f>
        <v>2</v>
      </c>
    </row>
    <row r="42" spans="1:8">
      <c r="A42" t="str">
        <v>RND_ResearchTeam7_Principal Investigator</v>
      </c>
      <c r="B42">
        <v>41</v>
      </c>
      <c r="C42" t="str">
        <v>Principal Investigator</v>
      </c>
      <c r="D42">
        <v>8</v>
      </c>
      <c r="E42" t="str">
        <v>ResearchTeam7</v>
      </c>
      <c r="F42">
        <f>VLOOKUP(E42,Teams!$A$1:$B$41,2,FALSE)</f>
        <v>16</v>
      </c>
      <c r="G42" t="str">
        <f t="shared" si="0"/>
        <v>RND</v>
      </c>
      <c r="H42">
        <f>VLOOKUP(G42,Streams!$C$1:$D$5,2,FALSE)</f>
        <v>4</v>
      </c>
    </row>
    <row r="43" spans="1:8">
      <c r="A43" t="str">
        <v>ITES_ITTeam5_Field Service Technician</v>
      </c>
      <c r="B43">
        <v>42</v>
      </c>
      <c r="C43" t="str">
        <v>Field Service Technician</v>
      </c>
      <c r="D43">
        <v>10</v>
      </c>
      <c r="E43" t="str">
        <v>ITTeam5</v>
      </c>
      <c r="F43">
        <f>VLOOKUP(E43,Teams!$A$1:$B$41,2,FALSE)</f>
        <v>2</v>
      </c>
      <c r="G43" t="str">
        <f t="shared" si="0"/>
        <v>ITES</v>
      </c>
      <c r="H43">
        <f>VLOOKUP(G43,Streams!$C$1:$D$5,2,FALSE)</f>
        <v>2</v>
      </c>
    </row>
    <row r="44" spans="1:8">
      <c r="A44" t="str">
        <v>RND_ResearchTeam2_R&amp;D Manager</v>
      </c>
      <c r="B44">
        <v>43</v>
      </c>
      <c r="C44" t="str">
        <v>R&amp;D Manager</v>
      </c>
      <c r="D44">
        <v>8</v>
      </c>
      <c r="E44" t="str">
        <v>ResearchTeam2</v>
      </c>
      <c r="F44">
        <f>VLOOKUP(E44,Teams!$A$1:$B$41,2,FALSE)</f>
        <v>31</v>
      </c>
      <c r="G44" t="str">
        <f t="shared" si="0"/>
        <v>RND</v>
      </c>
      <c r="H44">
        <f>VLOOKUP(G44,Streams!$C$1:$D$5,2,FALSE)</f>
        <v>4</v>
      </c>
    </row>
    <row r="45" spans="1:8">
      <c r="A45" t="str">
        <v>SAM_SalesTeam7_Sales Manager</v>
      </c>
      <c r="B45">
        <v>44</v>
      </c>
      <c r="C45" t="str">
        <v>Sales Manager</v>
      </c>
      <c r="D45">
        <v>7</v>
      </c>
      <c r="E45" t="str">
        <v>SalesTeam7</v>
      </c>
      <c r="F45">
        <f>VLOOKUP(E45,Teams!$A$1:$B$41,2,FALSE)</f>
        <v>32</v>
      </c>
      <c r="G45" t="str">
        <f t="shared" si="0"/>
        <v>SAM</v>
      </c>
      <c r="H45">
        <f>VLOOKUP(G45,Streams!$C$1:$D$5,2,FALSE)</f>
        <v>3</v>
      </c>
    </row>
    <row r="46" spans="1:8">
      <c r="A46" t="str">
        <v>ITES_ITTeam7_Technical Support Analyst</v>
      </c>
      <c r="B46">
        <v>45</v>
      </c>
      <c r="C46" t="str">
        <v>Technical Support Analyst</v>
      </c>
      <c r="D46">
        <v>11</v>
      </c>
      <c r="E46" t="str">
        <v>ITTeam7</v>
      </c>
      <c r="F46">
        <f>VLOOKUP(E46,Teams!$A$1:$B$41,2,FALSE)</f>
        <v>23</v>
      </c>
      <c r="G46" t="str">
        <f t="shared" si="0"/>
        <v>ITES</v>
      </c>
      <c r="H46">
        <f>VLOOKUP(G46,Streams!$C$1:$D$5,2,FALSE)</f>
        <v>2</v>
      </c>
    </row>
    <row r="47" spans="1:8">
      <c r="A47" t="str">
        <v>ENGG_EngineeringTeam2_Software Developer 1</v>
      </c>
      <c r="B47">
        <v>46</v>
      </c>
      <c r="C47" t="str">
        <v>Software Developer 1</v>
      </c>
      <c r="D47">
        <v>11</v>
      </c>
      <c r="E47" t="str">
        <v>EngineeringTeam2</v>
      </c>
      <c r="F47">
        <f>VLOOKUP(E47,Teams!$A$1:$B$41,2,FALSE)</f>
        <v>24</v>
      </c>
      <c r="G47" t="str">
        <f t="shared" si="0"/>
        <v>ENGG</v>
      </c>
      <c r="H47">
        <f>VLOOKUP(G47,Streams!$C$1:$D$5,2,FALSE)</f>
        <v>1</v>
      </c>
    </row>
    <row r="48" spans="1:8">
      <c r="A48" t="str">
        <v>ENGG_EngineeringTeam9_Senior Staff Engineer</v>
      </c>
      <c r="B48">
        <v>47</v>
      </c>
      <c r="C48" t="str">
        <v>Senior Staff Engineer</v>
      </c>
      <c r="D48">
        <v>9</v>
      </c>
      <c r="E48" t="str">
        <v>EngineeringTeam9</v>
      </c>
      <c r="F48">
        <f>VLOOKUP(E48,Teams!$A$1:$B$41,2,FALSE)</f>
        <v>33</v>
      </c>
      <c r="G48" t="str">
        <f t="shared" si="0"/>
        <v>ENGG</v>
      </c>
      <c r="H48">
        <f>VLOOKUP(G48,Streams!$C$1:$D$5,2,FALSE)</f>
        <v>1</v>
      </c>
    </row>
    <row r="49" spans="1:8">
      <c r="A49" t="str">
        <v>SAM_SalesTeam7_Brand Manager</v>
      </c>
      <c r="B49">
        <v>48</v>
      </c>
      <c r="C49" t="str">
        <v>Brand Manager</v>
      </c>
      <c r="D49">
        <v>7</v>
      </c>
      <c r="E49" t="str">
        <v>SalesTeam7</v>
      </c>
      <c r="F49">
        <f>VLOOKUP(E49,Teams!$A$1:$B$41,2,FALSE)</f>
        <v>32</v>
      </c>
      <c r="G49" t="str">
        <f t="shared" si="0"/>
        <v>SAM</v>
      </c>
      <c r="H49">
        <f>VLOOKUP(G49,Streams!$C$1:$D$5,2,FALSE)</f>
        <v>3</v>
      </c>
    </row>
    <row r="50" spans="1:8">
      <c r="A50" t="str">
        <v>RND_ResearchTeam5_R&amp;D Engineer</v>
      </c>
      <c r="B50">
        <v>49</v>
      </c>
      <c r="C50" t="str">
        <v>R&amp;D Engineer</v>
      </c>
      <c r="D50">
        <v>10</v>
      </c>
      <c r="E50" t="str">
        <v>ResearchTeam5</v>
      </c>
      <c r="F50">
        <f>VLOOKUP(E50,Teams!$A$1:$B$41,2,FALSE)</f>
        <v>34</v>
      </c>
      <c r="G50" t="str">
        <f t="shared" si="0"/>
        <v>RND</v>
      </c>
      <c r="H50">
        <f>VLOOKUP(G50,Streams!$C$1:$D$5,2,FALSE)</f>
        <v>4</v>
      </c>
    </row>
    <row r="51" spans="1:8">
      <c r="A51" t="str">
        <v>RND_ResearchTeam10_R&amp;D Engineer</v>
      </c>
      <c r="B51">
        <v>50</v>
      </c>
      <c r="C51" t="str">
        <v>R&amp;D Engineer</v>
      </c>
      <c r="D51">
        <v>10</v>
      </c>
      <c r="E51" t="str">
        <v>ResearchTeam10</v>
      </c>
      <c r="F51">
        <f>VLOOKUP(E51,Teams!$A$1:$B$41,2,FALSE)</f>
        <v>30</v>
      </c>
      <c r="G51" t="str">
        <f t="shared" si="0"/>
        <v>RND</v>
      </c>
      <c r="H51">
        <f>VLOOKUP(G51,Streams!$C$1:$D$5,2,FALSE)</f>
        <v>4</v>
      </c>
    </row>
    <row r="52" spans="1:8">
      <c r="A52" t="str">
        <v>SAM_SalesTeam2_Sales Director</v>
      </c>
      <c r="B52">
        <v>51</v>
      </c>
      <c r="C52" t="str">
        <v>Sales Director</v>
      </c>
      <c r="D52">
        <v>4</v>
      </c>
      <c r="E52" t="str">
        <v>SalesTeam2</v>
      </c>
      <c r="F52">
        <f>VLOOKUP(E52,Teams!$A$1:$B$41,2,FALSE)</f>
        <v>21</v>
      </c>
      <c r="G52" t="str">
        <f t="shared" si="0"/>
        <v>SAM</v>
      </c>
      <c r="H52">
        <f>VLOOKUP(G52,Streams!$C$1:$D$5,2,FALSE)</f>
        <v>3</v>
      </c>
    </row>
    <row r="53" spans="1:8">
      <c r="A53" t="str">
        <v>ENGG_EngineeringTeam4_Platform Delivery Lead</v>
      </c>
      <c r="B53">
        <v>52</v>
      </c>
      <c r="C53" t="str">
        <v>Platform Delivery Lead</v>
      </c>
      <c r="D53">
        <v>5</v>
      </c>
      <c r="E53" t="str">
        <v>EngineeringTeam4</v>
      </c>
      <c r="F53">
        <f>VLOOKUP(E53,Teams!$A$1:$B$41,2,FALSE)</f>
        <v>35</v>
      </c>
      <c r="G53" t="str">
        <f t="shared" si="0"/>
        <v>ENGG</v>
      </c>
      <c r="H53">
        <f>VLOOKUP(G53,Streams!$C$1:$D$5,2,FALSE)</f>
        <v>1</v>
      </c>
    </row>
    <row r="54" spans="1:8">
      <c r="A54" t="str">
        <v>ITES_ITTeam1_Field Service Technician</v>
      </c>
      <c r="B54">
        <v>53</v>
      </c>
      <c r="C54" t="str">
        <v>Field Service Technician</v>
      </c>
      <c r="D54">
        <v>10</v>
      </c>
      <c r="E54" t="str">
        <v>ITTeam1</v>
      </c>
      <c r="F54">
        <f>VLOOKUP(E54,Teams!$A$1:$B$41,2,FALSE)</f>
        <v>6</v>
      </c>
      <c r="G54" t="str">
        <f t="shared" si="0"/>
        <v>ITES</v>
      </c>
      <c r="H54">
        <f>VLOOKUP(G54,Streams!$C$1:$D$5,2,FALSE)</f>
        <v>2</v>
      </c>
    </row>
    <row r="55" spans="1:8">
      <c r="A55" t="str">
        <v>ITES_ITTeam2_Help Desk Technician</v>
      </c>
      <c r="B55">
        <v>54</v>
      </c>
      <c r="C55" t="str">
        <v>Help Desk Technician</v>
      </c>
      <c r="D55">
        <v>11</v>
      </c>
      <c r="E55" t="str">
        <v>ITTeam2</v>
      </c>
      <c r="F55">
        <f>VLOOKUP(E55,Teams!$A$1:$B$41,2,FALSE)</f>
        <v>5</v>
      </c>
      <c r="G55" t="str">
        <f t="shared" si="0"/>
        <v>ITES</v>
      </c>
      <c r="H55">
        <f>VLOOKUP(G55,Streams!$C$1:$D$5,2,FALSE)</f>
        <v>2</v>
      </c>
    </row>
    <row r="56" spans="1:8">
      <c r="A56" t="str">
        <v>ITES_ITTeam2_Application Support Analyst</v>
      </c>
      <c r="B56">
        <v>55</v>
      </c>
      <c r="C56" t="str">
        <v>Application Support Analyst</v>
      </c>
      <c r="D56">
        <v>11</v>
      </c>
      <c r="E56" t="str">
        <v>ITTeam2</v>
      </c>
      <c r="F56">
        <f>VLOOKUP(E56,Teams!$A$1:$B$41,2,FALSE)</f>
        <v>5</v>
      </c>
      <c r="G56" t="str">
        <f t="shared" si="0"/>
        <v>ITES</v>
      </c>
      <c r="H56">
        <f>VLOOKUP(G56,Streams!$C$1:$D$5,2,FALSE)</f>
        <v>2</v>
      </c>
    </row>
    <row r="57" spans="1:8">
      <c r="A57" t="str">
        <v>RND_ResearchTeam3_Senior R&amp;D Manager</v>
      </c>
      <c r="B57">
        <v>56</v>
      </c>
      <c r="C57" t="str">
        <v>Senior R&amp;D Manager</v>
      </c>
      <c r="D57">
        <v>5</v>
      </c>
      <c r="E57" t="str">
        <v>ResearchTeam3</v>
      </c>
      <c r="F57">
        <f>VLOOKUP(E57,Teams!$A$1:$B$41,2,FALSE)</f>
        <v>18</v>
      </c>
      <c r="G57" t="str">
        <f t="shared" si="0"/>
        <v>RND</v>
      </c>
      <c r="H57">
        <f>VLOOKUP(G57,Streams!$C$1:$D$5,2,FALSE)</f>
        <v>4</v>
      </c>
    </row>
    <row r="58" spans="1:8">
      <c r="A58" t="str">
        <v>SAM_SalesTeam6_Product Marketing Manager</v>
      </c>
      <c r="B58">
        <v>57</v>
      </c>
      <c r="C58" t="str">
        <v>Product Marketing Manager</v>
      </c>
      <c r="D58">
        <v>7</v>
      </c>
      <c r="E58" t="str">
        <v>SalesTeam6</v>
      </c>
      <c r="F58">
        <f>VLOOKUP(E58,Teams!$A$1:$B$41,2,FALSE)</f>
        <v>17</v>
      </c>
      <c r="G58" t="str">
        <f t="shared" si="0"/>
        <v>SAM</v>
      </c>
      <c r="H58">
        <f>VLOOKUP(G58,Streams!$C$1:$D$5,2,FALSE)</f>
        <v>3</v>
      </c>
    </row>
    <row r="59" spans="1:8">
      <c r="A59" t="str">
        <v>RND_ResearchTeam2_Research Analyst</v>
      </c>
      <c r="B59">
        <v>58</v>
      </c>
      <c r="C59" t="str">
        <v>Research Analyst</v>
      </c>
      <c r="D59">
        <v>11</v>
      </c>
      <c r="E59" t="str">
        <v>ResearchTeam2</v>
      </c>
      <c r="F59">
        <f>VLOOKUP(E59,Teams!$A$1:$B$41,2,FALSE)</f>
        <v>31</v>
      </c>
      <c r="G59" t="str">
        <f t="shared" si="0"/>
        <v>RND</v>
      </c>
      <c r="H59">
        <f>VLOOKUP(G59,Streams!$C$1:$D$5,2,FALSE)</f>
        <v>4</v>
      </c>
    </row>
    <row r="60" spans="1:8">
      <c r="A60" t="str">
        <v>RND_ResearchTeam10_Research Analyst</v>
      </c>
      <c r="B60">
        <v>59</v>
      </c>
      <c r="C60" t="str">
        <v>Research Analyst</v>
      </c>
      <c r="D60">
        <v>11</v>
      </c>
      <c r="E60" t="str">
        <v>ResearchTeam10</v>
      </c>
      <c r="F60">
        <f>VLOOKUP(E60,Teams!$A$1:$B$41,2,FALSE)</f>
        <v>30</v>
      </c>
      <c r="G60" t="str">
        <f t="shared" si="0"/>
        <v>RND</v>
      </c>
      <c r="H60">
        <f>VLOOKUP(G60,Streams!$C$1:$D$5,2,FALSE)</f>
        <v>4</v>
      </c>
    </row>
    <row r="61" spans="1:8">
      <c r="A61" t="str">
        <v>RND_ResearchTeam9_R&amp;D Project Lead</v>
      </c>
      <c r="B61">
        <v>60</v>
      </c>
      <c r="C61" t="str">
        <v>R&amp;D Project Lead</v>
      </c>
      <c r="D61">
        <v>5</v>
      </c>
      <c r="E61" t="str">
        <v>ResearchTeam9</v>
      </c>
      <c r="F61">
        <f>VLOOKUP(E61,Teams!$A$1:$B$41,2,FALSE)</f>
        <v>15</v>
      </c>
      <c r="G61" t="str">
        <f t="shared" si="0"/>
        <v>RND</v>
      </c>
      <c r="H61">
        <f>VLOOKUP(G61,Streams!$C$1:$D$5,2,FALSE)</f>
        <v>4</v>
      </c>
    </row>
    <row r="62" spans="1:8">
      <c r="A62" t="str">
        <v>SAM_SalesTeam8_Sales Manager</v>
      </c>
      <c r="B62">
        <v>61</v>
      </c>
      <c r="C62" t="str">
        <v>Sales Manager</v>
      </c>
      <c r="D62">
        <v>7</v>
      </c>
      <c r="E62" t="str">
        <v>SalesTeam8</v>
      </c>
      <c r="F62">
        <f>VLOOKUP(E62,Teams!$A$1:$B$41,2,FALSE)</f>
        <v>10</v>
      </c>
      <c r="G62" t="str">
        <f t="shared" si="0"/>
        <v>SAM</v>
      </c>
      <c r="H62">
        <f>VLOOKUP(G62,Streams!$C$1:$D$5,2,FALSE)</f>
        <v>3</v>
      </c>
    </row>
    <row r="63" spans="1:8">
      <c r="A63" t="str">
        <v>RND_ResearchTeam2_Principal Investigator</v>
      </c>
      <c r="B63">
        <v>62</v>
      </c>
      <c r="C63" t="str">
        <v>Principal Investigator</v>
      </c>
      <c r="D63">
        <v>8</v>
      </c>
      <c r="E63" t="str">
        <v>ResearchTeam2</v>
      </c>
      <c r="F63">
        <f>VLOOKUP(E63,Teams!$A$1:$B$41,2,FALSE)</f>
        <v>31</v>
      </c>
      <c r="G63" t="str">
        <f t="shared" si="0"/>
        <v>RND</v>
      </c>
      <c r="H63">
        <f>VLOOKUP(G63,Streams!$C$1:$D$5,2,FALSE)</f>
        <v>4</v>
      </c>
    </row>
    <row r="64" spans="1:8">
      <c r="A64" t="str">
        <v>ENGG_EngineeringTeam9_Staff Engineer</v>
      </c>
      <c r="B64">
        <v>63</v>
      </c>
      <c r="C64" t="str">
        <v>Staff Engineer</v>
      </c>
      <c r="D64">
        <v>11</v>
      </c>
      <c r="E64" t="str">
        <v>EngineeringTeam9</v>
      </c>
      <c r="F64">
        <f>VLOOKUP(E64,Teams!$A$1:$B$41,2,FALSE)</f>
        <v>33</v>
      </c>
      <c r="G64" t="str">
        <f t="shared" si="0"/>
        <v>ENGG</v>
      </c>
      <c r="H64">
        <f>VLOOKUP(G64,Streams!$C$1:$D$5,2,FALSE)</f>
        <v>1</v>
      </c>
    </row>
    <row r="65" spans="1:8">
      <c r="A65" t="str">
        <v>ITES_ITTeam5_IT Manager</v>
      </c>
      <c r="B65">
        <v>64</v>
      </c>
      <c r="C65" t="str">
        <v>IT Manager</v>
      </c>
      <c r="D65">
        <v>76</v>
      </c>
      <c r="E65" t="str">
        <v>ITTeam5</v>
      </c>
      <c r="F65">
        <f>VLOOKUP(E65,Teams!$A$1:$B$41,2,FALSE)</f>
        <v>2</v>
      </c>
      <c r="G65" t="str">
        <f t="shared" si="0"/>
        <v>ITES</v>
      </c>
      <c r="H65">
        <f>VLOOKUP(G65,Streams!$C$1:$D$5,2,FALSE)</f>
        <v>2</v>
      </c>
    </row>
    <row r="66" spans="1:8">
      <c r="A66" t="str">
        <v>RND_ResearchTeam10_Senior R&amp;D Manager</v>
      </c>
      <c r="B66">
        <v>65</v>
      </c>
      <c r="C66" t="str">
        <v>Senior R&amp;D Manager</v>
      </c>
      <c r="D66">
        <v>5</v>
      </c>
      <c r="E66" t="str">
        <v>ResearchTeam10</v>
      </c>
      <c r="F66">
        <f>VLOOKUP(E66,Teams!$A$1:$B$41,2,FALSE)</f>
        <v>30</v>
      </c>
      <c r="G66" t="str">
        <f t="shared" si="0"/>
        <v>RND</v>
      </c>
      <c r="H66">
        <f>VLOOKUP(G66,Streams!$C$1:$D$5,2,FALSE)</f>
        <v>4</v>
      </c>
    </row>
    <row r="67" spans="1:8">
      <c r="A67" t="str">
        <v>ENGG_EngineeringTeam7_VP Engineering</v>
      </c>
      <c r="B67">
        <v>66</v>
      </c>
      <c r="C67" t="str">
        <v>VP Engineering</v>
      </c>
      <c r="D67">
        <v>3</v>
      </c>
      <c r="E67" t="str">
        <v>EngineeringTeam7</v>
      </c>
      <c r="F67">
        <f>VLOOKUP(E67,Teams!$A$1:$B$41,2,FALSE)</f>
        <v>26</v>
      </c>
      <c r="G67" t="str">
        <f t="shared" ref="G67:G130" si="1">_xlfn.TEXTBEFORE(A67,"_")</f>
        <v>ENGG</v>
      </c>
      <c r="H67">
        <f>VLOOKUP(G67,Streams!$C$1:$D$5,2,FALSE)</f>
        <v>1</v>
      </c>
    </row>
    <row r="68" spans="1:8">
      <c r="A68" t="str">
        <v>RND_ResearchTeam7_R&amp;D Engineer</v>
      </c>
      <c r="B68">
        <v>67</v>
      </c>
      <c r="C68" t="str">
        <v>R&amp;D Engineer</v>
      </c>
      <c r="D68">
        <v>10</v>
      </c>
      <c r="E68" t="str">
        <v>ResearchTeam7</v>
      </c>
      <c r="F68">
        <f>VLOOKUP(E68,Teams!$A$1:$B$41,2,FALSE)</f>
        <v>16</v>
      </c>
      <c r="G68" t="str">
        <f t="shared" si="1"/>
        <v>RND</v>
      </c>
      <c r="H68">
        <f>VLOOKUP(G68,Streams!$C$1:$D$5,2,FALSE)</f>
        <v>4</v>
      </c>
    </row>
    <row r="69" spans="1:8">
      <c r="A69" t="str">
        <v>RND_ResearchTeam10_R&amp;D Manager</v>
      </c>
      <c r="B69">
        <v>68</v>
      </c>
      <c r="C69" t="str">
        <v>R&amp;D Manager</v>
      </c>
      <c r="D69">
        <v>8</v>
      </c>
      <c r="E69" t="str">
        <v>ResearchTeam10</v>
      </c>
      <c r="F69">
        <f>VLOOKUP(E69,Teams!$A$1:$B$41,2,FALSE)</f>
        <v>30</v>
      </c>
      <c r="G69" t="str">
        <f t="shared" si="1"/>
        <v>RND</v>
      </c>
      <c r="H69">
        <f>VLOOKUP(G69,Streams!$C$1:$D$5,2,FALSE)</f>
        <v>4</v>
      </c>
    </row>
    <row r="70" spans="1:8">
      <c r="A70" t="str">
        <v>RND_ResearchTeam3_Innovation Manager</v>
      </c>
      <c r="B70">
        <v>69</v>
      </c>
      <c r="C70" t="str">
        <v>Innovation Manager</v>
      </c>
      <c r="D70">
        <v>8</v>
      </c>
      <c r="E70" t="str">
        <v>ResearchTeam3</v>
      </c>
      <c r="F70">
        <f>VLOOKUP(E70,Teams!$A$1:$B$41,2,FALSE)</f>
        <v>18</v>
      </c>
      <c r="G70" t="str">
        <f t="shared" si="1"/>
        <v>RND</v>
      </c>
      <c r="H70">
        <f>VLOOKUP(G70,Streams!$C$1:$D$5,2,FALSE)</f>
        <v>4</v>
      </c>
    </row>
    <row r="71" spans="1:8">
      <c r="A71" t="str">
        <v>ITES_ITTeam10_Application Support Analyst</v>
      </c>
      <c r="B71">
        <v>70</v>
      </c>
      <c r="C71" t="str">
        <v>Application Support Analyst</v>
      </c>
      <c r="D71">
        <v>11</v>
      </c>
      <c r="E71" t="str">
        <v>ITTeam10</v>
      </c>
      <c r="F71">
        <f>VLOOKUP(E71,Teams!$A$1:$B$41,2,FALSE)</f>
        <v>14</v>
      </c>
      <c r="G71" t="str">
        <f t="shared" si="1"/>
        <v>ITES</v>
      </c>
      <c r="H71">
        <f>VLOOKUP(G71,Streams!$C$1:$D$5,2,FALSE)</f>
        <v>2</v>
      </c>
    </row>
    <row r="72" spans="1:8">
      <c r="A72" t="str">
        <v>ENGG_EngineeringTeam2_Principal Engineer</v>
      </c>
      <c r="B72">
        <v>71</v>
      </c>
      <c r="C72" t="str">
        <v>Principal Engineer</v>
      </c>
      <c r="D72">
        <v>6</v>
      </c>
      <c r="E72" t="str">
        <v>EngineeringTeam2</v>
      </c>
      <c r="F72">
        <f>VLOOKUP(E72,Teams!$A$1:$B$41,2,FALSE)</f>
        <v>24</v>
      </c>
      <c r="G72" t="str">
        <f t="shared" si="1"/>
        <v>ENGG</v>
      </c>
      <c r="H72">
        <f>VLOOKUP(G72,Streams!$C$1:$D$5,2,FALSE)</f>
        <v>1</v>
      </c>
    </row>
    <row r="73" spans="1:8">
      <c r="A73" t="str">
        <v>ENGG_EngineeringTeam3_Senior Staff Engineer</v>
      </c>
      <c r="B73">
        <v>72</v>
      </c>
      <c r="C73" t="str">
        <v>Senior Staff Engineer</v>
      </c>
      <c r="D73">
        <v>9</v>
      </c>
      <c r="E73" t="str">
        <v>EngineeringTeam3</v>
      </c>
      <c r="F73">
        <f>VLOOKUP(E73,Teams!$A$1:$B$41,2,FALSE)</f>
        <v>27</v>
      </c>
      <c r="G73" t="str">
        <f t="shared" si="1"/>
        <v>ENGG</v>
      </c>
      <c r="H73">
        <f>VLOOKUP(G73,Streams!$C$1:$D$5,2,FALSE)</f>
        <v>1</v>
      </c>
    </row>
    <row r="74" spans="1:8">
      <c r="A74" t="str">
        <v>SAM_SalesTeam2_Product Marketing Manager</v>
      </c>
      <c r="B74">
        <v>73</v>
      </c>
      <c r="C74" t="str">
        <v>Product Marketing Manager</v>
      </c>
      <c r="D74">
        <v>7</v>
      </c>
      <c r="E74" t="str">
        <v>SalesTeam2</v>
      </c>
      <c r="F74">
        <f>VLOOKUP(E74,Teams!$A$1:$B$41,2,FALSE)</f>
        <v>21</v>
      </c>
      <c r="G74" t="str">
        <f t="shared" si="1"/>
        <v>SAM</v>
      </c>
      <c r="H74">
        <f>VLOOKUP(G74,Streams!$C$1:$D$5,2,FALSE)</f>
        <v>3</v>
      </c>
    </row>
    <row r="75" spans="1:8">
      <c r="A75" t="str">
        <v>SAM_SalesTeam10_Sales Director</v>
      </c>
      <c r="B75">
        <v>74</v>
      </c>
      <c r="C75" t="str">
        <v>Sales Director</v>
      </c>
      <c r="D75">
        <v>4</v>
      </c>
      <c r="E75" t="str">
        <v>SalesTeam10</v>
      </c>
      <c r="F75">
        <f>VLOOKUP(E75,Teams!$A$1:$B$41,2,FALSE)</f>
        <v>29</v>
      </c>
      <c r="G75" t="str">
        <f t="shared" si="1"/>
        <v>SAM</v>
      </c>
      <c r="H75">
        <f>VLOOKUP(G75,Streams!$C$1:$D$5,2,FALSE)</f>
        <v>3</v>
      </c>
    </row>
    <row r="76" spans="1:8">
      <c r="A76" t="str">
        <v>RND_ResearchTeam10_Research Scientist</v>
      </c>
      <c r="B76">
        <v>75</v>
      </c>
      <c r="C76" t="str">
        <v>Research Scientist</v>
      </c>
      <c r="D76">
        <v>8</v>
      </c>
      <c r="E76" t="str">
        <v>ResearchTeam10</v>
      </c>
      <c r="F76">
        <f>VLOOKUP(E76,Teams!$A$1:$B$41,2,FALSE)</f>
        <v>30</v>
      </c>
      <c r="G76" t="str">
        <f t="shared" si="1"/>
        <v>RND</v>
      </c>
      <c r="H76">
        <f>VLOOKUP(G76,Streams!$C$1:$D$5,2,FALSE)</f>
        <v>4</v>
      </c>
    </row>
    <row r="77" spans="1:8">
      <c r="A77" t="str">
        <v>ITES_ITTeam3_System Administrator</v>
      </c>
      <c r="B77">
        <v>76</v>
      </c>
      <c r="C77" t="str">
        <v>System Administrator</v>
      </c>
      <c r="D77">
        <v>9</v>
      </c>
      <c r="E77" t="str">
        <v>ITTeam3</v>
      </c>
      <c r="F77">
        <f>VLOOKUP(E77,Teams!$A$1:$B$41,2,FALSE)</f>
        <v>13</v>
      </c>
      <c r="G77" t="str">
        <f t="shared" si="1"/>
        <v>ITES</v>
      </c>
      <c r="H77">
        <f>VLOOKUP(G77,Streams!$C$1:$D$5,2,FALSE)</f>
        <v>2</v>
      </c>
    </row>
    <row r="78" spans="1:8">
      <c r="A78" t="str">
        <v>ITES_ITTeam9_Technical Support Analyst</v>
      </c>
      <c r="B78">
        <v>77</v>
      </c>
      <c r="C78" t="str">
        <v>Technical Support Analyst</v>
      </c>
      <c r="D78">
        <v>11</v>
      </c>
      <c r="E78" t="str">
        <v>ITTeam9</v>
      </c>
      <c r="F78">
        <f>VLOOKUP(E78,Teams!$A$1:$B$41,2,FALSE)</f>
        <v>12</v>
      </c>
      <c r="G78" t="str">
        <f t="shared" si="1"/>
        <v>ITES</v>
      </c>
      <c r="H78">
        <f>VLOOKUP(G78,Streams!$C$1:$D$5,2,FALSE)</f>
        <v>2</v>
      </c>
    </row>
    <row r="79" spans="1:8">
      <c r="A79" t="str">
        <v>RND_ResearchTeam5_R&amp;D Manager</v>
      </c>
      <c r="B79">
        <v>78</v>
      </c>
      <c r="C79" t="str">
        <v>R&amp;D Manager</v>
      </c>
      <c r="D79">
        <v>8</v>
      </c>
      <c r="E79" t="str">
        <v>ResearchTeam5</v>
      </c>
      <c r="F79">
        <f>VLOOKUP(E79,Teams!$A$1:$B$41,2,FALSE)</f>
        <v>34</v>
      </c>
      <c r="G79" t="str">
        <f t="shared" si="1"/>
        <v>RND</v>
      </c>
      <c r="H79">
        <f>VLOOKUP(G79,Streams!$C$1:$D$5,2,FALSE)</f>
        <v>4</v>
      </c>
    </row>
    <row r="80" spans="1:8">
      <c r="A80" t="str">
        <v>ITES_ITTeam6_Application Support Analyst</v>
      </c>
      <c r="B80">
        <v>79</v>
      </c>
      <c r="C80" t="str">
        <v>Application Support Analyst</v>
      </c>
      <c r="D80">
        <v>11</v>
      </c>
      <c r="E80" t="str">
        <v>ITTeam6</v>
      </c>
      <c r="F80">
        <f>VLOOKUP(E80,Teams!$A$1:$B$41,2,FALSE)</f>
        <v>9</v>
      </c>
      <c r="G80" t="str">
        <f t="shared" si="1"/>
        <v>ITES</v>
      </c>
      <c r="H80">
        <f>VLOOKUP(G80,Streams!$C$1:$D$5,2,FALSE)</f>
        <v>2</v>
      </c>
    </row>
    <row r="81" spans="1:8">
      <c r="A81" t="str">
        <v>RND_ResearchTeam1_Research Analyst</v>
      </c>
      <c r="B81">
        <v>80</v>
      </c>
      <c r="C81" t="str">
        <v>Research Analyst</v>
      </c>
      <c r="D81">
        <v>11</v>
      </c>
      <c r="E81" t="str">
        <v>ResearchTeam1</v>
      </c>
      <c r="F81">
        <f>VLOOKUP(E81,Teams!$A$1:$B$41,2,FALSE)</f>
        <v>36</v>
      </c>
      <c r="G81" t="str">
        <f t="shared" si="1"/>
        <v>RND</v>
      </c>
      <c r="H81">
        <f>VLOOKUP(G81,Streams!$C$1:$D$5,2,FALSE)</f>
        <v>4</v>
      </c>
    </row>
    <row r="82" spans="1:8">
      <c r="A82" t="str">
        <v>ENGG_EngineeringTeam2_Senior Staff Engineer</v>
      </c>
      <c r="B82">
        <v>81</v>
      </c>
      <c r="C82" t="str">
        <v>Senior Staff Engineer</v>
      </c>
      <c r="D82">
        <v>9</v>
      </c>
      <c r="E82" t="str">
        <v>EngineeringTeam2</v>
      </c>
      <c r="F82">
        <f>VLOOKUP(E82,Teams!$A$1:$B$41,2,FALSE)</f>
        <v>24</v>
      </c>
      <c r="G82" t="str">
        <f t="shared" si="1"/>
        <v>ENGG</v>
      </c>
      <c r="H82">
        <f>VLOOKUP(G82,Streams!$C$1:$D$5,2,FALSE)</f>
        <v>1</v>
      </c>
    </row>
    <row r="83" spans="1:8">
      <c r="A83" t="str">
        <v>SAM_SalesTeam3_Brand Manager</v>
      </c>
      <c r="B83">
        <v>82</v>
      </c>
      <c r="C83" t="str">
        <v>Brand Manager</v>
      </c>
      <c r="D83">
        <v>7</v>
      </c>
      <c r="E83" t="str">
        <v>SalesTeam3</v>
      </c>
      <c r="F83">
        <f>VLOOKUP(E83,Teams!$A$1:$B$41,2,FALSE)</f>
        <v>7</v>
      </c>
      <c r="G83" t="str">
        <f t="shared" si="1"/>
        <v>SAM</v>
      </c>
      <c r="H83">
        <f>VLOOKUP(G83,Streams!$C$1:$D$5,2,FALSE)</f>
        <v>3</v>
      </c>
    </row>
    <row r="84" spans="1:8">
      <c r="A84" t="str">
        <v>RND_ResearchTeam6_Principal Investigator</v>
      </c>
      <c r="B84">
        <v>83</v>
      </c>
      <c r="C84" t="str">
        <v>Principal Investigator</v>
      </c>
      <c r="D84">
        <v>8</v>
      </c>
      <c r="E84" t="str">
        <v>ResearchTeam6</v>
      </c>
      <c r="F84">
        <f>VLOOKUP(E84,Teams!$A$1:$B$41,2,FALSE)</f>
        <v>37</v>
      </c>
      <c r="G84" t="str">
        <f t="shared" si="1"/>
        <v>RND</v>
      </c>
      <c r="H84">
        <f>VLOOKUP(G84,Streams!$C$1:$D$5,2,FALSE)</f>
        <v>4</v>
      </c>
    </row>
    <row r="85" spans="1:8">
      <c r="A85" t="str">
        <v>SAM_SalesTeam4_Product Marketing Manager</v>
      </c>
      <c r="B85">
        <v>84</v>
      </c>
      <c r="C85" t="str">
        <v>Product Marketing Manager</v>
      </c>
      <c r="D85">
        <v>7</v>
      </c>
      <c r="E85" t="str">
        <v>SalesTeam4</v>
      </c>
      <c r="F85">
        <f>VLOOKUP(E85,Teams!$A$1:$B$41,2,FALSE)</f>
        <v>1</v>
      </c>
      <c r="G85" t="str">
        <f t="shared" si="1"/>
        <v>SAM</v>
      </c>
      <c r="H85">
        <f>VLOOKUP(G85,Streams!$C$1:$D$5,2,FALSE)</f>
        <v>3</v>
      </c>
    </row>
    <row r="86" spans="1:8">
      <c r="A86" t="str">
        <v>ITES_ITTeam10_System Administrator</v>
      </c>
      <c r="B86">
        <v>85</v>
      </c>
      <c r="C86" t="str">
        <v>System Administrator</v>
      </c>
      <c r="D86">
        <v>9</v>
      </c>
      <c r="E86" t="str">
        <v>ITTeam10</v>
      </c>
      <c r="F86">
        <f>VLOOKUP(E86,Teams!$A$1:$B$41,2,FALSE)</f>
        <v>14</v>
      </c>
      <c r="G86" t="str">
        <f t="shared" si="1"/>
        <v>ITES</v>
      </c>
      <c r="H86">
        <f>VLOOKUP(G86,Streams!$C$1:$D$5,2,FALSE)</f>
        <v>2</v>
      </c>
    </row>
    <row r="87" spans="1:8">
      <c r="A87" t="str">
        <v>RND_ResearchTeam8_R&amp;D Project Lead</v>
      </c>
      <c r="B87">
        <v>86</v>
      </c>
      <c r="C87" t="str">
        <v>R&amp;D Project Lead</v>
      </c>
      <c r="D87">
        <v>5</v>
      </c>
      <c r="E87" t="str">
        <v>ResearchTeam8</v>
      </c>
      <c r="F87">
        <f>VLOOKUP(E87,Teams!$A$1:$B$41,2,FALSE)</f>
        <v>11</v>
      </c>
      <c r="G87" t="str">
        <f t="shared" si="1"/>
        <v>RND</v>
      </c>
      <c r="H87">
        <f>VLOOKUP(G87,Streams!$C$1:$D$5,2,FALSE)</f>
        <v>4</v>
      </c>
    </row>
    <row r="88" spans="1:8">
      <c r="A88" t="str">
        <v>ENGG_EngineeringTeam7_Principal Engineer</v>
      </c>
      <c r="B88">
        <v>87</v>
      </c>
      <c r="C88" t="str">
        <v>Principal Engineer</v>
      </c>
      <c r="D88">
        <v>6</v>
      </c>
      <c r="E88" t="str">
        <v>EngineeringTeam7</v>
      </c>
      <c r="F88">
        <f>VLOOKUP(E88,Teams!$A$1:$B$41,2,FALSE)</f>
        <v>26</v>
      </c>
      <c r="G88" t="str">
        <f t="shared" si="1"/>
        <v>ENGG</v>
      </c>
      <c r="H88">
        <f>VLOOKUP(G88,Streams!$C$1:$D$5,2,FALSE)</f>
        <v>1</v>
      </c>
    </row>
    <row r="89" spans="1:8">
      <c r="A89" t="str">
        <v>ITES_ITTeam6_Desktop Support Specialist</v>
      </c>
      <c r="B89">
        <v>88</v>
      </c>
      <c r="C89" t="str">
        <v>Desktop Support Specialist</v>
      </c>
      <c r="D89">
        <v>10</v>
      </c>
      <c r="E89" t="str">
        <v>ITTeam6</v>
      </c>
      <c r="F89">
        <f>VLOOKUP(E89,Teams!$A$1:$B$41,2,FALSE)</f>
        <v>9</v>
      </c>
      <c r="G89" t="str">
        <f t="shared" si="1"/>
        <v>ITES</v>
      </c>
      <c r="H89">
        <f>VLOOKUP(G89,Streams!$C$1:$D$5,2,FALSE)</f>
        <v>2</v>
      </c>
    </row>
    <row r="90" spans="1:8">
      <c r="A90" t="str">
        <v>ENGG_EngineeringTeam6_Software Developer 2</v>
      </c>
      <c r="B90">
        <v>89</v>
      </c>
      <c r="C90" t="str">
        <v>Software Developer 2</v>
      </c>
      <c r="D90">
        <v>9</v>
      </c>
      <c r="E90" t="str">
        <v>EngineeringTeam6</v>
      </c>
      <c r="F90">
        <f>VLOOKUP(E90,Teams!$A$1:$B$41,2,FALSE)</f>
        <v>38</v>
      </c>
      <c r="G90" t="str">
        <f t="shared" si="1"/>
        <v>ENGG</v>
      </c>
      <c r="H90">
        <f>VLOOKUP(G90,Streams!$C$1:$D$5,2,FALSE)</f>
        <v>1</v>
      </c>
    </row>
    <row r="91" spans="1:8">
      <c r="A91" t="str">
        <v>SAM_SalesTeam7_Customer Support Specialist</v>
      </c>
      <c r="B91">
        <v>90</v>
      </c>
      <c r="C91" t="str">
        <v>Customer Support Specialist</v>
      </c>
      <c r="D91">
        <v>10</v>
      </c>
      <c r="E91" t="str">
        <v>SalesTeam7</v>
      </c>
      <c r="F91">
        <f>VLOOKUP(E91,Teams!$A$1:$B$41,2,FALSE)</f>
        <v>32</v>
      </c>
      <c r="G91" t="str">
        <f t="shared" si="1"/>
        <v>SAM</v>
      </c>
      <c r="H91">
        <f>VLOOKUP(G91,Streams!$C$1:$D$5,2,FALSE)</f>
        <v>3</v>
      </c>
    </row>
    <row r="92" spans="1:8">
      <c r="A92" t="str">
        <v>RND_ResearchTeam8_R&amp;D Engineer</v>
      </c>
      <c r="B92">
        <v>91</v>
      </c>
      <c r="C92" t="str">
        <v>R&amp;D Engineer</v>
      </c>
      <c r="D92">
        <v>10</v>
      </c>
      <c r="E92" t="str">
        <v>ResearchTeam8</v>
      </c>
      <c r="F92">
        <f>VLOOKUP(E92,Teams!$A$1:$B$41,2,FALSE)</f>
        <v>11</v>
      </c>
      <c r="G92" t="str">
        <f t="shared" si="1"/>
        <v>RND</v>
      </c>
      <c r="H92">
        <f>VLOOKUP(G92,Streams!$C$1:$D$5,2,FALSE)</f>
        <v>4</v>
      </c>
    </row>
    <row r="93" spans="1:8">
      <c r="A93" t="str">
        <v>ITES_ITTeam5_Technical Support Analyst</v>
      </c>
      <c r="B93">
        <v>92</v>
      </c>
      <c r="C93" t="str">
        <v>Technical Support Analyst</v>
      </c>
      <c r="D93">
        <v>11</v>
      </c>
      <c r="E93" t="str">
        <v>ITTeam5</v>
      </c>
      <c r="F93">
        <f>VLOOKUP(E93,Teams!$A$1:$B$41,2,FALSE)</f>
        <v>2</v>
      </c>
      <c r="G93" t="str">
        <f t="shared" si="1"/>
        <v>ITES</v>
      </c>
      <c r="H93">
        <f>VLOOKUP(G93,Streams!$C$1:$D$5,2,FALSE)</f>
        <v>2</v>
      </c>
    </row>
    <row r="94" spans="1:8">
      <c r="A94" t="str">
        <v>SAM_SalesTeam1_Product Marketing Manager</v>
      </c>
      <c r="B94">
        <v>93</v>
      </c>
      <c r="C94" t="str">
        <v>Product Marketing Manager</v>
      </c>
      <c r="D94">
        <v>7</v>
      </c>
      <c r="E94" t="str">
        <v>SalesTeam1</v>
      </c>
      <c r="F94">
        <f>VLOOKUP(E94,Teams!$A$1:$B$41,2,FALSE)</f>
        <v>25</v>
      </c>
      <c r="G94" t="str">
        <f t="shared" si="1"/>
        <v>SAM</v>
      </c>
      <c r="H94">
        <f>VLOOKUP(G94,Streams!$C$1:$D$5,2,FALSE)</f>
        <v>3</v>
      </c>
    </row>
    <row r="95" spans="1:8">
      <c r="A95" t="str">
        <v>SAM_SalesTeam2_Brand Manager</v>
      </c>
      <c r="B95">
        <v>94</v>
      </c>
      <c r="C95" t="str">
        <v>Brand Manager</v>
      </c>
      <c r="D95">
        <v>7</v>
      </c>
      <c r="E95" t="str">
        <v>SalesTeam2</v>
      </c>
      <c r="F95">
        <f>VLOOKUP(E95,Teams!$A$1:$B$41,2,FALSE)</f>
        <v>21</v>
      </c>
      <c r="G95" t="str">
        <f t="shared" si="1"/>
        <v>SAM</v>
      </c>
      <c r="H95">
        <f>VLOOKUP(G95,Streams!$C$1:$D$5,2,FALSE)</f>
        <v>3</v>
      </c>
    </row>
    <row r="96" spans="1:8">
      <c r="A96" t="str">
        <v>RND_ResearchTeam1_R&amp;D Project Lead</v>
      </c>
      <c r="B96">
        <v>95</v>
      </c>
      <c r="C96" t="str">
        <v>R&amp;D Project Lead</v>
      </c>
      <c r="D96">
        <v>5</v>
      </c>
      <c r="E96" t="str">
        <v>ResearchTeam1</v>
      </c>
      <c r="F96">
        <f>VLOOKUP(E96,Teams!$A$1:$B$41,2,FALSE)</f>
        <v>36</v>
      </c>
      <c r="G96" t="str">
        <f t="shared" si="1"/>
        <v>RND</v>
      </c>
      <c r="H96">
        <f>VLOOKUP(G96,Streams!$C$1:$D$5,2,FALSE)</f>
        <v>4</v>
      </c>
    </row>
    <row r="97" spans="1:8">
      <c r="A97" t="str">
        <v>ENGG_EngineeringTeam7_Platform Delivery Lead</v>
      </c>
      <c r="B97">
        <v>96</v>
      </c>
      <c r="C97" t="str">
        <v>Platform Delivery Lead</v>
      </c>
      <c r="D97">
        <v>5</v>
      </c>
      <c r="E97" t="str">
        <v>EngineeringTeam7</v>
      </c>
      <c r="F97">
        <f>VLOOKUP(E97,Teams!$A$1:$B$41,2,FALSE)</f>
        <v>26</v>
      </c>
      <c r="G97" t="str">
        <f t="shared" si="1"/>
        <v>ENGG</v>
      </c>
      <c r="H97">
        <f>VLOOKUP(G97,Streams!$C$1:$D$5,2,FALSE)</f>
        <v>1</v>
      </c>
    </row>
    <row r="98" spans="1:8">
      <c r="A98" t="str">
        <v>RND_ResearchTeam7_R&amp;D Project Lead</v>
      </c>
      <c r="B98">
        <v>97</v>
      </c>
      <c r="C98" t="str">
        <v>R&amp;D Project Lead</v>
      </c>
      <c r="D98">
        <v>5</v>
      </c>
      <c r="E98" t="str">
        <v>ResearchTeam7</v>
      </c>
      <c r="F98">
        <f>VLOOKUP(E98,Teams!$A$1:$B$41,2,FALSE)</f>
        <v>16</v>
      </c>
      <c r="G98" t="str">
        <f t="shared" si="1"/>
        <v>RND</v>
      </c>
      <c r="H98">
        <f>VLOOKUP(G98,Streams!$C$1:$D$5,2,FALSE)</f>
        <v>4</v>
      </c>
    </row>
    <row r="99" spans="1:8">
      <c r="A99" t="str">
        <v>RND_ResearchTeam9_R&amp;D Manager</v>
      </c>
      <c r="B99">
        <v>98</v>
      </c>
      <c r="C99" t="str">
        <v>R&amp;D Manager</v>
      </c>
      <c r="D99">
        <v>8</v>
      </c>
      <c r="E99" t="str">
        <v>ResearchTeam9</v>
      </c>
      <c r="F99">
        <f>VLOOKUP(E99,Teams!$A$1:$B$41,2,FALSE)</f>
        <v>15</v>
      </c>
      <c r="G99" t="str">
        <f t="shared" si="1"/>
        <v>RND</v>
      </c>
      <c r="H99">
        <f>VLOOKUP(G99,Streams!$C$1:$D$5,2,FALSE)</f>
        <v>4</v>
      </c>
    </row>
    <row r="100" spans="1:8">
      <c r="A100" t="str">
        <v>ITES_ITTeam7_IT Manager</v>
      </c>
      <c r="B100">
        <v>99</v>
      </c>
      <c r="C100" t="str">
        <v>IT Manager</v>
      </c>
      <c r="D100">
        <v>76</v>
      </c>
      <c r="E100" t="str">
        <v>ITTeam7</v>
      </c>
      <c r="F100">
        <f>VLOOKUP(E100,Teams!$A$1:$B$41,2,FALSE)</f>
        <v>23</v>
      </c>
      <c r="G100" t="str">
        <f t="shared" si="1"/>
        <v>ITES</v>
      </c>
      <c r="H100">
        <f>VLOOKUP(G100,Streams!$C$1:$D$5,2,FALSE)</f>
        <v>2</v>
      </c>
    </row>
    <row r="101" spans="1:8">
      <c r="A101" t="str">
        <v>RND_ResearchTeam6_Innovation Manager</v>
      </c>
      <c r="B101">
        <v>100</v>
      </c>
      <c r="C101" t="str">
        <v>Innovation Manager</v>
      </c>
      <c r="D101">
        <v>8</v>
      </c>
      <c r="E101" t="str">
        <v>ResearchTeam6</v>
      </c>
      <c r="F101">
        <f>VLOOKUP(E101,Teams!$A$1:$B$41,2,FALSE)</f>
        <v>37</v>
      </c>
      <c r="G101" t="str">
        <f t="shared" si="1"/>
        <v>RND</v>
      </c>
      <c r="H101">
        <f>VLOOKUP(G101,Streams!$C$1:$D$5,2,FALSE)</f>
        <v>4</v>
      </c>
    </row>
    <row r="102" spans="1:8">
      <c r="A102" t="str">
        <v>RND_ResearchTeam4_Senior R&amp;D Manager</v>
      </c>
      <c r="B102">
        <v>101</v>
      </c>
      <c r="C102" t="str">
        <v>Senior R&amp;D Manager</v>
      </c>
      <c r="D102">
        <v>5</v>
      </c>
      <c r="E102" t="str">
        <v>ResearchTeam4</v>
      </c>
      <c r="F102">
        <f>VLOOKUP(E102,Teams!$A$1:$B$41,2,FALSE)</f>
        <v>39</v>
      </c>
      <c r="G102" t="str">
        <f t="shared" si="1"/>
        <v>RND</v>
      </c>
      <c r="H102">
        <f>VLOOKUP(G102,Streams!$C$1:$D$5,2,FALSE)</f>
        <v>4</v>
      </c>
    </row>
    <row r="103" spans="1:8">
      <c r="A103" t="str">
        <v>SAM_SalesTeam2_Customer Support Specialist</v>
      </c>
      <c r="B103">
        <v>102</v>
      </c>
      <c r="C103" t="str">
        <v>Customer Support Specialist</v>
      </c>
      <c r="D103">
        <v>10</v>
      </c>
      <c r="E103" t="str">
        <v>SalesTeam2</v>
      </c>
      <c r="F103">
        <f>VLOOKUP(E103,Teams!$A$1:$B$41,2,FALSE)</f>
        <v>21</v>
      </c>
      <c r="G103" t="str">
        <f t="shared" si="1"/>
        <v>SAM</v>
      </c>
      <c r="H103">
        <f>VLOOKUP(G103,Streams!$C$1:$D$5,2,FALSE)</f>
        <v>3</v>
      </c>
    </row>
    <row r="104" spans="1:8">
      <c r="A104" t="str">
        <v>ENGG_EngineeringTeam10_Engineering Manager</v>
      </c>
      <c r="B104">
        <v>103</v>
      </c>
      <c r="C104" t="str">
        <v>Engineering Manager</v>
      </c>
      <c r="D104">
        <v>7</v>
      </c>
      <c r="E104" t="str">
        <v>EngineeringTeam10</v>
      </c>
      <c r="F104">
        <f>VLOOKUP(E104,Teams!$A$1:$B$41,2,FALSE)</f>
        <v>4</v>
      </c>
      <c r="G104" t="str">
        <f t="shared" si="1"/>
        <v>ENGG</v>
      </c>
      <c r="H104">
        <f>VLOOKUP(G104,Streams!$C$1:$D$5,2,FALSE)</f>
        <v>1</v>
      </c>
    </row>
    <row r="105" spans="1:8">
      <c r="A105" t="str">
        <v>ENGG_EngineeringTeam10_Senior SDE</v>
      </c>
      <c r="B105">
        <v>104</v>
      </c>
      <c r="C105" t="str">
        <v>Senior SDE</v>
      </c>
      <c r="D105">
        <v>9</v>
      </c>
      <c r="E105" t="str">
        <v>EngineeringTeam10</v>
      </c>
      <c r="F105">
        <f>VLOOKUP(E105,Teams!$A$1:$B$41,2,FALSE)</f>
        <v>4</v>
      </c>
      <c r="G105" t="str">
        <f t="shared" si="1"/>
        <v>ENGG</v>
      </c>
      <c r="H105">
        <f>VLOOKUP(G105,Streams!$C$1:$D$5,2,FALSE)</f>
        <v>1</v>
      </c>
    </row>
    <row r="106" spans="1:8">
      <c r="A106" t="str">
        <v>ITES_ITTeam7_Application Support Analyst</v>
      </c>
      <c r="B106">
        <v>105</v>
      </c>
      <c r="C106" t="str">
        <v>Application Support Analyst</v>
      </c>
      <c r="D106">
        <v>11</v>
      </c>
      <c r="E106" t="str">
        <v>ITTeam7</v>
      </c>
      <c r="F106">
        <f>VLOOKUP(E106,Teams!$A$1:$B$41,2,FALSE)</f>
        <v>23</v>
      </c>
      <c r="G106" t="str">
        <f t="shared" si="1"/>
        <v>ITES</v>
      </c>
      <c r="H106">
        <f>VLOOKUP(G106,Streams!$C$1:$D$5,2,FALSE)</f>
        <v>2</v>
      </c>
    </row>
    <row r="107" spans="1:8">
      <c r="A107" t="str">
        <v>RND_ResearchTeam1_Innovation Manager</v>
      </c>
      <c r="B107">
        <v>106</v>
      </c>
      <c r="C107" t="str">
        <v>Innovation Manager</v>
      </c>
      <c r="D107">
        <v>8</v>
      </c>
      <c r="E107" t="str">
        <v>ResearchTeam1</v>
      </c>
      <c r="F107">
        <f>VLOOKUP(E107,Teams!$A$1:$B$41,2,FALSE)</f>
        <v>36</v>
      </c>
      <c r="G107" t="str">
        <f t="shared" si="1"/>
        <v>RND</v>
      </c>
      <c r="H107">
        <f>VLOOKUP(G107,Streams!$C$1:$D$5,2,FALSE)</f>
        <v>4</v>
      </c>
    </row>
    <row r="108" spans="1:8">
      <c r="A108" t="str">
        <v>ENGG_EngineeringTeam5_Senior Staff Engineer</v>
      </c>
      <c r="B108">
        <v>107</v>
      </c>
      <c r="C108" t="str">
        <v>Senior Staff Engineer</v>
      </c>
      <c r="D108">
        <v>9</v>
      </c>
      <c r="E108" t="str">
        <v>EngineeringTeam5</v>
      </c>
      <c r="F108">
        <f>VLOOKUP(E108,Teams!$A$1:$B$41,2,FALSE)</f>
        <v>20</v>
      </c>
      <c r="G108" t="str">
        <f t="shared" si="1"/>
        <v>ENGG</v>
      </c>
      <c r="H108">
        <f>VLOOKUP(G108,Streams!$C$1:$D$5,2,FALSE)</f>
        <v>1</v>
      </c>
    </row>
    <row r="109" spans="1:8">
      <c r="A109" t="str">
        <v>ITES_ITTeam10_Field Service Technician</v>
      </c>
      <c r="B109">
        <v>108</v>
      </c>
      <c r="C109" t="str">
        <v>Field Service Technician</v>
      </c>
      <c r="D109">
        <v>10</v>
      </c>
      <c r="E109" t="str">
        <v>ITTeam10</v>
      </c>
      <c r="F109">
        <f>VLOOKUP(E109,Teams!$A$1:$B$41,2,FALSE)</f>
        <v>14</v>
      </c>
      <c r="G109" t="str">
        <f t="shared" si="1"/>
        <v>ITES</v>
      </c>
      <c r="H109">
        <f>VLOOKUP(G109,Streams!$C$1:$D$5,2,FALSE)</f>
        <v>2</v>
      </c>
    </row>
    <row r="110" spans="1:8">
      <c r="A110" t="str">
        <v>ITES_ITTeam8_Field Service Technician</v>
      </c>
      <c r="B110">
        <v>109</v>
      </c>
      <c r="C110" t="str">
        <v>Field Service Technician</v>
      </c>
      <c r="D110">
        <v>10</v>
      </c>
      <c r="E110" t="str">
        <v>ITTeam8</v>
      </c>
      <c r="F110">
        <f>VLOOKUP(E110,Teams!$A$1:$B$41,2,FALSE)</f>
        <v>28</v>
      </c>
      <c r="G110" t="str">
        <f t="shared" si="1"/>
        <v>ITES</v>
      </c>
      <c r="H110">
        <f>VLOOKUP(G110,Streams!$C$1:$D$5,2,FALSE)</f>
        <v>2</v>
      </c>
    </row>
    <row r="111" spans="1:8">
      <c r="A111" t="str">
        <v>RND_ResearchTeam7_Innovation Manager</v>
      </c>
      <c r="B111">
        <v>110</v>
      </c>
      <c r="C111" t="str">
        <v>Innovation Manager</v>
      </c>
      <c r="D111">
        <v>8</v>
      </c>
      <c r="E111" t="str">
        <v>ResearchTeam7</v>
      </c>
      <c r="F111">
        <f>VLOOKUP(E111,Teams!$A$1:$B$41,2,FALSE)</f>
        <v>16</v>
      </c>
      <c r="G111" t="str">
        <f t="shared" si="1"/>
        <v>RND</v>
      </c>
      <c r="H111">
        <f>VLOOKUP(G111,Streams!$C$1:$D$5,2,FALSE)</f>
        <v>4</v>
      </c>
    </row>
    <row r="112" spans="1:8">
      <c r="A112" t="str">
        <v>SAM_SalesTeam4_Sales Manager</v>
      </c>
      <c r="B112">
        <v>111</v>
      </c>
      <c r="C112" t="str">
        <v>Sales Manager</v>
      </c>
      <c r="D112">
        <v>7</v>
      </c>
      <c r="E112" t="str">
        <v>SalesTeam4</v>
      </c>
      <c r="F112">
        <f>VLOOKUP(E112,Teams!$A$1:$B$41,2,FALSE)</f>
        <v>1</v>
      </c>
      <c r="G112" t="str">
        <f t="shared" si="1"/>
        <v>SAM</v>
      </c>
      <c r="H112">
        <f>VLOOKUP(G112,Streams!$C$1:$D$5,2,FALSE)</f>
        <v>3</v>
      </c>
    </row>
    <row r="113" spans="1:8">
      <c r="A113" t="str">
        <v>RND_ResearchTeam5_R&amp;D Project Lead</v>
      </c>
      <c r="B113">
        <v>112</v>
      </c>
      <c r="C113" t="str">
        <v>R&amp;D Project Lead</v>
      </c>
      <c r="D113">
        <v>5</v>
      </c>
      <c r="E113" t="str">
        <v>ResearchTeam5</v>
      </c>
      <c r="F113">
        <f>VLOOKUP(E113,Teams!$A$1:$B$41,2,FALSE)</f>
        <v>34</v>
      </c>
      <c r="G113" t="str">
        <f t="shared" si="1"/>
        <v>RND</v>
      </c>
      <c r="H113">
        <f>VLOOKUP(G113,Streams!$C$1:$D$5,2,FALSE)</f>
        <v>4</v>
      </c>
    </row>
    <row r="114" spans="1:8">
      <c r="A114" t="str">
        <v>ENGG_EngineeringTeam8_Principal Engineer</v>
      </c>
      <c r="B114">
        <v>113</v>
      </c>
      <c r="C114" t="str">
        <v>Principal Engineer</v>
      </c>
      <c r="D114">
        <v>6</v>
      </c>
      <c r="E114" t="str">
        <v>EngineeringTeam8</v>
      </c>
      <c r="F114">
        <f>VLOOKUP(E114,Teams!$A$1:$B$41,2,FALSE)</f>
        <v>22</v>
      </c>
      <c r="G114" t="str">
        <f t="shared" si="1"/>
        <v>ENGG</v>
      </c>
      <c r="H114">
        <f>VLOOKUP(G114,Streams!$C$1:$D$5,2,FALSE)</f>
        <v>1</v>
      </c>
    </row>
    <row r="115" spans="1:8">
      <c r="A115" t="str">
        <v>SAM_SalesTeam8_Customer Support Specialist</v>
      </c>
      <c r="B115">
        <v>114</v>
      </c>
      <c r="C115" t="str">
        <v>Customer Support Specialist</v>
      </c>
      <c r="D115">
        <v>10</v>
      </c>
      <c r="E115" t="str">
        <v>SalesTeam8</v>
      </c>
      <c r="F115">
        <f>VLOOKUP(E115,Teams!$A$1:$B$41,2,FALSE)</f>
        <v>10</v>
      </c>
      <c r="G115" t="str">
        <f t="shared" si="1"/>
        <v>SAM</v>
      </c>
      <c r="H115">
        <f>VLOOKUP(G115,Streams!$C$1:$D$5,2,FALSE)</f>
        <v>3</v>
      </c>
    </row>
    <row r="116" spans="1:8">
      <c r="A116" t="str">
        <v>ITES_ITTeam3_Application Support Analyst</v>
      </c>
      <c r="B116">
        <v>115</v>
      </c>
      <c r="C116" t="str">
        <v>Application Support Analyst</v>
      </c>
      <c r="D116">
        <v>11</v>
      </c>
      <c r="E116" t="str">
        <v>ITTeam3</v>
      </c>
      <c r="F116">
        <f>VLOOKUP(E116,Teams!$A$1:$B$41,2,FALSE)</f>
        <v>13</v>
      </c>
      <c r="G116" t="str">
        <f t="shared" si="1"/>
        <v>ITES</v>
      </c>
      <c r="H116">
        <f>VLOOKUP(G116,Streams!$C$1:$D$5,2,FALSE)</f>
        <v>2</v>
      </c>
    </row>
    <row r="117" spans="1:8">
      <c r="A117" t="str">
        <v>RND_ResearchTeam1_Principal Investigator</v>
      </c>
      <c r="B117">
        <v>116</v>
      </c>
      <c r="C117" t="str">
        <v>Principal Investigator</v>
      </c>
      <c r="D117">
        <v>8</v>
      </c>
      <c r="E117" t="str">
        <v>ResearchTeam1</v>
      </c>
      <c r="F117">
        <f>VLOOKUP(E117,Teams!$A$1:$B$41,2,FALSE)</f>
        <v>36</v>
      </c>
      <c r="G117" t="str">
        <f t="shared" si="1"/>
        <v>RND</v>
      </c>
      <c r="H117">
        <f>VLOOKUP(G117,Streams!$C$1:$D$5,2,FALSE)</f>
        <v>4</v>
      </c>
    </row>
    <row r="118" spans="1:8">
      <c r="A118" t="str">
        <v>RND_ResearchTeam2_R&amp;D Engineer</v>
      </c>
      <c r="B118">
        <v>117</v>
      </c>
      <c r="C118" t="str">
        <v>R&amp;D Engineer</v>
      </c>
      <c r="D118">
        <v>10</v>
      </c>
      <c r="E118" t="str">
        <v>ResearchTeam2</v>
      </c>
      <c r="F118">
        <f>VLOOKUP(E118,Teams!$A$1:$B$41,2,FALSE)</f>
        <v>31</v>
      </c>
      <c r="G118" t="str">
        <f t="shared" si="1"/>
        <v>RND</v>
      </c>
      <c r="H118">
        <f>VLOOKUP(G118,Streams!$C$1:$D$5,2,FALSE)</f>
        <v>4</v>
      </c>
    </row>
    <row r="119" spans="1:8">
      <c r="A119" t="str">
        <v>SAM_SalesTeam9_Sales Director</v>
      </c>
      <c r="B119">
        <v>118</v>
      </c>
      <c r="C119" t="str">
        <v>Sales Director</v>
      </c>
      <c r="D119">
        <v>4</v>
      </c>
      <c r="E119" t="str">
        <v>SalesTeam9</v>
      </c>
      <c r="F119">
        <f>VLOOKUP(E119,Teams!$A$1:$B$41,2,FALSE)</f>
        <v>40</v>
      </c>
      <c r="G119" t="str">
        <f t="shared" si="1"/>
        <v>SAM</v>
      </c>
      <c r="H119">
        <f>VLOOKUP(G119,Streams!$C$1:$D$5,2,FALSE)</f>
        <v>3</v>
      </c>
    </row>
    <row r="120" spans="1:8">
      <c r="A120" t="str">
        <v>ENGG_EngineeringTeam3_Software Developer 2</v>
      </c>
      <c r="B120">
        <v>119</v>
      </c>
      <c r="C120" t="str">
        <v>Software Developer 2</v>
      </c>
      <c r="D120">
        <v>9</v>
      </c>
      <c r="E120" t="str">
        <v>EngineeringTeam3</v>
      </c>
      <c r="F120">
        <f>VLOOKUP(E120,Teams!$A$1:$B$41,2,FALSE)</f>
        <v>27</v>
      </c>
      <c r="G120" t="str">
        <f t="shared" si="1"/>
        <v>ENGG</v>
      </c>
      <c r="H120">
        <f>VLOOKUP(G120,Streams!$C$1:$D$5,2,FALSE)</f>
        <v>1</v>
      </c>
    </row>
    <row r="121" spans="1:8">
      <c r="A121" t="str">
        <v>RND_ResearchTeam2_R&amp;D Project Lead</v>
      </c>
      <c r="B121">
        <v>120</v>
      </c>
      <c r="C121" t="str">
        <v>R&amp;D Project Lead</v>
      </c>
      <c r="D121">
        <v>5</v>
      </c>
      <c r="E121" t="str">
        <v>ResearchTeam2</v>
      </c>
      <c r="F121">
        <f>VLOOKUP(E121,Teams!$A$1:$B$41,2,FALSE)</f>
        <v>31</v>
      </c>
      <c r="G121" t="str">
        <f t="shared" si="1"/>
        <v>RND</v>
      </c>
      <c r="H121">
        <f>VLOOKUP(G121,Streams!$C$1:$D$5,2,FALSE)</f>
        <v>4</v>
      </c>
    </row>
    <row r="122" spans="1:8">
      <c r="A122" t="str">
        <v>ITES_ITTeam7_IT Support Specialist</v>
      </c>
      <c r="B122">
        <v>121</v>
      </c>
      <c r="C122" t="str">
        <v>IT Support Specialist</v>
      </c>
      <c r="D122">
        <v>9</v>
      </c>
      <c r="E122" t="str">
        <v>ITTeam7</v>
      </c>
      <c r="F122">
        <f>VLOOKUP(E122,Teams!$A$1:$B$41,2,FALSE)</f>
        <v>23</v>
      </c>
      <c r="G122" t="str">
        <f t="shared" si="1"/>
        <v>ITES</v>
      </c>
      <c r="H122">
        <f>VLOOKUP(G122,Streams!$C$1:$D$5,2,FALSE)</f>
        <v>2</v>
      </c>
    </row>
    <row r="123" spans="1:8">
      <c r="A123" t="str">
        <v>RND_ResearchTeam3_R&amp;D Engineer</v>
      </c>
      <c r="B123">
        <v>122</v>
      </c>
      <c r="C123" t="str">
        <v>R&amp;D Engineer</v>
      </c>
      <c r="D123">
        <v>10</v>
      </c>
      <c r="E123" t="str">
        <v>ResearchTeam3</v>
      </c>
      <c r="F123">
        <f>VLOOKUP(E123,Teams!$A$1:$B$41,2,FALSE)</f>
        <v>18</v>
      </c>
      <c r="G123" t="str">
        <f t="shared" si="1"/>
        <v>RND</v>
      </c>
      <c r="H123">
        <f>VLOOKUP(G123,Streams!$C$1:$D$5,2,FALSE)</f>
        <v>4</v>
      </c>
    </row>
    <row r="124" spans="1:8">
      <c r="A124" t="str">
        <v>ENGG_EngineeringTeam10_Software Developer 2</v>
      </c>
      <c r="B124">
        <v>123</v>
      </c>
      <c r="C124" t="str">
        <v>Software Developer 2</v>
      </c>
      <c r="D124">
        <v>9</v>
      </c>
      <c r="E124" t="str">
        <v>EngineeringTeam10</v>
      </c>
      <c r="F124">
        <f>VLOOKUP(E124,Teams!$A$1:$B$41,2,FALSE)</f>
        <v>4</v>
      </c>
      <c r="G124" t="str">
        <f t="shared" si="1"/>
        <v>ENGG</v>
      </c>
      <c r="H124">
        <f>VLOOKUP(G124,Streams!$C$1:$D$5,2,FALSE)</f>
        <v>1</v>
      </c>
    </row>
    <row r="125" spans="1:8">
      <c r="A125" t="str">
        <v>ENGG_EngineeringTeam4_Software Developer 1</v>
      </c>
      <c r="B125">
        <v>124</v>
      </c>
      <c r="C125" t="str">
        <v>Software Developer 1</v>
      </c>
      <c r="D125">
        <v>11</v>
      </c>
      <c r="E125" t="str">
        <v>EngineeringTeam4</v>
      </c>
      <c r="F125">
        <f>VLOOKUP(E125,Teams!$A$1:$B$41,2,FALSE)</f>
        <v>35</v>
      </c>
      <c r="G125" t="str">
        <f t="shared" si="1"/>
        <v>ENGG</v>
      </c>
      <c r="H125">
        <f>VLOOKUP(G125,Streams!$C$1:$D$5,2,FALSE)</f>
        <v>1</v>
      </c>
    </row>
    <row r="126" spans="1:8">
      <c r="A126" t="str">
        <v>SAM_SalesTeam5_Product Marketing Manager</v>
      </c>
      <c r="B126">
        <v>125</v>
      </c>
      <c r="C126" t="str">
        <v>Product Marketing Manager</v>
      </c>
      <c r="D126">
        <v>7</v>
      </c>
      <c r="E126" t="str">
        <v>SalesTeam5</v>
      </c>
      <c r="F126">
        <f>VLOOKUP(E126,Teams!$A$1:$B$41,2,FALSE)</f>
        <v>8</v>
      </c>
      <c r="G126" t="str">
        <f t="shared" si="1"/>
        <v>SAM</v>
      </c>
      <c r="H126">
        <f>VLOOKUP(G126,Streams!$C$1:$D$5,2,FALSE)</f>
        <v>3</v>
      </c>
    </row>
    <row r="127" spans="1:8">
      <c r="A127" t="str">
        <v>RND_ResearchTeam9_Principal Investigator</v>
      </c>
      <c r="B127">
        <v>126</v>
      </c>
      <c r="C127" t="str">
        <v>Principal Investigator</v>
      </c>
      <c r="D127">
        <v>8</v>
      </c>
      <c r="E127" t="str">
        <v>ResearchTeam9</v>
      </c>
      <c r="F127">
        <f>VLOOKUP(E127,Teams!$A$1:$B$41,2,FALSE)</f>
        <v>15</v>
      </c>
      <c r="G127" t="str">
        <f t="shared" si="1"/>
        <v>RND</v>
      </c>
      <c r="H127">
        <f>VLOOKUP(G127,Streams!$C$1:$D$5,2,FALSE)</f>
        <v>4</v>
      </c>
    </row>
    <row r="128" spans="1:8">
      <c r="A128" t="str">
        <v>ITES_ITTeam1_IT Support Specialist</v>
      </c>
      <c r="B128">
        <v>127</v>
      </c>
      <c r="C128" t="str">
        <v>IT Support Specialist</v>
      </c>
      <c r="D128">
        <v>9</v>
      </c>
      <c r="E128" t="str">
        <v>ITTeam1</v>
      </c>
      <c r="F128">
        <f>VLOOKUP(E128,Teams!$A$1:$B$41,2,FALSE)</f>
        <v>6</v>
      </c>
      <c r="G128" t="str">
        <f t="shared" si="1"/>
        <v>ITES</v>
      </c>
      <c r="H128">
        <f>VLOOKUP(G128,Streams!$C$1:$D$5,2,FALSE)</f>
        <v>2</v>
      </c>
    </row>
    <row r="129" spans="1:8">
      <c r="A129" t="str">
        <v>ITES_ITTeam8_Technical Support Analyst</v>
      </c>
      <c r="B129">
        <v>128</v>
      </c>
      <c r="C129" t="str">
        <v>Technical Support Analyst</v>
      </c>
      <c r="D129">
        <v>11</v>
      </c>
      <c r="E129" t="str">
        <v>ITTeam8</v>
      </c>
      <c r="F129">
        <f>VLOOKUP(E129,Teams!$A$1:$B$41,2,FALSE)</f>
        <v>28</v>
      </c>
      <c r="G129" t="str">
        <f t="shared" si="1"/>
        <v>ITES</v>
      </c>
      <c r="H129">
        <f>VLOOKUP(G129,Streams!$C$1:$D$5,2,FALSE)</f>
        <v>2</v>
      </c>
    </row>
    <row r="130" spans="1:8">
      <c r="A130" t="str">
        <v>ITES_ITTeam4_System Administrator</v>
      </c>
      <c r="B130">
        <v>129</v>
      </c>
      <c r="C130" t="str">
        <v>System Administrator</v>
      </c>
      <c r="D130">
        <v>9</v>
      </c>
      <c r="E130" t="str">
        <v>ITTeam4</v>
      </c>
      <c r="F130">
        <f>VLOOKUP(E130,Teams!$A$1:$B$41,2,FALSE)</f>
        <v>19</v>
      </c>
      <c r="G130" t="str">
        <f t="shared" si="1"/>
        <v>ITES</v>
      </c>
      <c r="H130">
        <f>VLOOKUP(G130,Streams!$C$1:$D$5,2,FALSE)</f>
        <v>2</v>
      </c>
    </row>
    <row r="131" spans="1:8">
      <c r="A131" t="str">
        <v>ITES_ITTeam1_IT Manager</v>
      </c>
      <c r="B131">
        <v>130</v>
      </c>
      <c r="C131" t="str">
        <v>IT Manager</v>
      </c>
      <c r="D131">
        <v>76</v>
      </c>
      <c r="E131" t="str">
        <v>ITTeam1</v>
      </c>
      <c r="F131">
        <f>VLOOKUP(E131,Teams!$A$1:$B$41,2,FALSE)</f>
        <v>6</v>
      </c>
      <c r="G131" t="str">
        <f t="shared" ref="G131:G194" si="2">_xlfn.TEXTBEFORE(A131,"_")</f>
        <v>ITES</v>
      </c>
      <c r="H131">
        <f>VLOOKUP(G131,Streams!$C$1:$D$5,2,FALSE)</f>
        <v>2</v>
      </c>
    </row>
    <row r="132" spans="1:8">
      <c r="A132" t="str">
        <v>ENGG_EngineeringTeam5_VP Engineering</v>
      </c>
      <c r="B132">
        <v>131</v>
      </c>
      <c r="C132" t="str">
        <v>VP Engineering</v>
      </c>
      <c r="D132">
        <v>3</v>
      </c>
      <c r="E132" t="str">
        <v>EngineeringTeam5</v>
      </c>
      <c r="F132">
        <f>VLOOKUP(E132,Teams!$A$1:$B$41,2,FALSE)</f>
        <v>20</v>
      </c>
      <c r="G132" t="str">
        <f t="shared" si="2"/>
        <v>ENGG</v>
      </c>
      <c r="H132">
        <f>VLOOKUP(G132,Streams!$C$1:$D$5,2,FALSE)</f>
        <v>1</v>
      </c>
    </row>
    <row r="133" spans="1:8">
      <c r="A133" t="str">
        <v>RND_ResearchTeam10_R&amp;D Project Lead</v>
      </c>
      <c r="B133">
        <v>132</v>
      </c>
      <c r="C133" t="str">
        <v>R&amp;D Project Lead</v>
      </c>
      <c r="D133">
        <v>5</v>
      </c>
      <c r="E133" t="str">
        <v>ResearchTeam10</v>
      </c>
      <c r="F133">
        <f>VLOOKUP(E133,Teams!$A$1:$B$41,2,FALSE)</f>
        <v>30</v>
      </c>
      <c r="G133" t="str">
        <f t="shared" si="2"/>
        <v>RND</v>
      </c>
      <c r="H133">
        <f>VLOOKUP(G133,Streams!$C$1:$D$5,2,FALSE)</f>
        <v>4</v>
      </c>
    </row>
    <row r="134" spans="1:8">
      <c r="A134" t="str">
        <v>ENGG_EngineeringTeam10_Software Developer 1</v>
      </c>
      <c r="B134">
        <v>133</v>
      </c>
      <c r="C134" t="str">
        <v>Software Developer 1</v>
      </c>
      <c r="D134">
        <v>11</v>
      </c>
      <c r="E134" t="str">
        <v>EngineeringTeam10</v>
      </c>
      <c r="F134">
        <f>VLOOKUP(E134,Teams!$A$1:$B$41,2,FALSE)</f>
        <v>4</v>
      </c>
      <c r="G134" t="str">
        <f t="shared" si="2"/>
        <v>ENGG</v>
      </c>
      <c r="H134">
        <f>VLOOKUP(G134,Streams!$C$1:$D$5,2,FALSE)</f>
        <v>1</v>
      </c>
    </row>
    <row r="135" spans="1:8">
      <c r="A135" t="str">
        <v>RND_ResearchTeam1_R&amp;D Engineer</v>
      </c>
      <c r="B135">
        <v>134</v>
      </c>
      <c r="C135" t="str">
        <v>R&amp;D Engineer</v>
      </c>
      <c r="D135">
        <v>10</v>
      </c>
      <c r="E135" t="str">
        <v>ResearchTeam1</v>
      </c>
      <c r="F135">
        <f>VLOOKUP(E135,Teams!$A$1:$B$41,2,FALSE)</f>
        <v>36</v>
      </c>
      <c r="G135" t="str">
        <f t="shared" si="2"/>
        <v>RND</v>
      </c>
      <c r="H135">
        <f>VLOOKUP(G135,Streams!$C$1:$D$5,2,FALSE)</f>
        <v>4</v>
      </c>
    </row>
    <row r="136" spans="1:8">
      <c r="A136" t="str">
        <v>RND_ResearchTeam8_Senior R&amp;D Manager</v>
      </c>
      <c r="B136">
        <v>135</v>
      </c>
      <c r="C136" t="str">
        <v>Senior R&amp;D Manager</v>
      </c>
      <c r="D136">
        <v>5</v>
      </c>
      <c r="E136" t="str">
        <v>ResearchTeam8</v>
      </c>
      <c r="F136">
        <f>VLOOKUP(E136,Teams!$A$1:$B$41,2,FALSE)</f>
        <v>11</v>
      </c>
      <c r="G136" t="str">
        <f t="shared" si="2"/>
        <v>RND</v>
      </c>
      <c r="H136">
        <f>VLOOKUP(G136,Streams!$C$1:$D$5,2,FALSE)</f>
        <v>4</v>
      </c>
    </row>
    <row r="137" spans="1:8">
      <c r="A137" t="str">
        <v>ENGG_EngineeringTeam8_Software Developer 2</v>
      </c>
      <c r="B137">
        <v>136</v>
      </c>
      <c r="C137" t="str">
        <v>Software Developer 2</v>
      </c>
      <c r="D137">
        <v>9</v>
      </c>
      <c r="E137" t="str">
        <v>EngineeringTeam8</v>
      </c>
      <c r="F137">
        <f>VLOOKUP(E137,Teams!$A$1:$B$41,2,FALSE)</f>
        <v>22</v>
      </c>
      <c r="G137" t="str">
        <f t="shared" si="2"/>
        <v>ENGG</v>
      </c>
      <c r="H137">
        <f>VLOOKUP(G137,Streams!$C$1:$D$5,2,FALSE)</f>
        <v>1</v>
      </c>
    </row>
    <row r="138" spans="1:8">
      <c r="A138" t="str">
        <v>ITES_ITTeam4_Network Administrator</v>
      </c>
      <c r="B138">
        <v>137</v>
      </c>
      <c r="C138" t="str">
        <v>Network Administrator</v>
      </c>
      <c r="D138">
        <v>9</v>
      </c>
      <c r="E138" t="str">
        <v>ITTeam4</v>
      </c>
      <c r="F138">
        <f>VLOOKUP(E138,Teams!$A$1:$B$41,2,FALSE)</f>
        <v>19</v>
      </c>
      <c r="G138" t="str">
        <f t="shared" si="2"/>
        <v>ITES</v>
      </c>
      <c r="H138">
        <f>VLOOKUP(G138,Streams!$C$1:$D$5,2,FALSE)</f>
        <v>2</v>
      </c>
    </row>
    <row r="139" spans="1:8">
      <c r="A139" t="str">
        <v>SAM_SalesTeam5_Sales Manager</v>
      </c>
      <c r="B139">
        <v>138</v>
      </c>
      <c r="C139" t="str">
        <v>Sales Manager</v>
      </c>
      <c r="D139">
        <v>7</v>
      </c>
      <c r="E139" t="str">
        <v>SalesTeam5</v>
      </c>
      <c r="F139">
        <f>VLOOKUP(E139,Teams!$A$1:$B$41,2,FALSE)</f>
        <v>8</v>
      </c>
      <c r="G139" t="str">
        <f t="shared" si="2"/>
        <v>SAM</v>
      </c>
      <c r="H139">
        <f>VLOOKUP(G139,Streams!$C$1:$D$5,2,FALSE)</f>
        <v>3</v>
      </c>
    </row>
    <row r="140" spans="1:8">
      <c r="A140" t="str">
        <v>ITES_ITTeam9_Help Desk Technician</v>
      </c>
      <c r="B140">
        <v>139</v>
      </c>
      <c r="C140" t="str">
        <v>Help Desk Technician</v>
      </c>
      <c r="D140">
        <v>11</v>
      </c>
      <c r="E140" t="str">
        <v>ITTeam9</v>
      </c>
      <c r="F140">
        <f>VLOOKUP(E140,Teams!$A$1:$B$41,2,FALSE)</f>
        <v>12</v>
      </c>
      <c r="G140" t="str">
        <f t="shared" si="2"/>
        <v>ITES</v>
      </c>
      <c r="H140">
        <f>VLOOKUP(G140,Streams!$C$1:$D$5,2,FALSE)</f>
        <v>2</v>
      </c>
    </row>
    <row r="141" spans="1:8">
      <c r="A141" t="str">
        <v>SAM_SalesTeam6_Brand Manager</v>
      </c>
      <c r="B141">
        <v>140</v>
      </c>
      <c r="C141" t="str">
        <v>Brand Manager</v>
      </c>
      <c r="D141">
        <v>7</v>
      </c>
      <c r="E141" t="str">
        <v>SalesTeam6</v>
      </c>
      <c r="F141">
        <f>VLOOKUP(E141,Teams!$A$1:$B$41,2,FALSE)</f>
        <v>17</v>
      </c>
      <c r="G141" t="str">
        <f t="shared" si="2"/>
        <v>SAM</v>
      </c>
      <c r="H141">
        <f>VLOOKUP(G141,Streams!$C$1:$D$5,2,FALSE)</f>
        <v>3</v>
      </c>
    </row>
    <row r="142" spans="1:8">
      <c r="A142" t="str">
        <v>ITES_ITTeam6_IT Coordinator</v>
      </c>
      <c r="B142">
        <v>141</v>
      </c>
      <c r="C142" t="str">
        <v>IT Coordinator</v>
      </c>
      <c r="D142">
        <v>8</v>
      </c>
      <c r="E142" t="str">
        <v>ITTeam6</v>
      </c>
      <c r="F142">
        <f>VLOOKUP(E142,Teams!$A$1:$B$41,2,FALSE)</f>
        <v>9</v>
      </c>
      <c r="G142" t="str">
        <f t="shared" si="2"/>
        <v>ITES</v>
      </c>
      <c r="H142">
        <f>VLOOKUP(G142,Streams!$C$1:$D$5,2,FALSE)</f>
        <v>2</v>
      </c>
    </row>
    <row r="143" spans="1:8">
      <c r="A143" t="str">
        <v>ITES_ITTeam4_IT Manager</v>
      </c>
      <c r="B143">
        <v>142</v>
      </c>
      <c r="C143" t="str">
        <v>IT Manager</v>
      </c>
      <c r="D143">
        <v>76</v>
      </c>
      <c r="E143" t="str">
        <v>ITTeam4</v>
      </c>
      <c r="F143">
        <f>VLOOKUP(E143,Teams!$A$1:$B$41,2,FALSE)</f>
        <v>19</v>
      </c>
      <c r="G143" t="str">
        <f t="shared" si="2"/>
        <v>ITES</v>
      </c>
      <c r="H143">
        <f>VLOOKUP(G143,Streams!$C$1:$D$5,2,FALSE)</f>
        <v>2</v>
      </c>
    </row>
    <row r="144" spans="1:8">
      <c r="A144" t="str">
        <v>ITES_ITTeam1_Application Support Analyst</v>
      </c>
      <c r="B144">
        <v>143</v>
      </c>
      <c r="C144" t="str">
        <v>Application Support Analyst</v>
      </c>
      <c r="D144">
        <v>11</v>
      </c>
      <c r="E144" t="str">
        <v>ITTeam1</v>
      </c>
      <c r="F144">
        <f>VLOOKUP(E144,Teams!$A$1:$B$41,2,FALSE)</f>
        <v>6</v>
      </c>
      <c r="G144" t="str">
        <f t="shared" si="2"/>
        <v>ITES</v>
      </c>
      <c r="H144">
        <f>VLOOKUP(G144,Streams!$C$1:$D$5,2,FALSE)</f>
        <v>2</v>
      </c>
    </row>
    <row r="145" spans="1:8">
      <c r="A145" t="str">
        <v>RND_ResearchTeam2_Senior R&amp;D Manager</v>
      </c>
      <c r="B145">
        <v>144</v>
      </c>
      <c r="C145" t="str">
        <v>Senior R&amp;D Manager</v>
      </c>
      <c r="D145">
        <v>5</v>
      </c>
      <c r="E145" t="str">
        <v>ResearchTeam2</v>
      </c>
      <c r="F145">
        <f>VLOOKUP(E145,Teams!$A$1:$B$41,2,FALSE)</f>
        <v>31</v>
      </c>
      <c r="G145" t="str">
        <f t="shared" si="2"/>
        <v>RND</v>
      </c>
      <c r="H145">
        <f>VLOOKUP(G145,Streams!$C$1:$D$5,2,FALSE)</f>
        <v>4</v>
      </c>
    </row>
    <row r="146" spans="1:8">
      <c r="A146" t="str">
        <v>ITES_ITTeam2_IT Support Specialist</v>
      </c>
      <c r="B146">
        <v>145</v>
      </c>
      <c r="C146" t="str">
        <v>IT Support Specialist</v>
      </c>
      <c r="D146">
        <v>9</v>
      </c>
      <c r="E146" t="str">
        <v>ITTeam2</v>
      </c>
      <c r="F146">
        <f>VLOOKUP(E146,Teams!$A$1:$B$41,2,FALSE)</f>
        <v>5</v>
      </c>
      <c r="G146" t="str">
        <f t="shared" si="2"/>
        <v>ITES</v>
      </c>
      <c r="H146">
        <f>VLOOKUP(G146,Streams!$C$1:$D$5,2,FALSE)</f>
        <v>2</v>
      </c>
    </row>
    <row r="147" spans="1:8">
      <c r="A147" t="str">
        <v>ENGG_EngineeringTeam9_Software Developer 1</v>
      </c>
      <c r="B147">
        <v>146</v>
      </c>
      <c r="C147" t="str">
        <v>Software Developer 1</v>
      </c>
      <c r="D147">
        <v>11</v>
      </c>
      <c r="E147" t="str">
        <v>EngineeringTeam9</v>
      </c>
      <c r="F147">
        <f>VLOOKUP(E147,Teams!$A$1:$B$41,2,FALSE)</f>
        <v>33</v>
      </c>
      <c r="G147" t="str">
        <f t="shared" si="2"/>
        <v>ENGG</v>
      </c>
      <c r="H147">
        <f>VLOOKUP(G147,Streams!$C$1:$D$5,2,FALSE)</f>
        <v>1</v>
      </c>
    </row>
    <row r="148" spans="1:8">
      <c r="A148" t="str">
        <v>ENGG_EngineeringTeam8_VP Engineering</v>
      </c>
      <c r="B148">
        <v>147</v>
      </c>
      <c r="C148" t="str">
        <v>VP Engineering</v>
      </c>
      <c r="D148">
        <v>3</v>
      </c>
      <c r="E148" t="str">
        <v>EngineeringTeam8</v>
      </c>
      <c r="F148">
        <f>VLOOKUP(E148,Teams!$A$1:$B$41,2,FALSE)</f>
        <v>22</v>
      </c>
      <c r="G148" t="str">
        <f t="shared" si="2"/>
        <v>ENGG</v>
      </c>
      <c r="H148">
        <f>VLOOKUP(G148,Streams!$C$1:$D$5,2,FALSE)</f>
        <v>1</v>
      </c>
    </row>
    <row r="149" spans="1:8">
      <c r="A149" t="str">
        <v>ENGG_EngineeringTeam1_Software Developer 2</v>
      </c>
      <c r="B149">
        <v>148</v>
      </c>
      <c r="C149" t="str">
        <v>Software Developer 2</v>
      </c>
      <c r="D149">
        <v>9</v>
      </c>
      <c r="E149" t="str">
        <v>EngineeringTeam1</v>
      </c>
      <c r="F149">
        <f>VLOOKUP(E149,Teams!$A$1:$B$41,2,FALSE)</f>
        <v>3</v>
      </c>
      <c r="G149" t="str">
        <f t="shared" si="2"/>
        <v>ENGG</v>
      </c>
      <c r="H149">
        <f>VLOOKUP(G149,Streams!$C$1:$D$5,2,FALSE)</f>
        <v>1</v>
      </c>
    </row>
    <row r="150" spans="1:8">
      <c r="A150" t="str">
        <v>SAM_SalesTeam9_Sales Manager</v>
      </c>
      <c r="B150">
        <v>149</v>
      </c>
      <c r="C150" t="str">
        <v>Sales Manager</v>
      </c>
      <c r="D150">
        <v>7</v>
      </c>
      <c r="E150" t="str">
        <v>SalesTeam9</v>
      </c>
      <c r="F150">
        <f>VLOOKUP(E150,Teams!$A$1:$B$41,2,FALSE)</f>
        <v>40</v>
      </c>
      <c r="G150" t="str">
        <f t="shared" si="2"/>
        <v>SAM</v>
      </c>
      <c r="H150">
        <f>VLOOKUP(G150,Streams!$C$1:$D$5,2,FALSE)</f>
        <v>3</v>
      </c>
    </row>
    <row r="151" spans="1:8">
      <c r="A151" t="str">
        <v>ENGG_EngineeringTeam9_Senior SDE</v>
      </c>
      <c r="B151">
        <v>150</v>
      </c>
      <c r="C151" t="str">
        <v>Senior SDE</v>
      </c>
      <c r="D151">
        <v>9</v>
      </c>
      <c r="E151" t="str">
        <v>EngineeringTeam9</v>
      </c>
      <c r="F151">
        <f>VLOOKUP(E151,Teams!$A$1:$B$41,2,FALSE)</f>
        <v>33</v>
      </c>
      <c r="G151" t="str">
        <f t="shared" si="2"/>
        <v>ENGG</v>
      </c>
      <c r="H151">
        <f>VLOOKUP(G151,Streams!$C$1:$D$5,2,FALSE)</f>
        <v>1</v>
      </c>
    </row>
    <row r="152" spans="1:8">
      <c r="A152" t="str">
        <v>RND_ResearchTeam5_Research Scientist</v>
      </c>
      <c r="B152">
        <v>151</v>
      </c>
      <c r="C152" t="str">
        <v>Research Scientist</v>
      </c>
      <c r="D152">
        <v>8</v>
      </c>
      <c r="E152" t="str">
        <v>ResearchTeam5</v>
      </c>
      <c r="F152">
        <f>VLOOKUP(E152,Teams!$A$1:$B$41,2,FALSE)</f>
        <v>34</v>
      </c>
      <c r="G152" t="str">
        <f t="shared" si="2"/>
        <v>RND</v>
      </c>
      <c r="H152">
        <f>VLOOKUP(G152,Streams!$C$1:$D$5,2,FALSE)</f>
        <v>4</v>
      </c>
    </row>
    <row r="153" spans="1:8">
      <c r="A153" t="str">
        <v>SAM_SalesTeam9_Digital Marketing Specialist</v>
      </c>
      <c r="B153">
        <v>152</v>
      </c>
      <c r="C153" t="str">
        <v>Digital Marketing Specialist</v>
      </c>
      <c r="D153">
        <v>10</v>
      </c>
      <c r="E153" t="str">
        <v>SalesTeam9</v>
      </c>
      <c r="F153">
        <f>VLOOKUP(E153,Teams!$A$1:$B$41,2,FALSE)</f>
        <v>40</v>
      </c>
      <c r="G153" t="str">
        <f t="shared" si="2"/>
        <v>SAM</v>
      </c>
      <c r="H153">
        <f>VLOOKUP(G153,Streams!$C$1:$D$5,2,FALSE)</f>
        <v>3</v>
      </c>
    </row>
    <row r="154" spans="1:8">
      <c r="A154" t="str">
        <v>ITES_ITTeam5_IT Coordinator</v>
      </c>
      <c r="B154">
        <v>153</v>
      </c>
      <c r="C154" t="str">
        <v>IT Coordinator</v>
      </c>
      <c r="D154">
        <v>8</v>
      </c>
      <c r="E154" t="str">
        <v>ITTeam5</v>
      </c>
      <c r="F154">
        <f>VLOOKUP(E154,Teams!$A$1:$B$41,2,FALSE)</f>
        <v>2</v>
      </c>
      <c r="G154" t="str">
        <f t="shared" si="2"/>
        <v>ITES</v>
      </c>
      <c r="H154">
        <f>VLOOKUP(G154,Streams!$C$1:$D$5,2,FALSE)</f>
        <v>2</v>
      </c>
    </row>
    <row r="155" spans="1:8">
      <c r="A155" t="str">
        <v>SAM_SalesTeam7_Digital Marketing Specialist</v>
      </c>
      <c r="B155">
        <v>154</v>
      </c>
      <c r="C155" t="str">
        <v>Digital Marketing Specialist</v>
      </c>
      <c r="D155">
        <v>10</v>
      </c>
      <c r="E155" t="str">
        <v>SalesTeam7</v>
      </c>
      <c r="F155">
        <f>VLOOKUP(E155,Teams!$A$1:$B$41,2,FALSE)</f>
        <v>32</v>
      </c>
      <c r="G155" t="str">
        <f t="shared" si="2"/>
        <v>SAM</v>
      </c>
      <c r="H155">
        <f>VLOOKUP(G155,Streams!$C$1:$D$5,2,FALSE)</f>
        <v>3</v>
      </c>
    </row>
    <row r="156" spans="1:8">
      <c r="A156" t="str">
        <v>RND_ResearchTeam9_Innovation Manager</v>
      </c>
      <c r="B156">
        <v>155</v>
      </c>
      <c r="C156" t="str">
        <v>Innovation Manager</v>
      </c>
      <c r="D156">
        <v>8</v>
      </c>
      <c r="E156" t="str">
        <v>ResearchTeam9</v>
      </c>
      <c r="F156">
        <f>VLOOKUP(E156,Teams!$A$1:$B$41,2,FALSE)</f>
        <v>15</v>
      </c>
      <c r="G156" t="str">
        <f t="shared" si="2"/>
        <v>RND</v>
      </c>
      <c r="H156">
        <f>VLOOKUP(G156,Streams!$C$1:$D$5,2,FALSE)</f>
        <v>4</v>
      </c>
    </row>
    <row r="157" spans="1:8">
      <c r="A157" t="str">
        <v>ITES_ITTeam4_Desktop Support Specialist</v>
      </c>
      <c r="B157">
        <v>156</v>
      </c>
      <c r="C157" t="str">
        <v>Desktop Support Specialist</v>
      </c>
      <c r="D157">
        <v>10</v>
      </c>
      <c r="E157" t="str">
        <v>ITTeam4</v>
      </c>
      <c r="F157">
        <f>VLOOKUP(E157,Teams!$A$1:$B$41,2,FALSE)</f>
        <v>19</v>
      </c>
      <c r="G157" t="str">
        <f t="shared" si="2"/>
        <v>ITES</v>
      </c>
      <c r="H157">
        <f>VLOOKUP(G157,Streams!$C$1:$D$5,2,FALSE)</f>
        <v>2</v>
      </c>
    </row>
    <row r="158" spans="1:8">
      <c r="A158" t="str">
        <v>RND_ResearchTeam3_R&amp;D Manager</v>
      </c>
      <c r="B158">
        <v>157</v>
      </c>
      <c r="C158" t="str">
        <v>R&amp;D Manager</v>
      </c>
      <c r="D158">
        <v>8</v>
      </c>
      <c r="E158" t="str">
        <v>ResearchTeam3</v>
      </c>
      <c r="F158">
        <f>VLOOKUP(E158,Teams!$A$1:$B$41,2,FALSE)</f>
        <v>18</v>
      </c>
      <c r="G158" t="str">
        <f t="shared" si="2"/>
        <v>RND</v>
      </c>
      <c r="H158">
        <f>VLOOKUP(G158,Streams!$C$1:$D$5,2,FALSE)</f>
        <v>4</v>
      </c>
    </row>
    <row r="159" spans="1:8">
      <c r="A159" t="str">
        <v>ENGG_EngineeringTeam4_Software Developer 2</v>
      </c>
      <c r="B159">
        <v>158</v>
      </c>
      <c r="C159" t="str">
        <v>Software Developer 2</v>
      </c>
      <c r="D159">
        <v>9</v>
      </c>
      <c r="E159" t="str">
        <v>EngineeringTeam4</v>
      </c>
      <c r="F159">
        <f>VLOOKUP(E159,Teams!$A$1:$B$41,2,FALSE)</f>
        <v>35</v>
      </c>
      <c r="G159" t="str">
        <f t="shared" si="2"/>
        <v>ENGG</v>
      </c>
      <c r="H159">
        <f>VLOOKUP(G159,Streams!$C$1:$D$5,2,FALSE)</f>
        <v>1</v>
      </c>
    </row>
    <row r="160" spans="1:8">
      <c r="A160" t="str">
        <v>ITES_ITTeam5_Computer Technician</v>
      </c>
      <c r="B160">
        <v>159</v>
      </c>
      <c r="C160" t="str">
        <v>Computer Technician</v>
      </c>
      <c r="D160">
        <v>10</v>
      </c>
      <c r="E160" t="str">
        <v>ITTeam5</v>
      </c>
      <c r="F160">
        <f>VLOOKUP(E160,Teams!$A$1:$B$41,2,FALSE)</f>
        <v>2</v>
      </c>
      <c r="G160" t="str">
        <f t="shared" si="2"/>
        <v>ITES</v>
      </c>
      <c r="H160">
        <f>VLOOKUP(G160,Streams!$C$1:$D$5,2,FALSE)</f>
        <v>2</v>
      </c>
    </row>
    <row r="161" spans="1:8">
      <c r="A161" t="str">
        <v>ENGG_EngineeringTeam9_VP Engineering</v>
      </c>
      <c r="B161">
        <v>160</v>
      </c>
      <c r="C161" t="str">
        <v>VP Engineering</v>
      </c>
      <c r="D161">
        <v>3</v>
      </c>
      <c r="E161" t="str">
        <v>EngineeringTeam9</v>
      </c>
      <c r="F161">
        <f>VLOOKUP(E161,Teams!$A$1:$B$41,2,FALSE)</f>
        <v>33</v>
      </c>
      <c r="G161" t="str">
        <f t="shared" si="2"/>
        <v>ENGG</v>
      </c>
      <c r="H161">
        <f>VLOOKUP(G161,Streams!$C$1:$D$5,2,FALSE)</f>
        <v>1</v>
      </c>
    </row>
    <row r="162" spans="1:8">
      <c r="A162" t="str">
        <v>ENGG_EngineeringTeam2_Senior SDE</v>
      </c>
      <c r="B162">
        <v>161</v>
      </c>
      <c r="C162" t="str">
        <v>Senior SDE</v>
      </c>
      <c r="D162">
        <v>9</v>
      </c>
      <c r="E162" t="str">
        <v>EngineeringTeam2</v>
      </c>
      <c r="F162">
        <f>VLOOKUP(E162,Teams!$A$1:$B$41,2,FALSE)</f>
        <v>24</v>
      </c>
      <c r="G162" t="str">
        <f t="shared" si="2"/>
        <v>ENGG</v>
      </c>
      <c r="H162">
        <f>VLOOKUP(G162,Streams!$C$1:$D$5,2,FALSE)</f>
        <v>1</v>
      </c>
    </row>
    <row r="163" spans="1:8">
      <c r="A163" t="str">
        <v>SAM_SalesTeam10_Brand Manager</v>
      </c>
      <c r="B163">
        <v>162</v>
      </c>
      <c r="C163" t="str">
        <v>Brand Manager</v>
      </c>
      <c r="D163">
        <v>7</v>
      </c>
      <c r="E163" t="str">
        <v>SalesTeam10</v>
      </c>
      <c r="F163">
        <f>VLOOKUP(E163,Teams!$A$1:$B$41,2,FALSE)</f>
        <v>29</v>
      </c>
      <c r="G163" t="str">
        <f t="shared" si="2"/>
        <v>SAM</v>
      </c>
      <c r="H163">
        <f>VLOOKUP(G163,Streams!$C$1:$D$5,2,FALSE)</f>
        <v>3</v>
      </c>
    </row>
    <row r="164" spans="1:8">
      <c r="A164" t="str">
        <v>ITES_ITTeam3_Field Service Technician</v>
      </c>
      <c r="B164">
        <v>163</v>
      </c>
      <c r="C164" t="str">
        <v>Field Service Technician</v>
      </c>
      <c r="D164">
        <v>10</v>
      </c>
      <c r="E164" t="str">
        <v>ITTeam3</v>
      </c>
      <c r="F164">
        <f>VLOOKUP(E164,Teams!$A$1:$B$41,2,FALSE)</f>
        <v>13</v>
      </c>
      <c r="G164" t="str">
        <f t="shared" si="2"/>
        <v>ITES</v>
      </c>
      <c r="H164">
        <f>VLOOKUP(G164,Streams!$C$1:$D$5,2,FALSE)</f>
        <v>2</v>
      </c>
    </row>
    <row r="165" spans="1:8">
      <c r="A165" t="str">
        <v>SAM_SalesTeam4_Customer Support Specialist</v>
      </c>
      <c r="B165">
        <v>164</v>
      </c>
      <c r="C165" t="str">
        <v>Customer Support Specialist</v>
      </c>
      <c r="D165">
        <v>10</v>
      </c>
      <c r="E165" t="str">
        <v>SalesTeam4</v>
      </c>
      <c r="F165">
        <f>VLOOKUP(E165,Teams!$A$1:$B$41,2,FALSE)</f>
        <v>1</v>
      </c>
      <c r="G165" t="str">
        <f t="shared" si="2"/>
        <v>SAM</v>
      </c>
      <c r="H165">
        <f>VLOOKUP(G165,Streams!$C$1:$D$5,2,FALSE)</f>
        <v>3</v>
      </c>
    </row>
    <row r="166" spans="1:8">
      <c r="A166" t="str">
        <v>ITES_ITTeam6_Help Desk Technician</v>
      </c>
      <c r="B166">
        <v>165</v>
      </c>
      <c r="C166" t="str">
        <v>Help Desk Technician</v>
      </c>
      <c r="D166">
        <v>11</v>
      </c>
      <c r="E166" t="str">
        <v>ITTeam6</v>
      </c>
      <c r="F166">
        <f>VLOOKUP(E166,Teams!$A$1:$B$41,2,FALSE)</f>
        <v>9</v>
      </c>
      <c r="G166" t="str">
        <f t="shared" si="2"/>
        <v>ITES</v>
      </c>
      <c r="H166">
        <f>VLOOKUP(G166,Streams!$C$1:$D$5,2,FALSE)</f>
        <v>2</v>
      </c>
    </row>
    <row r="167" spans="1:8">
      <c r="A167" t="str">
        <v>ITES_ITTeam2_Desktop Support Specialist</v>
      </c>
      <c r="B167">
        <v>166</v>
      </c>
      <c r="C167" t="str">
        <v>Desktop Support Specialist</v>
      </c>
      <c r="D167">
        <v>10</v>
      </c>
      <c r="E167" t="str">
        <v>ITTeam2</v>
      </c>
      <c r="F167">
        <f>VLOOKUP(E167,Teams!$A$1:$B$41,2,FALSE)</f>
        <v>5</v>
      </c>
      <c r="G167" t="str">
        <f t="shared" si="2"/>
        <v>ITES</v>
      </c>
      <c r="H167">
        <f>VLOOKUP(G167,Streams!$C$1:$D$5,2,FALSE)</f>
        <v>2</v>
      </c>
    </row>
    <row r="168" spans="1:8">
      <c r="A168" t="str">
        <v>ITES_ITTeam6_Field Service Technician</v>
      </c>
      <c r="B168">
        <v>167</v>
      </c>
      <c r="C168" t="str">
        <v>Field Service Technician</v>
      </c>
      <c r="D168">
        <v>10</v>
      </c>
      <c r="E168" t="str">
        <v>ITTeam6</v>
      </c>
      <c r="F168">
        <f>VLOOKUP(E168,Teams!$A$1:$B$41,2,FALSE)</f>
        <v>9</v>
      </c>
      <c r="G168" t="str">
        <f t="shared" si="2"/>
        <v>ITES</v>
      </c>
      <c r="H168">
        <f>VLOOKUP(G168,Streams!$C$1:$D$5,2,FALSE)</f>
        <v>2</v>
      </c>
    </row>
    <row r="169" spans="1:8">
      <c r="A169" t="str">
        <v>ITES_ITTeam8_Desktop Support Specialist</v>
      </c>
      <c r="B169">
        <v>168</v>
      </c>
      <c r="C169" t="str">
        <v>Desktop Support Specialist</v>
      </c>
      <c r="D169">
        <v>10</v>
      </c>
      <c r="E169" t="str">
        <v>ITTeam8</v>
      </c>
      <c r="F169">
        <f>VLOOKUP(E169,Teams!$A$1:$B$41,2,FALSE)</f>
        <v>28</v>
      </c>
      <c r="G169" t="str">
        <f t="shared" si="2"/>
        <v>ITES</v>
      </c>
      <c r="H169">
        <f>VLOOKUP(G169,Streams!$C$1:$D$5,2,FALSE)</f>
        <v>2</v>
      </c>
    </row>
    <row r="170" spans="1:8">
      <c r="A170" t="str">
        <v>ITES_ITTeam3_IT Support Specialist</v>
      </c>
      <c r="B170">
        <v>169</v>
      </c>
      <c r="C170" t="str">
        <v>IT Support Specialist</v>
      </c>
      <c r="D170">
        <v>9</v>
      </c>
      <c r="E170" t="str">
        <v>ITTeam3</v>
      </c>
      <c r="F170">
        <f>VLOOKUP(E170,Teams!$A$1:$B$41,2,FALSE)</f>
        <v>13</v>
      </c>
      <c r="G170" t="str">
        <f t="shared" si="2"/>
        <v>ITES</v>
      </c>
      <c r="H170">
        <f>VLOOKUP(G170,Streams!$C$1:$D$5,2,FALSE)</f>
        <v>2</v>
      </c>
    </row>
    <row r="171" spans="1:8">
      <c r="A171" t="str">
        <v>RND_ResearchTeam7_Senior R&amp;D Manager</v>
      </c>
      <c r="B171">
        <v>170</v>
      </c>
      <c r="C171" t="str">
        <v>Senior R&amp;D Manager</v>
      </c>
      <c r="D171">
        <v>5</v>
      </c>
      <c r="E171" t="str">
        <v>ResearchTeam7</v>
      </c>
      <c r="F171">
        <f>VLOOKUP(E171,Teams!$A$1:$B$41,2,FALSE)</f>
        <v>16</v>
      </c>
      <c r="G171" t="str">
        <f t="shared" si="2"/>
        <v>RND</v>
      </c>
      <c r="H171">
        <f>VLOOKUP(G171,Streams!$C$1:$D$5,2,FALSE)</f>
        <v>4</v>
      </c>
    </row>
    <row r="172" spans="1:8">
      <c r="A172" t="str">
        <v>ITES_ITTeam10_IT Manager</v>
      </c>
      <c r="B172">
        <v>171</v>
      </c>
      <c r="C172" t="str">
        <v>IT Manager</v>
      </c>
      <c r="D172">
        <v>76</v>
      </c>
      <c r="E172" t="str">
        <v>ITTeam10</v>
      </c>
      <c r="F172">
        <f>VLOOKUP(E172,Teams!$A$1:$B$41,2,FALSE)</f>
        <v>14</v>
      </c>
      <c r="G172" t="str">
        <f t="shared" si="2"/>
        <v>ITES</v>
      </c>
      <c r="H172">
        <f>VLOOKUP(G172,Streams!$C$1:$D$5,2,FALSE)</f>
        <v>2</v>
      </c>
    </row>
    <row r="173" spans="1:8">
      <c r="A173" t="str">
        <v>ENGG_EngineeringTeam2_Staff Engineer</v>
      </c>
      <c r="B173">
        <v>172</v>
      </c>
      <c r="C173" t="str">
        <v>Staff Engineer</v>
      </c>
      <c r="D173">
        <v>11</v>
      </c>
      <c r="E173" t="str">
        <v>EngineeringTeam2</v>
      </c>
      <c r="F173">
        <f>VLOOKUP(E173,Teams!$A$1:$B$41,2,FALSE)</f>
        <v>24</v>
      </c>
      <c r="G173" t="str">
        <f t="shared" si="2"/>
        <v>ENGG</v>
      </c>
      <c r="H173">
        <f>VLOOKUP(G173,Streams!$C$1:$D$5,2,FALSE)</f>
        <v>1</v>
      </c>
    </row>
    <row r="174" spans="1:8">
      <c r="A174" t="str">
        <v>ITES_ITTeam5_Application Support Analyst</v>
      </c>
      <c r="B174">
        <v>173</v>
      </c>
      <c r="C174" t="str">
        <v>Application Support Analyst</v>
      </c>
      <c r="D174">
        <v>11</v>
      </c>
      <c r="E174" t="str">
        <v>ITTeam5</v>
      </c>
      <c r="F174">
        <f>VLOOKUP(E174,Teams!$A$1:$B$41,2,FALSE)</f>
        <v>2</v>
      </c>
      <c r="G174" t="str">
        <f t="shared" si="2"/>
        <v>ITES</v>
      </c>
      <c r="H174">
        <f>VLOOKUP(G174,Streams!$C$1:$D$5,2,FALSE)</f>
        <v>2</v>
      </c>
    </row>
    <row r="175" spans="1:8">
      <c r="A175" t="str">
        <v>ITES_ITTeam1_IT Coordinator</v>
      </c>
      <c r="B175">
        <v>174</v>
      </c>
      <c r="C175" t="str">
        <v>IT Coordinator</v>
      </c>
      <c r="D175">
        <v>8</v>
      </c>
      <c r="E175" t="str">
        <v>ITTeam1</v>
      </c>
      <c r="F175">
        <f>VLOOKUP(E175,Teams!$A$1:$B$41,2,FALSE)</f>
        <v>6</v>
      </c>
      <c r="G175" t="str">
        <f t="shared" si="2"/>
        <v>ITES</v>
      </c>
      <c r="H175">
        <f>VLOOKUP(G175,Streams!$C$1:$D$5,2,FALSE)</f>
        <v>2</v>
      </c>
    </row>
    <row r="176" spans="1:8">
      <c r="A176" t="str">
        <v>ENGG_EngineeringTeam8_Senior SDE</v>
      </c>
      <c r="B176">
        <v>175</v>
      </c>
      <c r="C176" t="str">
        <v>Senior SDE</v>
      </c>
      <c r="D176">
        <v>9</v>
      </c>
      <c r="E176" t="str">
        <v>EngineeringTeam8</v>
      </c>
      <c r="F176">
        <f>VLOOKUP(E176,Teams!$A$1:$B$41,2,FALSE)</f>
        <v>22</v>
      </c>
      <c r="G176" t="str">
        <f t="shared" si="2"/>
        <v>ENGG</v>
      </c>
      <c r="H176">
        <f>VLOOKUP(G176,Streams!$C$1:$D$5,2,FALSE)</f>
        <v>1</v>
      </c>
    </row>
    <row r="177" spans="1:8">
      <c r="A177" t="str">
        <v>ITES_ITTeam3_Desktop Support Specialist</v>
      </c>
      <c r="B177">
        <v>176</v>
      </c>
      <c r="C177" t="str">
        <v>Desktop Support Specialist</v>
      </c>
      <c r="D177">
        <v>10</v>
      </c>
      <c r="E177" t="str">
        <v>ITTeam3</v>
      </c>
      <c r="F177">
        <f>VLOOKUP(E177,Teams!$A$1:$B$41,2,FALSE)</f>
        <v>13</v>
      </c>
      <c r="G177" t="str">
        <f t="shared" si="2"/>
        <v>ITES</v>
      </c>
      <c r="H177">
        <f>VLOOKUP(G177,Streams!$C$1:$D$5,2,FALSE)</f>
        <v>2</v>
      </c>
    </row>
    <row r="178" spans="1:8">
      <c r="A178" t="str">
        <v>SAM_SalesTeam10_Product Marketing Manager</v>
      </c>
      <c r="B178">
        <v>177</v>
      </c>
      <c r="C178" t="str">
        <v>Product Marketing Manager</v>
      </c>
      <c r="D178">
        <v>7</v>
      </c>
      <c r="E178" t="str">
        <v>SalesTeam10</v>
      </c>
      <c r="F178">
        <f>VLOOKUP(E178,Teams!$A$1:$B$41,2,FALSE)</f>
        <v>29</v>
      </c>
      <c r="G178" t="str">
        <f t="shared" si="2"/>
        <v>SAM</v>
      </c>
      <c r="H178">
        <f>VLOOKUP(G178,Streams!$C$1:$D$5,2,FALSE)</f>
        <v>3</v>
      </c>
    </row>
    <row r="179" spans="1:8">
      <c r="A179" t="str">
        <v>ITES_ITTeam6_IT Manager</v>
      </c>
      <c r="B179">
        <v>178</v>
      </c>
      <c r="C179" t="str">
        <v>IT Manager</v>
      </c>
      <c r="D179">
        <v>76</v>
      </c>
      <c r="E179" t="str">
        <v>ITTeam6</v>
      </c>
      <c r="F179">
        <f>VLOOKUP(E179,Teams!$A$1:$B$41,2,FALSE)</f>
        <v>9</v>
      </c>
      <c r="G179" t="str">
        <f t="shared" si="2"/>
        <v>ITES</v>
      </c>
      <c r="H179">
        <f>VLOOKUP(G179,Streams!$C$1:$D$5,2,FALSE)</f>
        <v>2</v>
      </c>
    </row>
    <row r="180" spans="1:8">
      <c r="A180" t="str">
        <v>ITES_ITTeam7_Help Desk Technician</v>
      </c>
      <c r="B180">
        <v>179</v>
      </c>
      <c r="C180" t="str">
        <v>Help Desk Technician</v>
      </c>
      <c r="D180">
        <v>11</v>
      </c>
      <c r="E180" t="str">
        <v>ITTeam7</v>
      </c>
      <c r="F180">
        <f>VLOOKUP(E180,Teams!$A$1:$B$41,2,FALSE)</f>
        <v>23</v>
      </c>
      <c r="G180" t="str">
        <f t="shared" si="2"/>
        <v>ITES</v>
      </c>
      <c r="H180">
        <f>VLOOKUP(G180,Streams!$C$1:$D$5,2,FALSE)</f>
        <v>2</v>
      </c>
    </row>
    <row r="181" spans="1:8">
      <c r="A181" t="str">
        <v>RND_ResearchTeam6_R&amp;D Engineer</v>
      </c>
      <c r="B181">
        <v>180</v>
      </c>
      <c r="C181" t="str">
        <v>R&amp;D Engineer</v>
      </c>
      <c r="D181">
        <v>10</v>
      </c>
      <c r="E181" t="str">
        <v>ResearchTeam6</v>
      </c>
      <c r="F181">
        <f>VLOOKUP(E181,Teams!$A$1:$B$41,2,FALSE)</f>
        <v>37</v>
      </c>
      <c r="G181" t="str">
        <f t="shared" si="2"/>
        <v>RND</v>
      </c>
      <c r="H181">
        <f>VLOOKUP(G181,Streams!$C$1:$D$5,2,FALSE)</f>
        <v>4</v>
      </c>
    </row>
    <row r="182" spans="1:8">
      <c r="A182" t="str">
        <v>ITES_ITTeam5_Desktop Support Specialist</v>
      </c>
      <c r="B182">
        <v>181</v>
      </c>
      <c r="C182" t="str">
        <v>Desktop Support Specialist</v>
      </c>
      <c r="D182">
        <v>10</v>
      </c>
      <c r="E182" t="str">
        <v>ITTeam5</v>
      </c>
      <c r="F182">
        <f>VLOOKUP(E182,Teams!$A$1:$B$41,2,FALSE)</f>
        <v>2</v>
      </c>
      <c r="G182" t="str">
        <f t="shared" si="2"/>
        <v>ITES</v>
      </c>
      <c r="H182">
        <f>VLOOKUP(G182,Streams!$C$1:$D$5,2,FALSE)</f>
        <v>2</v>
      </c>
    </row>
    <row r="183" spans="1:8">
      <c r="A183" t="str">
        <v>RND_ResearchTeam1_Senior R&amp;D Manager</v>
      </c>
      <c r="B183">
        <v>182</v>
      </c>
      <c r="C183" t="str">
        <v>Senior R&amp;D Manager</v>
      </c>
      <c r="D183">
        <v>5</v>
      </c>
      <c r="E183" t="str">
        <v>ResearchTeam1</v>
      </c>
      <c r="F183">
        <f>VLOOKUP(E183,Teams!$A$1:$B$41,2,FALSE)</f>
        <v>36</v>
      </c>
      <c r="G183" t="str">
        <f t="shared" si="2"/>
        <v>RND</v>
      </c>
      <c r="H183">
        <f>VLOOKUP(G183,Streams!$C$1:$D$5,2,FALSE)</f>
        <v>4</v>
      </c>
    </row>
    <row r="184" spans="1:8">
      <c r="A184" t="str">
        <v>RND_ResearchTeam5_Research Analyst</v>
      </c>
      <c r="B184">
        <v>183</v>
      </c>
      <c r="C184" t="str">
        <v>Research Analyst</v>
      </c>
      <c r="D184">
        <v>11</v>
      </c>
      <c r="E184" t="str">
        <v>ResearchTeam5</v>
      </c>
      <c r="F184">
        <f>VLOOKUP(E184,Teams!$A$1:$B$41,2,FALSE)</f>
        <v>34</v>
      </c>
      <c r="G184" t="str">
        <f t="shared" si="2"/>
        <v>RND</v>
      </c>
      <c r="H184">
        <f>VLOOKUP(G184,Streams!$C$1:$D$5,2,FALSE)</f>
        <v>4</v>
      </c>
    </row>
    <row r="185" spans="1:8">
      <c r="A185" t="str">
        <v>RND_ResearchTeam5_Innovation Manager</v>
      </c>
      <c r="B185">
        <v>184</v>
      </c>
      <c r="C185" t="str">
        <v>Innovation Manager</v>
      </c>
      <c r="D185">
        <v>8</v>
      </c>
      <c r="E185" t="str">
        <v>ResearchTeam5</v>
      </c>
      <c r="F185">
        <f>VLOOKUP(E185,Teams!$A$1:$B$41,2,FALSE)</f>
        <v>34</v>
      </c>
      <c r="G185" t="str">
        <f t="shared" si="2"/>
        <v>RND</v>
      </c>
      <c r="H185">
        <f>VLOOKUP(G185,Streams!$C$1:$D$5,2,FALSE)</f>
        <v>4</v>
      </c>
    </row>
    <row r="186" spans="1:8">
      <c r="A186" t="str">
        <v>ENGG_EngineeringTeam2_Engineering Manager</v>
      </c>
      <c r="B186">
        <v>185</v>
      </c>
      <c r="C186" t="str">
        <v>Engineering Manager</v>
      </c>
      <c r="D186">
        <v>7</v>
      </c>
      <c r="E186" t="str">
        <v>EngineeringTeam2</v>
      </c>
      <c r="F186">
        <f>VLOOKUP(E186,Teams!$A$1:$B$41,2,FALSE)</f>
        <v>24</v>
      </c>
      <c r="G186" t="str">
        <f t="shared" si="2"/>
        <v>ENGG</v>
      </c>
      <c r="H186">
        <f>VLOOKUP(G186,Streams!$C$1:$D$5,2,FALSE)</f>
        <v>1</v>
      </c>
    </row>
    <row r="187" spans="1:8">
      <c r="A187" t="str">
        <v>RND_ResearchTeam6_R&amp;D Project Lead</v>
      </c>
      <c r="B187">
        <v>186</v>
      </c>
      <c r="C187" t="str">
        <v>R&amp;D Project Lead</v>
      </c>
      <c r="D187">
        <v>5</v>
      </c>
      <c r="E187" t="str">
        <v>ResearchTeam6</v>
      </c>
      <c r="F187">
        <f>VLOOKUP(E187,Teams!$A$1:$B$41,2,FALSE)</f>
        <v>37</v>
      </c>
      <c r="G187" t="str">
        <f t="shared" si="2"/>
        <v>RND</v>
      </c>
      <c r="H187">
        <f>VLOOKUP(G187,Streams!$C$1:$D$5,2,FALSE)</f>
        <v>4</v>
      </c>
    </row>
    <row r="188" spans="1:8">
      <c r="A188" t="str">
        <v>ENGG_EngineeringTeam7_Software Developer 1</v>
      </c>
      <c r="B188">
        <v>187</v>
      </c>
      <c r="C188" t="str">
        <v>Software Developer 1</v>
      </c>
      <c r="D188">
        <v>11</v>
      </c>
      <c r="E188" t="str">
        <v>EngineeringTeam7</v>
      </c>
      <c r="F188">
        <f>VLOOKUP(E188,Teams!$A$1:$B$41,2,FALSE)</f>
        <v>26</v>
      </c>
      <c r="G188" t="str">
        <f t="shared" si="2"/>
        <v>ENGG</v>
      </c>
      <c r="H188">
        <f>VLOOKUP(G188,Streams!$C$1:$D$5,2,FALSE)</f>
        <v>1</v>
      </c>
    </row>
    <row r="189" spans="1:8">
      <c r="A189" t="str">
        <v>ENGG_EngineeringTeam3_Principal Engineer</v>
      </c>
      <c r="B189">
        <v>188</v>
      </c>
      <c r="C189" t="str">
        <v>Principal Engineer</v>
      </c>
      <c r="D189">
        <v>6</v>
      </c>
      <c r="E189" t="str">
        <v>EngineeringTeam3</v>
      </c>
      <c r="F189">
        <f>VLOOKUP(E189,Teams!$A$1:$B$41,2,FALSE)</f>
        <v>27</v>
      </c>
      <c r="G189" t="str">
        <f t="shared" si="2"/>
        <v>ENGG</v>
      </c>
      <c r="H189">
        <f>VLOOKUP(G189,Streams!$C$1:$D$5,2,FALSE)</f>
        <v>1</v>
      </c>
    </row>
    <row r="190" spans="1:8">
      <c r="A190" t="str">
        <v>ITES_ITTeam8_Network Administrator</v>
      </c>
      <c r="B190">
        <v>189</v>
      </c>
      <c r="C190" t="str">
        <v>Network Administrator</v>
      </c>
      <c r="D190">
        <v>9</v>
      </c>
      <c r="E190" t="str">
        <v>ITTeam8</v>
      </c>
      <c r="F190">
        <f>VLOOKUP(E190,Teams!$A$1:$B$41,2,FALSE)</f>
        <v>28</v>
      </c>
      <c r="G190" t="str">
        <f t="shared" si="2"/>
        <v>ITES</v>
      </c>
      <c r="H190">
        <f>VLOOKUP(G190,Streams!$C$1:$D$5,2,FALSE)</f>
        <v>2</v>
      </c>
    </row>
    <row r="191" spans="1:8">
      <c r="A191" t="str">
        <v>RND_ResearchTeam6_Senior R&amp;D Manager</v>
      </c>
      <c r="B191">
        <v>190</v>
      </c>
      <c r="C191" t="str">
        <v>Senior R&amp;D Manager</v>
      </c>
      <c r="D191">
        <v>5</v>
      </c>
      <c r="E191" t="str">
        <v>ResearchTeam6</v>
      </c>
      <c r="F191">
        <f>VLOOKUP(E191,Teams!$A$1:$B$41,2,FALSE)</f>
        <v>37</v>
      </c>
      <c r="G191" t="str">
        <f t="shared" si="2"/>
        <v>RND</v>
      </c>
      <c r="H191">
        <f>VLOOKUP(G191,Streams!$C$1:$D$5,2,FALSE)</f>
        <v>4</v>
      </c>
    </row>
    <row r="192" spans="1:8">
      <c r="A192" t="str">
        <v>RND_ResearchTeam7_R&amp;D Manager</v>
      </c>
      <c r="B192">
        <v>191</v>
      </c>
      <c r="C192" t="str">
        <v>R&amp;D Manager</v>
      </c>
      <c r="D192">
        <v>8</v>
      </c>
      <c r="E192" t="str">
        <v>ResearchTeam7</v>
      </c>
      <c r="F192">
        <f>VLOOKUP(E192,Teams!$A$1:$B$41,2,FALSE)</f>
        <v>16</v>
      </c>
      <c r="G192" t="str">
        <f t="shared" si="2"/>
        <v>RND</v>
      </c>
      <c r="H192">
        <f>VLOOKUP(G192,Streams!$C$1:$D$5,2,FALSE)</f>
        <v>4</v>
      </c>
    </row>
    <row r="193" spans="1:8">
      <c r="A193" t="str">
        <v>ITES_ITTeam9_Network Administrator</v>
      </c>
      <c r="B193">
        <v>192</v>
      </c>
      <c r="C193" t="str">
        <v>Network Administrator</v>
      </c>
      <c r="D193">
        <v>9</v>
      </c>
      <c r="E193" t="str">
        <v>ITTeam9</v>
      </c>
      <c r="F193">
        <f>VLOOKUP(E193,Teams!$A$1:$B$41,2,FALSE)</f>
        <v>12</v>
      </c>
      <c r="G193" t="str">
        <f t="shared" si="2"/>
        <v>ITES</v>
      </c>
      <c r="H193">
        <f>VLOOKUP(G193,Streams!$C$1:$D$5,2,FALSE)</f>
        <v>2</v>
      </c>
    </row>
    <row r="194" spans="1:8">
      <c r="A194" t="str">
        <v>SAM_SalesTeam8_Brand Manager</v>
      </c>
      <c r="B194">
        <v>193</v>
      </c>
      <c r="C194" t="str">
        <v>Brand Manager</v>
      </c>
      <c r="D194">
        <v>7</v>
      </c>
      <c r="E194" t="str">
        <v>SalesTeam8</v>
      </c>
      <c r="F194">
        <f>VLOOKUP(E194,Teams!$A$1:$B$41,2,FALSE)</f>
        <v>10</v>
      </c>
      <c r="G194" t="str">
        <f t="shared" si="2"/>
        <v>SAM</v>
      </c>
      <c r="H194">
        <f>VLOOKUP(G194,Streams!$C$1:$D$5,2,FALSE)</f>
        <v>3</v>
      </c>
    </row>
    <row r="195" spans="1:8">
      <c r="A195" t="str">
        <v>ITES_ITTeam2_System Administrator</v>
      </c>
      <c r="B195">
        <v>194</v>
      </c>
      <c r="C195" t="str">
        <v>System Administrator</v>
      </c>
      <c r="D195">
        <v>9</v>
      </c>
      <c r="E195" t="str">
        <v>ITTeam2</v>
      </c>
      <c r="F195">
        <f>VLOOKUP(E195,Teams!$A$1:$B$41,2,FALSE)</f>
        <v>5</v>
      </c>
      <c r="G195" t="str">
        <f t="shared" ref="G195:G197" si="3">_xlfn.TEXTBEFORE(A195,"_")</f>
        <v>ITES</v>
      </c>
      <c r="H195">
        <f>VLOOKUP(G195,Streams!$C$1:$D$5,2,FALSE)</f>
        <v>2</v>
      </c>
    </row>
    <row r="196" spans="1:8">
      <c r="A196" t="str">
        <v>ENGG_EngineeringTeam8_Senior Staff Engineer</v>
      </c>
      <c r="B196">
        <v>195</v>
      </c>
      <c r="C196" t="str">
        <v>Senior Staff Engineer</v>
      </c>
      <c r="D196">
        <v>9</v>
      </c>
      <c r="E196" t="str">
        <v>EngineeringTeam8</v>
      </c>
      <c r="F196">
        <f>VLOOKUP(E196,Teams!$A$1:$B$41,2,FALSE)</f>
        <v>22</v>
      </c>
      <c r="G196" t="str">
        <f t="shared" si="3"/>
        <v>ENGG</v>
      </c>
      <c r="H196">
        <f>VLOOKUP(G196,Streams!$C$1:$D$5,2,FALSE)</f>
        <v>1</v>
      </c>
    </row>
    <row r="197" spans="1:8">
      <c r="A197" t="str">
        <v>ITES_ITTeam10_Computer Technician</v>
      </c>
      <c r="B197">
        <v>196</v>
      </c>
      <c r="C197" t="str">
        <v>Computer Technician</v>
      </c>
      <c r="D197">
        <v>10</v>
      </c>
      <c r="E197" t="str">
        <v>ITTeam10</v>
      </c>
      <c r="F197">
        <f>VLOOKUP(E197,Teams!$A$1:$B$41,2,FALSE)</f>
        <v>14</v>
      </c>
      <c r="G197" t="str">
        <f t="shared" si="3"/>
        <v>ITES</v>
      </c>
      <c r="H197">
        <f>VLOOKUP(G197,Streams!$C$1:$D$5,2,FALSE)</f>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A812-C488-4F20-983B-256260F9586E}">
  <dimension ref="A1:B41"/>
  <sheetViews>
    <sheetView workbookViewId="0">
      <selection activeCell="B2" sqref="B2"/>
    </sheetView>
  </sheetViews>
  <sheetFormatPr defaultRowHeight="14.5"/>
  <cols>
    <col min="1" max="1" width="17.453125" bestFit="1" customWidth="1"/>
  </cols>
  <sheetData>
    <row r="1" spans="1:2">
      <c r="A1" s="30" t="s">
        <v>32</v>
      </c>
      <c r="B1" s="30" t="s">
        <v>701</v>
      </c>
    </row>
    <row r="2" spans="1:2">
      <c r="A2" t="str" cm="1">
        <f t="array" ref="A2:A41">_xlfn.UNIQUE(_xlfn._xlws.FILTER(_xlfn.ANCHORARRAY(Roles!E2),_xlfn.ANCHORARRAY(Roles!E2)&lt;&gt;""))</f>
        <v>SalesTeam4</v>
      </c>
      <c r="B2" cm="1">
        <f t="array" ref="B2:B41">_xlfn.SEQUENCE(COUNTA(_xlfn.ANCHORARRAY(A2)))</f>
        <v>1</v>
      </c>
    </row>
    <row r="3" spans="1:2">
      <c r="A3" t="str">
        <v>ITTeam5</v>
      </c>
      <c r="B3">
        <v>2</v>
      </c>
    </row>
    <row r="4" spans="1:2">
      <c r="A4" t="str">
        <v>EngineeringTeam1</v>
      </c>
      <c r="B4">
        <v>3</v>
      </c>
    </row>
    <row r="5" spans="1:2">
      <c r="A5" t="str">
        <v>EngineeringTeam10</v>
      </c>
      <c r="B5">
        <v>4</v>
      </c>
    </row>
    <row r="6" spans="1:2">
      <c r="A6" t="str">
        <v>ITTeam2</v>
      </c>
      <c r="B6">
        <v>5</v>
      </c>
    </row>
    <row r="7" spans="1:2">
      <c r="A7" t="str">
        <v>ITTeam1</v>
      </c>
      <c r="B7">
        <v>6</v>
      </c>
    </row>
    <row r="8" spans="1:2">
      <c r="A8" t="str">
        <v>SalesTeam3</v>
      </c>
      <c r="B8">
        <v>7</v>
      </c>
    </row>
    <row r="9" spans="1:2">
      <c r="A9" t="str">
        <v>SalesTeam5</v>
      </c>
      <c r="B9">
        <v>8</v>
      </c>
    </row>
    <row r="10" spans="1:2">
      <c r="A10" t="str">
        <v>ITTeam6</v>
      </c>
      <c r="B10">
        <v>9</v>
      </c>
    </row>
    <row r="11" spans="1:2">
      <c r="A11" t="str">
        <v>SalesTeam8</v>
      </c>
      <c r="B11">
        <v>10</v>
      </c>
    </row>
    <row r="12" spans="1:2">
      <c r="A12" t="str">
        <v>ResearchTeam8</v>
      </c>
      <c r="B12">
        <v>11</v>
      </c>
    </row>
    <row r="13" spans="1:2">
      <c r="A13" t="str">
        <v>ITTeam9</v>
      </c>
      <c r="B13">
        <v>12</v>
      </c>
    </row>
    <row r="14" spans="1:2">
      <c r="A14" t="str">
        <v>ITTeam3</v>
      </c>
      <c r="B14">
        <v>13</v>
      </c>
    </row>
    <row r="15" spans="1:2">
      <c r="A15" t="str">
        <v>ITTeam10</v>
      </c>
      <c r="B15">
        <v>14</v>
      </c>
    </row>
    <row r="16" spans="1:2">
      <c r="A16" t="str">
        <v>ResearchTeam9</v>
      </c>
      <c r="B16">
        <v>15</v>
      </c>
    </row>
    <row r="17" spans="1:2">
      <c r="A17" t="str">
        <v>ResearchTeam7</v>
      </c>
      <c r="B17">
        <v>16</v>
      </c>
    </row>
    <row r="18" spans="1:2">
      <c r="A18" t="str">
        <v>SalesTeam6</v>
      </c>
      <c r="B18">
        <v>17</v>
      </c>
    </row>
    <row r="19" spans="1:2">
      <c r="A19" t="str">
        <v>ResearchTeam3</v>
      </c>
      <c r="B19">
        <v>18</v>
      </c>
    </row>
    <row r="20" spans="1:2">
      <c r="A20" t="str">
        <v>ITTeam4</v>
      </c>
      <c r="B20">
        <v>19</v>
      </c>
    </row>
    <row r="21" spans="1:2">
      <c r="A21" t="str">
        <v>EngineeringTeam5</v>
      </c>
      <c r="B21">
        <v>20</v>
      </c>
    </row>
    <row r="22" spans="1:2">
      <c r="A22" t="str">
        <v>SalesTeam2</v>
      </c>
      <c r="B22">
        <v>21</v>
      </c>
    </row>
    <row r="23" spans="1:2">
      <c r="A23" t="str">
        <v>EngineeringTeam8</v>
      </c>
      <c r="B23">
        <v>22</v>
      </c>
    </row>
    <row r="24" spans="1:2">
      <c r="A24" t="str">
        <v>ITTeam7</v>
      </c>
      <c r="B24">
        <v>23</v>
      </c>
    </row>
    <row r="25" spans="1:2">
      <c r="A25" t="str">
        <v>EngineeringTeam2</v>
      </c>
      <c r="B25">
        <v>24</v>
      </c>
    </row>
    <row r="26" spans="1:2">
      <c r="A26" t="str">
        <v>SalesTeam1</v>
      </c>
      <c r="B26">
        <v>25</v>
      </c>
    </row>
    <row r="27" spans="1:2">
      <c r="A27" t="str">
        <v>EngineeringTeam7</v>
      </c>
      <c r="B27">
        <v>26</v>
      </c>
    </row>
    <row r="28" spans="1:2">
      <c r="A28" t="str">
        <v>EngineeringTeam3</v>
      </c>
      <c r="B28">
        <v>27</v>
      </c>
    </row>
    <row r="29" spans="1:2">
      <c r="A29" t="str">
        <v>ITTeam8</v>
      </c>
      <c r="B29">
        <v>28</v>
      </c>
    </row>
    <row r="30" spans="1:2">
      <c r="A30" t="str">
        <v>SalesTeam10</v>
      </c>
      <c r="B30">
        <v>29</v>
      </c>
    </row>
    <row r="31" spans="1:2">
      <c r="A31" t="str">
        <v>ResearchTeam10</v>
      </c>
      <c r="B31">
        <v>30</v>
      </c>
    </row>
    <row r="32" spans="1:2">
      <c r="A32" t="str">
        <v>ResearchTeam2</v>
      </c>
      <c r="B32">
        <v>31</v>
      </c>
    </row>
    <row r="33" spans="1:2">
      <c r="A33" t="str">
        <v>SalesTeam7</v>
      </c>
      <c r="B33">
        <v>32</v>
      </c>
    </row>
    <row r="34" spans="1:2">
      <c r="A34" t="str">
        <v>EngineeringTeam9</v>
      </c>
      <c r="B34">
        <v>33</v>
      </c>
    </row>
    <row r="35" spans="1:2">
      <c r="A35" t="str">
        <v>ResearchTeam5</v>
      </c>
      <c r="B35">
        <v>34</v>
      </c>
    </row>
    <row r="36" spans="1:2">
      <c r="A36" t="str">
        <v>EngineeringTeam4</v>
      </c>
      <c r="B36">
        <v>35</v>
      </c>
    </row>
    <row r="37" spans="1:2">
      <c r="A37" t="str">
        <v>ResearchTeam1</v>
      </c>
      <c r="B37">
        <v>36</v>
      </c>
    </row>
    <row r="38" spans="1:2">
      <c r="A38" t="str">
        <v>ResearchTeam6</v>
      </c>
      <c r="B38">
        <v>37</v>
      </c>
    </row>
    <row r="39" spans="1:2">
      <c r="A39" t="str">
        <v>EngineeringTeam6</v>
      </c>
      <c r="B39">
        <v>38</v>
      </c>
    </row>
    <row r="40" spans="1:2">
      <c r="A40" t="str">
        <v>ResearchTeam4</v>
      </c>
      <c r="B40">
        <v>39</v>
      </c>
    </row>
    <row r="41" spans="1:2">
      <c r="A41" t="str">
        <v>SalesTeam9</v>
      </c>
      <c r="B41">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1109-BADD-4F48-87E8-29A414C03488}">
  <dimension ref="A1:D5"/>
  <sheetViews>
    <sheetView workbookViewId="0">
      <selection activeCell="F8" sqref="F8"/>
    </sheetView>
  </sheetViews>
  <sheetFormatPr defaultRowHeight="14.5"/>
  <cols>
    <col min="2" max="2" width="18.1796875" customWidth="1"/>
    <col min="4" max="4" width="11" bestFit="1" customWidth="1"/>
  </cols>
  <sheetData>
    <row r="1" spans="1:4">
      <c r="A1" t="s">
        <v>702</v>
      </c>
      <c r="B1" t="s">
        <v>30</v>
      </c>
      <c r="C1" t="s">
        <v>703</v>
      </c>
      <c r="D1" t="s">
        <v>704</v>
      </c>
    </row>
    <row r="2" spans="1:4">
      <c r="A2">
        <v>1</v>
      </c>
      <c r="B2" t="s">
        <v>69</v>
      </c>
      <c r="C2" t="s">
        <v>70</v>
      </c>
      <c r="D2">
        <f>A2</f>
        <v>1</v>
      </c>
    </row>
    <row r="3" spans="1:4">
      <c r="A3">
        <v>2</v>
      </c>
      <c r="B3" t="s">
        <v>56</v>
      </c>
      <c r="C3" t="s">
        <v>57</v>
      </c>
      <c r="D3">
        <f t="shared" ref="D3:D5" si="0">A3</f>
        <v>2</v>
      </c>
    </row>
    <row r="4" spans="1:4">
      <c r="A4">
        <v>3</v>
      </c>
      <c r="B4" t="s">
        <v>48</v>
      </c>
      <c r="C4" t="s">
        <v>49</v>
      </c>
      <c r="D4">
        <f t="shared" si="0"/>
        <v>3</v>
      </c>
    </row>
    <row r="5" spans="1:4">
      <c r="A5">
        <v>4</v>
      </c>
      <c r="B5" t="s">
        <v>102</v>
      </c>
      <c r="C5" t="s">
        <v>103</v>
      </c>
      <c r="D5">
        <f t="shared" si="0"/>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50D0-0F74-49EB-8D4F-DBC36EA77D45}">
  <dimension ref="A1:H1201"/>
  <sheetViews>
    <sheetView tabSelected="1" workbookViewId="0">
      <selection activeCell="C13" sqref="C13"/>
    </sheetView>
  </sheetViews>
  <sheetFormatPr defaultRowHeight="14.5"/>
  <cols>
    <col min="2" max="2" width="17.453125" bestFit="1" customWidth="1"/>
    <col min="3" max="3" width="19.54296875" customWidth="1"/>
    <col min="4" max="5" width="17.453125" customWidth="1"/>
    <col min="6" max="6" width="13.1796875" customWidth="1"/>
    <col min="7" max="8" width="15.54296875" customWidth="1"/>
  </cols>
  <sheetData>
    <row r="1" spans="1:8">
      <c r="A1" t="s">
        <v>703</v>
      </c>
      <c r="B1" t="s">
        <v>32</v>
      </c>
      <c r="C1" t="s">
        <v>33</v>
      </c>
      <c r="D1" t="s">
        <v>705</v>
      </c>
      <c r="E1" t="s">
        <v>706</v>
      </c>
      <c r="F1" t="s">
        <v>707</v>
      </c>
      <c r="G1" t="s">
        <v>708</v>
      </c>
      <c r="H1" t="s">
        <v>709</v>
      </c>
    </row>
    <row r="2" spans="1:8">
      <c r="A2" t="s">
        <v>70</v>
      </c>
      <c r="B2" t="s">
        <v>71</v>
      </c>
      <c r="C2" t="s">
        <v>138</v>
      </c>
      <c r="D2">
        <v>2025</v>
      </c>
      <c r="E2" t="str">
        <f>"Q"&amp;ROUNDUP(MONTH(DATEVALUE(F2&amp;" 1"))/3,0)</f>
        <v>Q3</v>
      </c>
      <c r="F2" t="s">
        <v>710</v>
      </c>
      <c r="G2">
        <v>1</v>
      </c>
      <c r="H2" t="str">
        <f>_xlfn.CONCAT(F2,"-",D2)</f>
        <v>July-2025</v>
      </c>
    </row>
    <row r="3" spans="1:8">
      <c r="A3" t="s">
        <v>70</v>
      </c>
      <c r="B3" t="s">
        <v>71</v>
      </c>
      <c r="C3" t="s">
        <v>138</v>
      </c>
      <c r="D3">
        <v>2025</v>
      </c>
      <c r="E3" t="str">
        <f t="shared" ref="E3:E66" si="0">"Q"&amp;ROUNDUP(MONTH(DATEVALUE(F3&amp;" 1"))/3,0)</f>
        <v>Q3</v>
      </c>
      <c r="F3" t="s">
        <v>711</v>
      </c>
      <c r="G3">
        <v>0</v>
      </c>
      <c r="H3" t="str">
        <f t="shared" ref="H3:H66" si="1">_xlfn.CONCAT(F3,"-",D3)</f>
        <v>August-2025</v>
      </c>
    </row>
    <row r="4" spans="1:8">
      <c r="A4" t="s">
        <v>70</v>
      </c>
      <c r="B4" t="s">
        <v>71</v>
      </c>
      <c r="C4" t="s">
        <v>138</v>
      </c>
      <c r="D4">
        <v>2025</v>
      </c>
      <c r="E4" t="str">
        <f t="shared" si="0"/>
        <v>Q3</v>
      </c>
      <c r="F4" t="s">
        <v>712</v>
      </c>
      <c r="G4">
        <v>0</v>
      </c>
      <c r="H4" t="str">
        <f t="shared" si="1"/>
        <v>September-2025</v>
      </c>
    </row>
    <row r="5" spans="1:8">
      <c r="A5" t="s">
        <v>70</v>
      </c>
      <c r="B5" t="s">
        <v>71</v>
      </c>
      <c r="C5" t="s">
        <v>138</v>
      </c>
      <c r="D5">
        <v>2025</v>
      </c>
      <c r="E5" t="str">
        <f t="shared" si="0"/>
        <v>Q4</v>
      </c>
      <c r="F5" t="s">
        <v>713</v>
      </c>
      <c r="G5">
        <v>0</v>
      </c>
      <c r="H5" t="str">
        <f t="shared" si="1"/>
        <v>October-2025</v>
      </c>
    </row>
    <row r="6" spans="1:8">
      <c r="A6" t="s">
        <v>70</v>
      </c>
      <c r="B6" t="s">
        <v>71</v>
      </c>
      <c r="C6" t="s">
        <v>138</v>
      </c>
      <c r="D6">
        <v>2025</v>
      </c>
      <c r="E6" t="str">
        <f t="shared" si="0"/>
        <v>Q4</v>
      </c>
      <c r="F6" t="s">
        <v>714</v>
      </c>
      <c r="G6">
        <v>0</v>
      </c>
      <c r="H6" t="str">
        <f t="shared" si="1"/>
        <v>November-2025</v>
      </c>
    </row>
    <row r="7" spans="1:8">
      <c r="A7" t="s">
        <v>70</v>
      </c>
      <c r="B7" t="s">
        <v>71</v>
      </c>
      <c r="C7" t="s">
        <v>138</v>
      </c>
      <c r="D7">
        <v>2025</v>
      </c>
      <c r="E7" t="str">
        <f t="shared" si="0"/>
        <v>Q4</v>
      </c>
      <c r="F7" t="s">
        <v>715</v>
      </c>
      <c r="G7">
        <v>0</v>
      </c>
      <c r="H7" t="str">
        <f t="shared" si="1"/>
        <v>December-2025</v>
      </c>
    </row>
    <row r="8" spans="1:8">
      <c r="A8" t="s">
        <v>70</v>
      </c>
      <c r="B8" t="s">
        <v>71</v>
      </c>
      <c r="C8" t="s">
        <v>138</v>
      </c>
      <c r="D8">
        <v>2026</v>
      </c>
      <c r="E8" t="str">
        <f t="shared" si="0"/>
        <v>Q1</v>
      </c>
      <c r="F8" t="s">
        <v>716</v>
      </c>
      <c r="G8">
        <v>0</v>
      </c>
      <c r="H8" t="str">
        <f t="shared" si="1"/>
        <v>January-2026</v>
      </c>
    </row>
    <row r="9" spans="1:8">
      <c r="A9" t="s">
        <v>70</v>
      </c>
      <c r="B9" t="s">
        <v>71</v>
      </c>
      <c r="C9" t="s">
        <v>138</v>
      </c>
      <c r="D9">
        <v>2026</v>
      </c>
      <c r="E9" t="str">
        <f t="shared" si="0"/>
        <v>Q1</v>
      </c>
      <c r="F9" t="s">
        <v>717</v>
      </c>
      <c r="G9">
        <v>0</v>
      </c>
      <c r="H9" t="str">
        <f t="shared" si="1"/>
        <v>February-2026</v>
      </c>
    </row>
    <row r="10" spans="1:8">
      <c r="A10" t="s">
        <v>70</v>
      </c>
      <c r="B10" t="s">
        <v>71</v>
      </c>
      <c r="C10" t="s">
        <v>138</v>
      </c>
      <c r="D10">
        <v>2026</v>
      </c>
      <c r="E10" t="str">
        <f t="shared" si="0"/>
        <v>Q1</v>
      </c>
      <c r="F10" t="s">
        <v>718</v>
      </c>
      <c r="G10">
        <v>0</v>
      </c>
      <c r="H10" t="str">
        <f t="shared" si="1"/>
        <v>March-2026</v>
      </c>
    </row>
    <row r="11" spans="1:8">
      <c r="A11" t="s">
        <v>70</v>
      </c>
      <c r="B11" t="s">
        <v>71</v>
      </c>
      <c r="C11" t="s">
        <v>138</v>
      </c>
      <c r="D11">
        <v>2026</v>
      </c>
      <c r="E11" t="str">
        <f t="shared" si="0"/>
        <v>Q2</v>
      </c>
      <c r="F11" t="s">
        <v>719</v>
      </c>
      <c r="G11">
        <v>0</v>
      </c>
      <c r="H11" t="str">
        <f t="shared" si="1"/>
        <v>April-2026</v>
      </c>
    </row>
    <row r="12" spans="1:8">
      <c r="A12" t="s">
        <v>70</v>
      </c>
      <c r="B12" t="s">
        <v>71</v>
      </c>
      <c r="C12" t="s">
        <v>138</v>
      </c>
      <c r="D12">
        <v>2026</v>
      </c>
      <c r="E12" t="str">
        <f t="shared" si="0"/>
        <v>Q2</v>
      </c>
      <c r="F12" t="s">
        <v>720</v>
      </c>
      <c r="G12">
        <v>0</v>
      </c>
      <c r="H12" t="str">
        <f t="shared" si="1"/>
        <v>May-2026</v>
      </c>
    </row>
    <row r="13" spans="1:8">
      <c r="A13" t="s">
        <v>70</v>
      </c>
      <c r="B13" t="s">
        <v>71</v>
      </c>
      <c r="C13" t="s">
        <v>138</v>
      </c>
      <c r="D13">
        <v>2026</v>
      </c>
      <c r="E13" t="str">
        <f t="shared" si="0"/>
        <v>Q2</v>
      </c>
      <c r="F13" t="s">
        <v>721</v>
      </c>
      <c r="G13">
        <v>0</v>
      </c>
      <c r="H13" t="str">
        <f t="shared" si="1"/>
        <v>June-2026</v>
      </c>
    </row>
    <row r="14" spans="1:8">
      <c r="A14" t="s">
        <v>70</v>
      </c>
      <c r="B14" t="s">
        <v>71</v>
      </c>
      <c r="C14" t="s">
        <v>86</v>
      </c>
      <c r="D14">
        <v>2025</v>
      </c>
      <c r="E14" t="str">
        <f t="shared" si="0"/>
        <v>Q3</v>
      </c>
      <c r="F14" t="s">
        <v>710</v>
      </c>
      <c r="G14">
        <v>0</v>
      </c>
      <c r="H14" t="str">
        <f t="shared" si="1"/>
        <v>July-2025</v>
      </c>
    </row>
    <row r="15" spans="1:8">
      <c r="A15" t="s">
        <v>70</v>
      </c>
      <c r="B15" t="s">
        <v>71</v>
      </c>
      <c r="C15" t="s">
        <v>86</v>
      </c>
      <c r="D15">
        <v>2025</v>
      </c>
      <c r="E15" t="str">
        <f t="shared" si="0"/>
        <v>Q3</v>
      </c>
      <c r="F15" t="s">
        <v>711</v>
      </c>
      <c r="G15">
        <v>0</v>
      </c>
      <c r="H15" t="str">
        <f t="shared" si="1"/>
        <v>August-2025</v>
      </c>
    </row>
    <row r="16" spans="1:8">
      <c r="A16" t="s">
        <v>70</v>
      </c>
      <c r="B16" t="s">
        <v>71</v>
      </c>
      <c r="C16" t="s">
        <v>86</v>
      </c>
      <c r="D16">
        <v>2025</v>
      </c>
      <c r="E16" t="str">
        <f t="shared" si="0"/>
        <v>Q3</v>
      </c>
      <c r="F16" t="s">
        <v>712</v>
      </c>
      <c r="G16">
        <v>0</v>
      </c>
      <c r="H16" t="str">
        <f t="shared" si="1"/>
        <v>September-2025</v>
      </c>
    </row>
    <row r="17" spans="1:8">
      <c r="A17" t="s">
        <v>70</v>
      </c>
      <c r="B17" t="s">
        <v>71</v>
      </c>
      <c r="C17" t="s">
        <v>86</v>
      </c>
      <c r="D17">
        <v>2025</v>
      </c>
      <c r="E17" t="str">
        <f t="shared" si="0"/>
        <v>Q4</v>
      </c>
      <c r="F17" t="s">
        <v>713</v>
      </c>
      <c r="G17">
        <v>0</v>
      </c>
      <c r="H17" t="str">
        <f t="shared" si="1"/>
        <v>October-2025</v>
      </c>
    </row>
    <row r="18" spans="1:8">
      <c r="A18" t="s">
        <v>70</v>
      </c>
      <c r="B18" t="s">
        <v>71</v>
      </c>
      <c r="C18" t="s">
        <v>86</v>
      </c>
      <c r="D18">
        <v>2025</v>
      </c>
      <c r="E18" t="str">
        <f t="shared" si="0"/>
        <v>Q4</v>
      </c>
      <c r="F18" t="s">
        <v>714</v>
      </c>
      <c r="G18">
        <v>0</v>
      </c>
      <c r="H18" t="str">
        <f t="shared" si="1"/>
        <v>November-2025</v>
      </c>
    </row>
    <row r="19" spans="1:8">
      <c r="A19" t="s">
        <v>70</v>
      </c>
      <c r="B19" t="s">
        <v>71</v>
      </c>
      <c r="C19" t="s">
        <v>86</v>
      </c>
      <c r="D19">
        <v>2025</v>
      </c>
      <c r="E19" t="str">
        <f t="shared" si="0"/>
        <v>Q4</v>
      </c>
      <c r="F19" t="s">
        <v>715</v>
      </c>
      <c r="G19">
        <v>0</v>
      </c>
      <c r="H19" t="str">
        <f t="shared" si="1"/>
        <v>December-2025</v>
      </c>
    </row>
    <row r="20" spans="1:8">
      <c r="A20" t="s">
        <v>70</v>
      </c>
      <c r="B20" t="s">
        <v>71</v>
      </c>
      <c r="C20" t="s">
        <v>86</v>
      </c>
      <c r="D20">
        <v>2026</v>
      </c>
      <c r="E20" t="str">
        <f t="shared" si="0"/>
        <v>Q1</v>
      </c>
      <c r="F20" t="s">
        <v>716</v>
      </c>
      <c r="G20">
        <v>0</v>
      </c>
      <c r="H20" t="str">
        <f t="shared" si="1"/>
        <v>January-2026</v>
      </c>
    </row>
    <row r="21" spans="1:8">
      <c r="A21" t="s">
        <v>70</v>
      </c>
      <c r="B21" t="s">
        <v>71</v>
      </c>
      <c r="C21" t="s">
        <v>86</v>
      </c>
      <c r="D21">
        <v>2026</v>
      </c>
      <c r="E21" t="str">
        <f t="shared" si="0"/>
        <v>Q1</v>
      </c>
      <c r="F21" t="s">
        <v>717</v>
      </c>
      <c r="G21">
        <v>0</v>
      </c>
      <c r="H21" t="str">
        <f t="shared" si="1"/>
        <v>February-2026</v>
      </c>
    </row>
    <row r="22" spans="1:8">
      <c r="A22" t="s">
        <v>70</v>
      </c>
      <c r="B22" t="s">
        <v>71</v>
      </c>
      <c r="C22" t="s">
        <v>86</v>
      </c>
      <c r="D22">
        <v>2026</v>
      </c>
      <c r="E22" t="str">
        <f t="shared" si="0"/>
        <v>Q1</v>
      </c>
      <c r="F22" t="s">
        <v>718</v>
      </c>
      <c r="G22">
        <v>0</v>
      </c>
      <c r="H22" t="str">
        <f t="shared" si="1"/>
        <v>March-2026</v>
      </c>
    </row>
    <row r="23" spans="1:8">
      <c r="A23" t="s">
        <v>70</v>
      </c>
      <c r="B23" t="s">
        <v>71</v>
      </c>
      <c r="C23" t="s">
        <v>86</v>
      </c>
      <c r="D23">
        <v>2026</v>
      </c>
      <c r="E23" t="str">
        <f t="shared" si="0"/>
        <v>Q2</v>
      </c>
      <c r="F23" t="s">
        <v>719</v>
      </c>
      <c r="G23">
        <v>0</v>
      </c>
      <c r="H23" t="str">
        <f t="shared" si="1"/>
        <v>April-2026</v>
      </c>
    </row>
    <row r="24" spans="1:8">
      <c r="A24" t="s">
        <v>70</v>
      </c>
      <c r="B24" t="s">
        <v>71</v>
      </c>
      <c r="C24" t="s">
        <v>86</v>
      </c>
      <c r="D24">
        <v>2026</v>
      </c>
      <c r="E24" t="str">
        <f t="shared" si="0"/>
        <v>Q2</v>
      </c>
      <c r="F24" t="s">
        <v>720</v>
      </c>
      <c r="G24">
        <v>0</v>
      </c>
      <c r="H24" t="str">
        <f t="shared" si="1"/>
        <v>May-2026</v>
      </c>
    </row>
    <row r="25" spans="1:8">
      <c r="A25" t="s">
        <v>70</v>
      </c>
      <c r="B25" t="s">
        <v>71</v>
      </c>
      <c r="C25" t="s">
        <v>86</v>
      </c>
      <c r="D25">
        <v>2026</v>
      </c>
      <c r="E25" t="str">
        <f t="shared" si="0"/>
        <v>Q2</v>
      </c>
      <c r="F25" t="s">
        <v>721</v>
      </c>
      <c r="G25">
        <v>0</v>
      </c>
      <c r="H25" t="str">
        <f t="shared" si="1"/>
        <v>June-2026</v>
      </c>
    </row>
    <row r="26" spans="1:8">
      <c r="A26" t="s">
        <v>70</v>
      </c>
      <c r="B26" t="s">
        <v>71</v>
      </c>
      <c r="C26" t="s">
        <v>346</v>
      </c>
      <c r="D26">
        <v>2025</v>
      </c>
      <c r="E26" t="str">
        <f t="shared" si="0"/>
        <v>Q3</v>
      </c>
      <c r="F26" t="s">
        <v>710</v>
      </c>
      <c r="G26">
        <v>0</v>
      </c>
      <c r="H26" t="str">
        <f t="shared" si="1"/>
        <v>July-2025</v>
      </c>
    </row>
    <row r="27" spans="1:8">
      <c r="A27" t="s">
        <v>70</v>
      </c>
      <c r="B27" t="s">
        <v>71</v>
      </c>
      <c r="C27" t="s">
        <v>346</v>
      </c>
      <c r="D27">
        <v>2025</v>
      </c>
      <c r="E27" t="str">
        <f t="shared" si="0"/>
        <v>Q3</v>
      </c>
      <c r="F27" t="s">
        <v>711</v>
      </c>
      <c r="G27">
        <v>0</v>
      </c>
      <c r="H27" t="str">
        <f t="shared" si="1"/>
        <v>August-2025</v>
      </c>
    </row>
    <row r="28" spans="1:8">
      <c r="A28" t="s">
        <v>70</v>
      </c>
      <c r="B28" t="s">
        <v>71</v>
      </c>
      <c r="C28" t="s">
        <v>346</v>
      </c>
      <c r="D28">
        <v>2025</v>
      </c>
      <c r="E28" t="str">
        <f t="shared" si="0"/>
        <v>Q3</v>
      </c>
      <c r="F28" t="s">
        <v>712</v>
      </c>
      <c r="G28">
        <v>0</v>
      </c>
      <c r="H28" t="str">
        <f t="shared" si="1"/>
        <v>September-2025</v>
      </c>
    </row>
    <row r="29" spans="1:8">
      <c r="A29" t="s">
        <v>70</v>
      </c>
      <c r="B29" t="s">
        <v>71</v>
      </c>
      <c r="C29" t="s">
        <v>346</v>
      </c>
      <c r="D29">
        <v>2025</v>
      </c>
      <c r="E29" t="str">
        <f t="shared" si="0"/>
        <v>Q4</v>
      </c>
      <c r="F29" t="s">
        <v>713</v>
      </c>
      <c r="G29">
        <v>0</v>
      </c>
      <c r="H29" t="str">
        <f t="shared" si="1"/>
        <v>October-2025</v>
      </c>
    </row>
    <row r="30" spans="1:8">
      <c r="A30" t="s">
        <v>70</v>
      </c>
      <c r="B30" t="s">
        <v>71</v>
      </c>
      <c r="C30" t="s">
        <v>346</v>
      </c>
      <c r="D30">
        <v>2025</v>
      </c>
      <c r="E30" t="str">
        <f t="shared" si="0"/>
        <v>Q4</v>
      </c>
      <c r="F30" t="s">
        <v>714</v>
      </c>
      <c r="G30">
        <v>0</v>
      </c>
      <c r="H30" t="str">
        <f t="shared" si="1"/>
        <v>November-2025</v>
      </c>
    </row>
    <row r="31" spans="1:8">
      <c r="A31" t="s">
        <v>70</v>
      </c>
      <c r="B31" t="s">
        <v>71</v>
      </c>
      <c r="C31" t="s">
        <v>346</v>
      </c>
      <c r="D31">
        <v>2025</v>
      </c>
      <c r="E31" t="str">
        <f t="shared" si="0"/>
        <v>Q4</v>
      </c>
      <c r="F31" t="s">
        <v>715</v>
      </c>
      <c r="G31">
        <v>0</v>
      </c>
      <c r="H31" t="str">
        <f t="shared" si="1"/>
        <v>December-2025</v>
      </c>
    </row>
    <row r="32" spans="1:8">
      <c r="A32" t="s">
        <v>70</v>
      </c>
      <c r="B32" t="s">
        <v>71</v>
      </c>
      <c r="C32" t="s">
        <v>346</v>
      </c>
      <c r="D32">
        <v>2026</v>
      </c>
      <c r="E32" t="str">
        <f t="shared" si="0"/>
        <v>Q1</v>
      </c>
      <c r="F32" t="s">
        <v>716</v>
      </c>
      <c r="G32">
        <v>0</v>
      </c>
      <c r="H32" t="str">
        <f t="shared" si="1"/>
        <v>January-2026</v>
      </c>
    </row>
    <row r="33" spans="1:8">
      <c r="A33" t="s">
        <v>70</v>
      </c>
      <c r="B33" t="s">
        <v>71</v>
      </c>
      <c r="C33" t="s">
        <v>346</v>
      </c>
      <c r="D33">
        <v>2026</v>
      </c>
      <c r="E33" t="str">
        <f t="shared" si="0"/>
        <v>Q1</v>
      </c>
      <c r="F33" t="s">
        <v>717</v>
      </c>
      <c r="G33">
        <v>0</v>
      </c>
      <c r="H33" t="str">
        <f t="shared" si="1"/>
        <v>February-2026</v>
      </c>
    </row>
    <row r="34" spans="1:8">
      <c r="A34" t="s">
        <v>70</v>
      </c>
      <c r="B34" t="s">
        <v>71</v>
      </c>
      <c r="C34" t="s">
        <v>346</v>
      </c>
      <c r="D34">
        <v>2026</v>
      </c>
      <c r="E34" t="str">
        <f t="shared" si="0"/>
        <v>Q1</v>
      </c>
      <c r="F34" t="s">
        <v>718</v>
      </c>
      <c r="G34">
        <v>0</v>
      </c>
      <c r="H34" t="str">
        <f t="shared" si="1"/>
        <v>March-2026</v>
      </c>
    </row>
    <row r="35" spans="1:8">
      <c r="A35" t="s">
        <v>70</v>
      </c>
      <c r="B35" t="s">
        <v>71</v>
      </c>
      <c r="C35" t="s">
        <v>346</v>
      </c>
      <c r="D35">
        <v>2026</v>
      </c>
      <c r="E35" t="str">
        <f t="shared" si="0"/>
        <v>Q2</v>
      </c>
      <c r="F35" t="s">
        <v>719</v>
      </c>
      <c r="G35">
        <v>0</v>
      </c>
      <c r="H35" t="str">
        <f t="shared" si="1"/>
        <v>April-2026</v>
      </c>
    </row>
    <row r="36" spans="1:8">
      <c r="A36" t="s">
        <v>70</v>
      </c>
      <c r="B36" t="s">
        <v>71</v>
      </c>
      <c r="C36" t="s">
        <v>346</v>
      </c>
      <c r="D36">
        <v>2026</v>
      </c>
      <c r="E36" t="str">
        <f t="shared" si="0"/>
        <v>Q2</v>
      </c>
      <c r="F36" t="s">
        <v>720</v>
      </c>
      <c r="G36">
        <v>0</v>
      </c>
      <c r="H36" t="str">
        <f t="shared" si="1"/>
        <v>May-2026</v>
      </c>
    </row>
    <row r="37" spans="1:8">
      <c r="A37" t="s">
        <v>70</v>
      </c>
      <c r="B37" t="s">
        <v>71</v>
      </c>
      <c r="C37" t="s">
        <v>346</v>
      </c>
      <c r="D37">
        <v>2026</v>
      </c>
      <c r="E37" t="str">
        <f t="shared" si="0"/>
        <v>Q2</v>
      </c>
      <c r="F37" t="s">
        <v>721</v>
      </c>
      <c r="G37">
        <v>0</v>
      </c>
      <c r="H37" t="str">
        <f t="shared" si="1"/>
        <v>June-2026</v>
      </c>
    </row>
    <row r="38" spans="1:8">
      <c r="A38" t="s">
        <v>70</v>
      </c>
      <c r="B38" t="s">
        <v>75</v>
      </c>
      <c r="C38" t="s">
        <v>138</v>
      </c>
      <c r="D38">
        <v>2025</v>
      </c>
      <c r="E38" t="str">
        <f t="shared" si="0"/>
        <v>Q3</v>
      </c>
      <c r="F38" t="s">
        <v>710</v>
      </c>
      <c r="G38">
        <v>1</v>
      </c>
      <c r="H38" t="str">
        <f t="shared" si="1"/>
        <v>July-2025</v>
      </c>
    </row>
    <row r="39" spans="1:8">
      <c r="A39" t="s">
        <v>70</v>
      </c>
      <c r="B39" t="s">
        <v>75</v>
      </c>
      <c r="C39" t="s">
        <v>138</v>
      </c>
      <c r="D39">
        <v>2025</v>
      </c>
      <c r="E39" t="str">
        <f t="shared" si="0"/>
        <v>Q3</v>
      </c>
      <c r="F39" t="s">
        <v>711</v>
      </c>
      <c r="G39">
        <v>1</v>
      </c>
      <c r="H39" t="str">
        <f t="shared" si="1"/>
        <v>August-2025</v>
      </c>
    </row>
    <row r="40" spans="1:8">
      <c r="A40" t="s">
        <v>70</v>
      </c>
      <c r="B40" t="s">
        <v>75</v>
      </c>
      <c r="C40" t="s">
        <v>138</v>
      </c>
      <c r="D40">
        <v>2025</v>
      </c>
      <c r="E40" t="str">
        <f t="shared" si="0"/>
        <v>Q3</v>
      </c>
      <c r="F40" t="s">
        <v>712</v>
      </c>
      <c r="G40">
        <v>1</v>
      </c>
      <c r="H40" t="str">
        <f t="shared" si="1"/>
        <v>September-2025</v>
      </c>
    </row>
    <row r="41" spans="1:8">
      <c r="A41" t="s">
        <v>70</v>
      </c>
      <c r="B41" t="s">
        <v>75</v>
      </c>
      <c r="C41" t="s">
        <v>138</v>
      </c>
      <c r="D41">
        <v>2025</v>
      </c>
      <c r="E41" t="str">
        <f t="shared" si="0"/>
        <v>Q4</v>
      </c>
      <c r="F41" t="s">
        <v>713</v>
      </c>
      <c r="G41">
        <v>1</v>
      </c>
      <c r="H41" t="str">
        <f t="shared" si="1"/>
        <v>October-2025</v>
      </c>
    </row>
    <row r="42" spans="1:8">
      <c r="A42" t="s">
        <v>70</v>
      </c>
      <c r="B42" t="s">
        <v>75</v>
      </c>
      <c r="C42" t="s">
        <v>138</v>
      </c>
      <c r="D42">
        <v>2025</v>
      </c>
      <c r="E42" t="str">
        <f t="shared" si="0"/>
        <v>Q4</v>
      </c>
      <c r="F42" t="s">
        <v>714</v>
      </c>
      <c r="G42">
        <v>0</v>
      </c>
      <c r="H42" t="str">
        <f t="shared" si="1"/>
        <v>November-2025</v>
      </c>
    </row>
    <row r="43" spans="1:8">
      <c r="A43" t="s">
        <v>70</v>
      </c>
      <c r="B43" t="s">
        <v>75</v>
      </c>
      <c r="C43" t="s">
        <v>138</v>
      </c>
      <c r="D43">
        <v>2025</v>
      </c>
      <c r="E43" t="str">
        <f t="shared" si="0"/>
        <v>Q4</v>
      </c>
      <c r="F43" t="s">
        <v>715</v>
      </c>
      <c r="G43">
        <v>0</v>
      </c>
      <c r="H43" t="str">
        <f t="shared" si="1"/>
        <v>December-2025</v>
      </c>
    </row>
    <row r="44" spans="1:8">
      <c r="A44" t="s">
        <v>70</v>
      </c>
      <c r="B44" t="s">
        <v>75</v>
      </c>
      <c r="C44" t="s">
        <v>138</v>
      </c>
      <c r="D44">
        <v>2026</v>
      </c>
      <c r="E44" t="str">
        <f t="shared" si="0"/>
        <v>Q1</v>
      </c>
      <c r="F44" t="s">
        <v>716</v>
      </c>
      <c r="G44">
        <v>0</v>
      </c>
      <c r="H44" t="str">
        <f t="shared" si="1"/>
        <v>January-2026</v>
      </c>
    </row>
    <row r="45" spans="1:8">
      <c r="A45" t="s">
        <v>70</v>
      </c>
      <c r="B45" t="s">
        <v>75</v>
      </c>
      <c r="C45" t="s">
        <v>138</v>
      </c>
      <c r="D45">
        <v>2026</v>
      </c>
      <c r="E45" t="str">
        <f t="shared" si="0"/>
        <v>Q1</v>
      </c>
      <c r="F45" t="s">
        <v>717</v>
      </c>
      <c r="G45">
        <v>0</v>
      </c>
      <c r="H45" t="str">
        <f t="shared" si="1"/>
        <v>February-2026</v>
      </c>
    </row>
    <row r="46" spans="1:8">
      <c r="A46" t="s">
        <v>70</v>
      </c>
      <c r="B46" t="s">
        <v>75</v>
      </c>
      <c r="C46" t="s">
        <v>138</v>
      </c>
      <c r="D46">
        <v>2026</v>
      </c>
      <c r="E46" t="str">
        <f t="shared" si="0"/>
        <v>Q1</v>
      </c>
      <c r="F46" t="s">
        <v>718</v>
      </c>
      <c r="G46">
        <v>0</v>
      </c>
      <c r="H46" t="str">
        <f t="shared" si="1"/>
        <v>March-2026</v>
      </c>
    </row>
    <row r="47" spans="1:8">
      <c r="A47" t="s">
        <v>70</v>
      </c>
      <c r="B47" t="s">
        <v>75</v>
      </c>
      <c r="C47" t="s">
        <v>138</v>
      </c>
      <c r="D47">
        <v>2026</v>
      </c>
      <c r="E47" t="str">
        <f t="shared" si="0"/>
        <v>Q2</v>
      </c>
      <c r="F47" t="s">
        <v>719</v>
      </c>
      <c r="G47">
        <v>0</v>
      </c>
      <c r="H47" t="str">
        <f t="shared" si="1"/>
        <v>April-2026</v>
      </c>
    </row>
    <row r="48" spans="1:8">
      <c r="A48" t="s">
        <v>70</v>
      </c>
      <c r="B48" t="s">
        <v>75</v>
      </c>
      <c r="C48" t="s">
        <v>138</v>
      </c>
      <c r="D48">
        <v>2026</v>
      </c>
      <c r="E48" t="str">
        <f t="shared" si="0"/>
        <v>Q2</v>
      </c>
      <c r="F48" t="s">
        <v>720</v>
      </c>
      <c r="G48">
        <v>0</v>
      </c>
      <c r="H48" t="str">
        <f t="shared" si="1"/>
        <v>May-2026</v>
      </c>
    </row>
    <row r="49" spans="1:8">
      <c r="A49" t="s">
        <v>70</v>
      </c>
      <c r="B49" t="s">
        <v>75</v>
      </c>
      <c r="C49" t="s">
        <v>138</v>
      </c>
      <c r="D49">
        <v>2026</v>
      </c>
      <c r="E49" t="str">
        <f t="shared" si="0"/>
        <v>Q2</v>
      </c>
      <c r="F49" t="s">
        <v>721</v>
      </c>
      <c r="G49">
        <v>0</v>
      </c>
      <c r="H49" t="str">
        <f t="shared" si="1"/>
        <v>June-2026</v>
      </c>
    </row>
    <row r="50" spans="1:8">
      <c r="A50" t="s">
        <v>70</v>
      </c>
      <c r="B50" t="s">
        <v>75</v>
      </c>
      <c r="C50" t="s">
        <v>172</v>
      </c>
      <c r="D50">
        <v>2025</v>
      </c>
      <c r="E50" t="str">
        <f t="shared" si="0"/>
        <v>Q3</v>
      </c>
      <c r="F50" t="s">
        <v>710</v>
      </c>
      <c r="G50">
        <v>0</v>
      </c>
      <c r="H50" t="str">
        <f t="shared" si="1"/>
        <v>July-2025</v>
      </c>
    </row>
    <row r="51" spans="1:8">
      <c r="A51" t="s">
        <v>70</v>
      </c>
      <c r="B51" t="s">
        <v>75</v>
      </c>
      <c r="C51" t="s">
        <v>172</v>
      </c>
      <c r="D51">
        <v>2025</v>
      </c>
      <c r="E51" t="str">
        <f t="shared" si="0"/>
        <v>Q3</v>
      </c>
      <c r="F51" t="s">
        <v>711</v>
      </c>
      <c r="G51">
        <v>0</v>
      </c>
      <c r="H51" t="str">
        <f t="shared" si="1"/>
        <v>August-2025</v>
      </c>
    </row>
    <row r="52" spans="1:8">
      <c r="A52" t="s">
        <v>70</v>
      </c>
      <c r="B52" t="s">
        <v>75</v>
      </c>
      <c r="C52" t="s">
        <v>172</v>
      </c>
      <c r="D52">
        <v>2025</v>
      </c>
      <c r="E52" t="str">
        <f t="shared" si="0"/>
        <v>Q3</v>
      </c>
      <c r="F52" t="s">
        <v>712</v>
      </c>
      <c r="G52">
        <v>0</v>
      </c>
      <c r="H52" t="str">
        <f t="shared" si="1"/>
        <v>September-2025</v>
      </c>
    </row>
    <row r="53" spans="1:8">
      <c r="A53" t="s">
        <v>70</v>
      </c>
      <c r="B53" t="s">
        <v>75</v>
      </c>
      <c r="C53" t="s">
        <v>172</v>
      </c>
      <c r="D53">
        <v>2025</v>
      </c>
      <c r="E53" t="str">
        <f t="shared" si="0"/>
        <v>Q4</v>
      </c>
      <c r="F53" t="s">
        <v>713</v>
      </c>
      <c r="G53">
        <v>0</v>
      </c>
      <c r="H53" t="str">
        <f t="shared" si="1"/>
        <v>October-2025</v>
      </c>
    </row>
    <row r="54" spans="1:8">
      <c r="A54" t="s">
        <v>70</v>
      </c>
      <c r="B54" t="s">
        <v>75</v>
      </c>
      <c r="C54" t="s">
        <v>172</v>
      </c>
      <c r="D54">
        <v>2025</v>
      </c>
      <c r="E54" t="str">
        <f t="shared" si="0"/>
        <v>Q4</v>
      </c>
      <c r="F54" t="s">
        <v>714</v>
      </c>
      <c r="G54">
        <v>0</v>
      </c>
      <c r="H54" t="str">
        <f t="shared" si="1"/>
        <v>November-2025</v>
      </c>
    </row>
    <row r="55" spans="1:8">
      <c r="A55" t="s">
        <v>70</v>
      </c>
      <c r="B55" t="s">
        <v>75</v>
      </c>
      <c r="C55" t="s">
        <v>172</v>
      </c>
      <c r="D55">
        <v>2025</v>
      </c>
      <c r="E55" t="str">
        <f t="shared" si="0"/>
        <v>Q4</v>
      </c>
      <c r="F55" t="s">
        <v>715</v>
      </c>
      <c r="G55">
        <v>0</v>
      </c>
      <c r="H55" t="str">
        <f t="shared" si="1"/>
        <v>December-2025</v>
      </c>
    </row>
    <row r="56" spans="1:8">
      <c r="A56" t="s">
        <v>70</v>
      </c>
      <c r="B56" t="s">
        <v>75</v>
      </c>
      <c r="C56" t="s">
        <v>172</v>
      </c>
      <c r="D56">
        <v>2026</v>
      </c>
      <c r="E56" t="str">
        <f t="shared" si="0"/>
        <v>Q1</v>
      </c>
      <c r="F56" t="s">
        <v>716</v>
      </c>
      <c r="G56">
        <v>0</v>
      </c>
      <c r="H56" t="str">
        <f t="shared" si="1"/>
        <v>January-2026</v>
      </c>
    </row>
    <row r="57" spans="1:8">
      <c r="A57" t="s">
        <v>70</v>
      </c>
      <c r="B57" t="s">
        <v>75</v>
      </c>
      <c r="C57" t="s">
        <v>172</v>
      </c>
      <c r="D57">
        <v>2026</v>
      </c>
      <c r="E57" t="str">
        <f t="shared" si="0"/>
        <v>Q1</v>
      </c>
      <c r="F57" t="s">
        <v>717</v>
      </c>
      <c r="G57">
        <v>0</v>
      </c>
      <c r="H57" t="str">
        <f t="shared" si="1"/>
        <v>February-2026</v>
      </c>
    </row>
    <row r="58" spans="1:8">
      <c r="A58" t="s">
        <v>70</v>
      </c>
      <c r="B58" t="s">
        <v>75</v>
      </c>
      <c r="C58" t="s">
        <v>172</v>
      </c>
      <c r="D58">
        <v>2026</v>
      </c>
      <c r="E58" t="str">
        <f t="shared" si="0"/>
        <v>Q1</v>
      </c>
      <c r="F58" t="s">
        <v>718</v>
      </c>
      <c r="G58">
        <v>0</v>
      </c>
      <c r="H58" t="str">
        <f t="shared" si="1"/>
        <v>March-2026</v>
      </c>
    </row>
    <row r="59" spans="1:8">
      <c r="A59" t="s">
        <v>70</v>
      </c>
      <c r="B59" t="s">
        <v>75</v>
      </c>
      <c r="C59" t="s">
        <v>172</v>
      </c>
      <c r="D59">
        <v>2026</v>
      </c>
      <c r="E59" t="str">
        <f t="shared" si="0"/>
        <v>Q2</v>
      </c>
      <c r="F59" t="s">
        <v>719</v>
      </c>
      <c r="G59">
        <v>0</v>
      </c>
      <c r="H59" t="str">
        <f t="shared" si="1"/>
        <v>April-2026</v>
      </c>
    </row>
    <row r="60" spans="1:8">
      <c r="A60" t="s">
        <v>70</v>
      </c>
      <c r="B60" t="s">
        <v>75</v>
      </c>
      <c r="C60" t="s">
        <v>172</v>
      </c>
      <c r="D60">
        <v>2026</v>
      </c>
      <c r="E60" t="str">
        <f t="shared" si="0"/>
        <v>Q2</v>
      </c>
      <c r="F60" t="s">
        <v>720</v>
      </c>
      <c r="G60">
        <v>0</v>
      </c>
      <c r="H60" t="str">
        <f t="shared" si="1"/>
        <v>May-2026</v>
      </c>
    </row>
    <row r="61" spans="1:8">
      <c r="A61" t="s">
        <v>70</v>
      </c>
      <c r="B61" t="s">
        <v>75</v>
      </c>
      <c r="C61" t="s">
        <v>172</v>
      </c>
      <c r="D61">
        <v>2026</v>
      </c>
      <c r="E61" t="str">
        <f t="shared" si="0"/>
        <v>Q2</v>
      </c>
      <c r="F61" t="s">
        <v>721</v>
      </c>
      <c r="G61">
        <v>0</v>
      </c>
      <c r="H61" t="str">
        <f t="shared" si="1"/>
        <v>June-2026</v>
      </c>
    </row>
    <row r="62" spans="1:8">
      <c r="A62" t="s">
        <v>70</v>
      </c>
      <c r="B62" t="s">
        <v>164</v>
      </c>
      <c r="C62" t="s">
        <v>138</v>
      </c>
      <c r="D62">
        <v>2025</v>
      </c>
      <c r="E62" t="str">
        <f t="shared" si="0"/>
        <v>Q3</v>
      </c>
      <c r="F62" t="s">
        <v>710</v>
      </c>
      <c r="G62">
        <v>0</v>
      </c>
      <c r="H62" t="str">
        <f t="shared" si="1"/>
        <v>July-2025</v>
      </c>
    </row>
    <row r="63" spans="1:8">
      <c r="A63" t="s">
        <v>70</v>
      </c>
      <c r="B63" t="s">
        <v>164</v>
      </c>
      <c r="C63" t="s">
        <v>138</v>
      </c>
      <c r="D63">
        <v>2025</v>
      </c>
      <c r="E63" t="str">
        <f t="shared" si="0"/>
        <v>Q3</v>
      </c>
      <c r="F63" t="s">
        <v>711</v>
      </c>
      <c r="G63">
        <v>0</v>
      </c>
      <c r="H63" t="str">
        <f t="shared" si="1"/>
        <v>August-2025</v>
      </c>
    </row>
    <row r="64" spans="1:8">
      <c r="A64" t="s">
        <v>70</v>
      </c>
      <c r="B64" t="s">
        <v>164</v>
      </c>
      <c r="C64" t="s">
        <v>138</v>
      </c>
      <c r="D64">
        <v>2025</v>
      </c>
      <c r="E64" t="str">
        <f t="shared" si="0"/>
        <v>Q3</v>
      </c>
      <c r="F64" t="s">
        <v>712</v>
      </c>
      <c r="G64">
        <v>0</v>
      </c>
      <c r="H64" t="str">
        <f t="shared" si="1"/>
        <v>September-2025</v>
      </c>
    </row>
    <row r="65" spans="1:8">
      <c r="A65" t="s">
        <v>70</v>
      </c>
      <c r="B65" t="s">
        <v>164</v>
      </c>
      <c r="C65" t="s">
        <v>138</v>
      </c>
      <c r="D65">
        <v>2025</v>
      </c>
      <c r="E65" t="str">
        <f t="shared" si="0"/>
        <v>Q4</v>
      </c>
      <c r="F65" t="s">
        <v>713</v>
      </c>
      <c r="G65">
        <v>0</v>
      </c>
      <c r="H65" t="str">
        <f t="shared" si="1"/>
        <v>October-2025</v>
      </c>
    </row>
    <row r="66" spans="1:8">
      <c r="A66" t="s">
        <v>70</v>
      </c>
      <c r="B66" t="s">
        <v>164</v>
      </c>
      <c r="C66" t="s">
        <v>138</v>
      </c>
      <c r="D66">
        <v>2025</v>
      </c>
      <c r="E66" t="str">
        <f t="shared" si="0"/>
        <v>Q4</v>
      </c>
      <c r="F66" t="s">
        <v>714</v>
      </c>
      <c r="G66">
        <v>0</v>
      </c>
      <c r="H66" t="str">
        <f t="shared" si="1"/>
        <v>November-2025</v>
      </c>
    </row>
    <row r="67" spans="1:8">
      <c r="A67" t="s">
        <v>70</v>
      </c>
      <c r="B67" t="s">
        <v>164</v>
      </c>
      <c r="C67" t="s">
        <v>138</v>
      </c>
      <c r="D67">
        <v>2025</v>
      </c>
      <c r="E67" t="str">
        <f t="shared" ref="E67:E130" si="2">"Q"&amp;ROUNDUP(MONTH(DATEVALUE(F67&amp;" 1"))/3,0)</f>
        <v>Q4</v>
      </c>
      <c r="F67" t="s">
        <v>715</v>
      </c>
      <c r="G67">
        <v>0</v>
      </c>
      <c r="H67" t="str">
        <f t="shared" ref="H67:H130" si="3">_xlfn.CONCAT(F67,"-",D67)</f>
        <v>December-2025</v>
      </c>
    </row>
    <row r="68" spans="1:8">
      <c r="A68" t="s">
        <v>70</v>
      </c>
      <c r="B68" t="s">
        <v>164</v>
      </c>
      <c r="C68" t="s">
        <v>138</v>
      </c>
      <c r="D68">
        <v>2026</v>
      </c>
      <c r="E68" t="str">
        <f t="shared" si="2"/>
        <v>Q1</v>
      </c>
      <c r="F68" t="s">
        <v>716</v>
      </c>
      <c r="G68">
        <v>0</v>
      </c>
      <c r="H68" t="str">
        <f t="shared" si="3"/>
        <v>January-2026</v>
      </c>
    </row>
    <row r="69" spans="1:8">
      <c r="A69" t="s">
        <v>70</v>
      </c>
      <c r="B69" t="s">
        <v>164</v>
      </c>
      <c r="C69" t="s">
        <v>138</v>
      </c>
      <c r="D69">
        <v>2026</v>
      </c>
      <c r="E69" t="str">
        <f t="shared" si="2"/>
        <v>Q1</v>
      </c>
      <c r="F69" t="s">
        <v>717</v>
      </c>
      <c r="G69">
        <v>0</v>
      </c>
      <c r="H69" t="str">
        <f t="shared" si="3"/>
        <v>February-2026</v>
      </c>
    </row>
    <row r="70" spans="1:8">
      <c r="A70" t="s">
        <v>70</v>
      </c>
      <c r="B70" t="s">
        <v>164</v>
      </c>
      <c r="C70" t="s">
        <v>138</v>
      </c>
      <c r="D70">
        <v>2026</v>
      </c>
      <c r="E70" t="str">
        <f t="shared" si="2"/>
        <v>Q1</v>
      </c>
      <c r="F70" t="s">
        <v>718</v>
      </c>
      <c r="G70">
        <v>0</v>
      </c>
      <c r="H70" t="str">
        <f t="shared" si="3"/>
        <v>March-2026</v>
      </c>
    </row>
    <row r="71" spans="1:8">
      <c r="A71" t="s">
        <v>70</v>
      </c>
      <c r="B71" t="s">
        <v>164</v>
      </c>
      <c r="C71" t="s">
        <v>138</v>
      </c>
      <c r="D71">
        <v>2026</v>
      </c>
      <c r="E71" t="str">
        <f t="shared" si="2"/>
        <v>Q2</v>
      </c>
      <c r="F71" t="s">
        <v>719</v>
      </c>
      <c r="G71">
        <v>0</v>
      </c>
      <c r="H71" t="str">
        <f t="shared" si="3"/>
        <v>April-2026</v>
      </c>
    </row>
    <row r="72" spans="1:8">
      <c r="A72" t="s">
        <v>70</v>
      </c>
      <c r="B72" t="s">
        <v>164</v>
      </c>
      <c r="C72" t="s">
        <v>138</v>
      </c>
      <c r="D72">
        <v>2026</v>
      </c>
      <c r="E72" t="str">
        <f t="shared" si="2"/>
        <v>Q2</v>
      </c>
      <c r="F72" t="s">
        <v>720</v>
      </c>
      <c r="G72">
        <v>0</v>
      </c>
      <c r="H72" t="str">
        <f t="shared" si="3"/>
        <v>May-2026</v>
      </c>
    </row>
    <row r="73" spans="1:8">
      <c r="A73" t="s">
        <v>70</v>
      </c>
      <c r="B73" t="s">
        <v>164</v>
      </c>
      <c r="C73" t="s">
        <v>138</v>
      </c>
      <c r="D73">
        <v>2026</v>
      </c>
      <c r="E73" t="str">
        <f t="shared" si="2"/>
        <v>Q2</v>
      </c>
      <c r="F73" t="s">
        <v>721</v>
      </c>
      <c r="G73">
        <v>0</v>
      </c>
      <c r="H73" t="str">
        <f t="shared" si="3"/>
        <v>June-2026</v>
      </c>
    </row>
    <row r="74" spans="1:8">
      <c r="A74" t="s">
        <v>70</v>
      </c>
      <c r="B74" t="s">
        <v>164</v>
      </c>
      <c r="C74" t="s">
        <v>289</v>
      </c>
      <c r="D74">
        <v>2025</v>
      </c>
      <c r="E74" t="str">
        <f t="shared" si="2"/>
        <v>Q3</v>
      </c>
      <c r="F74" t="s">
        <v>710</v>
      </c>
      <c r="G74">
        <v>0</v>
      </c>
      <c r="H74" t="str">
        <f t="shared" si="3"/>
        <v>July-2025</v>
      </c>
    </row>
    <row r="75" spans="1:8">
      <c r="A75" t="s">
        <v>70</v>
      </c>
      <c r="B75" t="s">
        <v>164</v>
      </c>
      <c r="C75" t="s">
        <v>289</v>
      </c>
      <c r="D75">
        <v>2025</v>
      </c>
      <c r="E75" t="str">
        <f t="shared" si="2"/>
        <v>Q3</v>
      </c>
      <c r="F75" t="s">
        <v>711</v>
      </c>
      <c r="G75">
        <v>0</v>
      </c>
      <c r="H75" t="str">
        <f t="shared" si="3"/>
        <v>August-2025</v>
      </c>
    </row>
    <row r="76" spans="1:8">
      <c r="A76" t="s">
        <v>70</v>
      </c>
      <c r="B76" t="s">
        <v>164</v>
      </c>
      <c r="C76" t="s">
        <v>289</v>
      </c>
      <c r="D76">
        <v>2025</v>
      </c>
      <c r="E76" t="str">
        <f t="shared" si="2"/>
        <v>Q3</v>
      </c>
      <c r="F76" t="s">
        <v>712</v>
      </c>
      <c r="G76">
        <v>0</v>
      </c>
      <c r="H76" t="str">
        <f t="shared" si="3"/>
        <v>September-2025</v>
      </c>
    </row>
    <row r="77" spans="1:8">
      <c r="A77" t="s">
        <v>70</v>
      </c>
      <c r="B77" t="s">
        <v>164</v>
      </c>
      <c r="C77" t="s">
        <v>289</v>
      </c>
      <c r="D77">
        <v>2025</v>
      </c>
      <c r="E77" t="str">
        <f t="shared" si="2"/>
        <v>Q4</v>
      </c>
      <c r="F77" t="s">
        <v>713</v>
      </c>
      <c r="G77">
        <v>0</v>
      </c>
      <c r="H77" t="str">
        <f t="shared" si="3"/>
        <v>October-2025</v>
      </c>
    </row>
    <row r="78" spans="1:8">
      <c r="A78" t="s">
        <v>70</v>
      </c>
      <c r="B78" t="s">
        <v>164</v>
      </c>
      <c r="C78" t="s">
        <v>289</v>
      </c>
      <c r="D78">
        <v>2025</v>
      </c>
      <c r="E78" t="str">
        <f t="shared" si="2"/>
        <v>Q4</v>
      </c>
      <c r="F78" t="s">
        <v>714</v>
      </c>
      <c r="G78">
        <v>0</v>
      </c>
      <c r="H78" t="str">
        <f t="shared" si="3"/>
        <v>November-2025</v>
      </c>
    </row>
    <row r="79" spans="1:8">
      <c r="A79" t="s">
        <v>70</v>
      </c>
      <c r="B79" t="s">
        <v>164</v>
      </c>
      <c r="C79" t="s">
        <v>289</v>
      </c>
      <c r="D79">
        <v>2025</v>
      </c>
      <c r="E79" t="str">
        <f t="shared" si="2"/>
        <v>Q4</v>
      </c>
      <c r="F79" t="s">
        <v>715</v>
      </c>
      <c r="G79">
        <v>0</v>
      </c>
      <c r="H79" t="str">
        <f t="shared" si="3"/>
        <v>December-2025</v>
      </c>
    </row>
    <row r="80" spans="1:8">
      <c r="A80" t="s">
        <v>70</v>
      </c>
      <c r="B80" t="s">
        <v>164</v>
      </c>
      <c r="C80" t="s">
        <v>289</v>
      </c>
      <c r="D80">
        <v>2026</v>
      </c>
      <c r="E80" t="str">
        <f t="shared" si="2"/>
        <v>Q1</v>
      </c>
      <c r="F80" t="s">
        <v>716</v>
      </c>
      <c r="G80">
        <v>0</v>
      </c>
      <c r="H80" t="str">
        <f t="shared" si="3"/>
        <v>January-2026</v>
      </c>
    </row>
    <row r="81" spans="1:8">
      <c r="A81" t="s">
        <v>70</v>
      </c>
      <c r="B81" t="s">
        <v>164</v>
      </c>
      <c r="C81" t="s">
        <v>289</v>
      </c>
      <c r="D81">
        <v>2026</v>
      </c>
      <c r="E81" t="str">
        <f t="shared" si="2"/>
        <v>Q1</v>
      </c>
      <c r="F81" t="s">
        <v>717</v>
      </c>
      <c r="G81">
        <v>0</v>
      </c>
      <c r="H81" t="str">
        <f t="shared" si="3"/>
        <v>February-2026</v>
      </c>
    </row>
    <row r="82" spans="1:8">
      <c r="A82" t="s">
        <v>70</v>
      </c>
      <c r="B82" t="s">
        <v>164</v>
      </c>
      <c r="C82" t="s">
        <v>289</v>
      </c>
      <c r="D82">
        <v>2026</v>
      </c>
      <c r="E82" t="str">
        <f t="shared" si="2"/>
        <v>Q1</v>
      </c>
      <c r="F82" t="s">
        <v>718</v>
      </c>
      <c r="G82">
        <v>0</v>
      </c>
      <c r="H82" t="str">
        <f t="shared" si="3"/>
        <v>March-2026</v>
      </c>
    </row>
    <row r="83" spans="1:8">
      <c r="A83" t="s">
        <v>70</v>
      </c>
      <c r="B83" t="s">
        <v>164</v>
      </c>
      <c r="C83" t="s">
        <v>289</v>
      </c>
      <c r="D83">
        <v>2026</v>
      </c>
      <c r="E83" t="str">
        <f t="shared" si="2"/>
        <v>Q2</v>
      </c>
      <c r="F83" t="s">
        <v>719</v>
      </c>
      <c r="G83">
        <v>0</v>
      </c>
      <c r="H83" t="str">
        <f t="shared" si="3"/>
        <v>April-2026</v>
      </c>
    </row>
    <row r="84" spans="1:8">
      <c r="A84" t="s">
        <v>70</v>
      </c>
      <c r="B84" t="s">
        <v>164</v>
      </c>
      <c r="C84" t="s">
        <v>289</v>
      </c>
      <c r="D84">
        <v>2026</v>
      </c>
      <c r="E84" t="str">
        <f t="shared" si="2"/>
        <v>Q2</v>
      </c>
      <c r="F84" t="s">
        <v>720</v>
      </c>
      <c r="G84">
        <v>0</v>
      </c>
      <c r="H84" t="str">
        <f t="shared" si="3"/>
        <v>May-2026</v>
      </c>
    </row>
    <row r="85" spans="1:8">
      <c r="A85" t="s">
        <v>70</v>
      </c>
      <c r="B85" t="s">
        <v>164</v>
      </c>
      <c r="C85" t="s">
        <v>289</v>
      </c>
      <c r="D85">
        <v>2026</v>
      </c>
      <c r="E85" t="str">
        <f t="shared" si="2"/>
        <v>Q2</v>
      </c>
      <c r="F85" t="s">
        <v>721</v>
      </c>
      <c r="G85">
        <v>0</v>
      </c>
      <c r="H85" t="str">
        <f t="shared" si="3"/>
        <v>June-2026</v>
      </c>
    </row>
    <row r="86" spans="1:8">
      <c r="A86" t="s">
        <v>70</v>
      </c>
      <c r="B86" t="s">
        <v>164</v>
      </c>
      <c r="C86" t="s">
        <v>172</v>
      </c>
      <c r="D86">
        <v>2025</v>
      </c>
      <c r="E86" t="str">
        <f t="shared" si="2"/>
        <v>Q3</v>
      </c>
      <c r="F86" t="s">
        <v>710</v>
      </c>
      <c r="G86">
        <v>0</v>
      </c>
      <c r="H86" t="str">
        <f t="shared" si="3"/>
        <v>July-2025</v>
      </c>
    </row>
    <row r="87" spans="1:8">
      <c r="A87" t="s">
        <v>70</v>
      </c>
      <c r="B87" t="s">
        <v>164</v>
      </c>
      <c r="C87" t="s">
        <v>172</v>
      </c>
      <c r="D87">
        <v>2025</v>
      </c>
      <c r="E87" t="str">
        <f t="shared" si="2"/>
        <v>Q3</v>
      </c>
      <c r="F87" t="s">
        <v>711</v>
      </c>
      <c r="G87">
        <v>0</v>
      </c>
      <c r="H87" t="str">
        <f t="shared" si="3"/>
        <v>August-2025</v>
      </c>
    </row>
    <row r="88" spans="1:8">
      <c r="A88" t="s">
        <v>70</v>
      </c>
      <c r="B88" t="s">
        <v>164</v>
      </c>
      <c r="C88" t="s">
        <v>172</v>
      </c>
      <c r="D88">
        <v>2025</v>
      </c>
      <c r="E88" t="str">
        <f t="shared" si="2"/>
        <v>Q3</v>
      </c>
      <c r="F88" t="s">
        <v>712</v>
      </c>
      <c r="G88">
        <v>0</v>
      </c>
      <c r="H88" t="str">
        <f t="shared" si="3"/>
        <v>September-2025</v>
      </c>
    </row>
    <row r="89" spans="1:8">
      <c r="A89" t="s">
        <v>70</v>
      </c>
      <c r="B89" t="s">
        <v>164</v>
      </c>
      <c r="C89" t="s">
        <v>172</v>
      </c>
      <c r="D89">
        <v>2025</v>
      </c>
      <c r="E89" t="str">
        <f t="shared" si="2"/>
        <v>Q4</v>
      </c>
      <c r="F89" t="s">
        <v>713</v>
      </c>
      <c r="G89">
        <v>0</v>
      </c>
      <c r="H89" t="str">
        <f t="shared" si="3"/>
        <v>October-2025</v>
      </c>
    </row>
    <row r="90" spans="1:8">
      <c r="A90" t="s">
        <v>70</v>
      </c>
      <c r="B90" t="s">
        <v>164</v>
      </c>
      <c r="C90" t="s">
        <v>172</v>
      </c>
      <c r="D90">
        <v>2025</v>
      </c>
      <c r="E90" t="str">
        <f t="shared" si="2"/>
        <v>Q4</v>
      </c>
      <c r="F90" t="s">
        <v>714</v>
      </c>
      <c r="G90">
        <v>0</v>
      </c>
      <c r="H90" t="str">
        <f t="shared" si="3"/>
        <v>November-2025</v>
      </c>
    </row>
    <row r="91" spans="1:8">
      <c r="A91" t="s">
        <v>70</v>
      </c>
      <c r="B91" t="s">
        <v>164</v>
      </c>
      <c r="C91" t="s">
        <v>172</v>
      </c>
      <c r="D91">
        <v>2025</v>
      </c>
      <c r="E91" t="str">
        <f t="shared" si="2"/>
        <v>Q4</v>
      </c>
      <c r="F91" t="s">
        <v>715</v>
      </c>
      <c r="G91">
        <v>0</v>
      </c>
      <c r="H91" t="str">
        <f t="shared" si="3"/>
        <v>December-2025</v>
      </c>
    </row>
    <row r="92" spans="1:8">
      <c r="A92" t="s">
        <v>70</v>
      </c>
      <c r="B92" t="s">
        <v>164</v>
      </c>
      <c r="C92" t="s">
        <v>172</v>
      </c>
      <c r="D92">
        <v>2026</v>
      </c>
      <c r="E92" t="str">
        <f t="shared" si="2"/>
        <v>Q1</v>
      </c>
      <c r="F92" t="s">
        <v>716</v>
      </c>
      <c r="G92">
        <v>0</v>
      </c>
      <c r="H92" t="str">
        <f t="shared" si="3"/>
        <v>January-2026</v>
      </c>
    </row>
    <row r="93" spans="1:8">
      <c r="A93" t="s">
        <v>70</v>
      </c>
      <c r="B93" t="s">
        <v>164</v>
      </c>
      <c r="C93" t="s">
        <v>172</v>
      </c>
      <c r="D93">
        <v>2026</v>
      </c>
      <c r="E93" t="str">
        <f t="shared" si="2"/>
        <v>Q1</v>
      </c>
      <c r="F93" t="s">
        <v>717</v>
      </c>
      <c r="G93">
        <v>0</v>
      </c>
      <c r="H93" t="str">
        <f t="shared" si="3"/>
        <v>February-2026</v>
      </c>
    </row>
    <row r="94" spans="1:8">
      <c r="A94" t="s">
        <v>70</v>
      </c>
      <c r="B94" t="s">
        <v>164</v>
      </c>
      <c r="C94" t="s">
        <v>172</v>
      </c>
      <c r="D94">
        <v>2026</v>
      </c>
      <c r="E94" t="str">
        <f t="shared" si="2"/>
        <v>Q1</v>
      </c>
      <c r="F94" t="s">
        <v>718</v>
      </c>
      <c r="G94">
        <v>0</v>
      </c>
      <c r="H94" t="str">
        <f t="shared" si="3"/>
        <v>March-2026</v>
      </c>
    </row>
    <row r="95" spans="1:8">
      <c r="A95" t="s">
        <v>70</v>
      </c>
      <c r="B95" t="s">
        <v>164</v>
      </c>
      <c r="C95" t="s">
        <v>172</v>
      </c>
      <c r="D95">
        <v>2026</v>
      </c>
      <c r="E95" t="str">
        <f t="shared" si="2"/>
        <v>Q2</v>
      </c>
      <c r="F95" t="s">
        <v>719</v>
      </c>
      <c r="G95">
        <v>0</v>
      </c>
      <c r="H95" t="str">
        <f t="shared" si="3"/>
        <v>April-2026</v>
      </c>
    </row>
    <row r="96" spans="1:8">
      <c r="A96" t="s">
        <v>70</v>
      </c>
      <c r="B96" t="s">
        <v>164</v>
      </c>
      <c r="C96" t="s">
        <v>172</v>
      </c>
      <c r="D96">
        <v>2026</v>
      </c>
      <c r="E96" t="str">
        <f t="shared" si="2"/>
        <v>Q2</v>
      </c>
      <c r="F96" t="s">
        <v>720</v>
      </c>
      <c r="G96">
        <v>0</v>
      </c>
      <c r="H96" t="str">
        <f t="shared" si="3"/>
        <v>May-2026</v>
      </c>
    </row>
    <row r="97" spans="1:8">
      <c r="A97" t="s">
        <v>70</v>
      </c>
      <c r="B97" t="s">
        <v>164</v>
      </c>
      <c r="C97" t="s">
        <v>172</v>
      </c>
      <c r="D97">
        <v>2026</v>
      </c>
      <c r="E97" t="str">
        <f t="shared" si="2"/>
        <v>Q2</v>
      </c>
      <c r="F97" t="s">
        <v>721</v>
      </c>
      <c r="G97">
        <v>0</v>
      </c>
      <c r="H97" t="str">
        <f t="shared" si="3"/>
        <v>June-2026</v>
      </c>
    </row>
    <row r="98" spans="1:8">
      <c r="A98" t="s">
        <v>70</v>
      </c>
      <c r="B98" t="s">
        <v>164</v>
      </c>
      <c r="C98" t="s">
        <v>219</v>
      </c>
      <c r="D98">
        <v>2025</v>
      </c>
      <c r="E98" t="str">
        <f t="shared" si="2"/>
        <v>Q3</v>
      </c>
      <c r="F98" t="s">
        <v>710</v>
      </c>
      <c r="G98">
        <v>0</v>
      </c>
      <c r="H98" t="str">
        <f t="shared" si="3"/>
        <v>July-2025</v>
      </c>
    </row>
    <row r="99" spans="1:8">
      <c r="A99" t="s">
        <v>70</v>
      </c>
      <c r="B99" t="s">
        <v>164</v>
      </c>
      <c r="C99" t="s">
        <v>219</v>
      </c>
      <c r="D99">
        <v>2025</v>
      </c>
      <c r="E99" t="str">
        <f t="shared" si="2"/>
        <v>Q3</v>
      </c>
      <c r="F99" t="s">
        <v>711</v>
      </c>
      <c r="G99">
        <v>0</v>
      </c>
      <c r="H99" t="str">
        <f t="shared" si="3"/>
        <v>August-2025</v>
      </c>
    </row>
    <row r="100" spans="1:8">
      <c r="A100" t="s">
        <v>70</v>
      </c>
      <c r="B100" t="s">
        <v>164</v>
      </c>
      <c r="C100" t="s">
        <v>219</v>
      </c>
      <c r="D100">
        <v>2025</v>
      </c>
      <c r="E100" t="str">
        <f t="shared" si="2"/>
        <v>Q3</v>
      </c>
      <c r="F100" t="s">
        <v>712</v>
      </c>
      <c r="G100">
        <v>0</v>
      </c>
      <c r="H100" t="str">
        <f t="shared" si="3"/>
        <v>September-2025</v>
      </c>
    </row>
    <row r="101" spans="1:8">
      <c r="A101" t="s">
        <v>70</v>
      </c>
      <c r="B101" t="s">
        <v>164</v>
      </c>
      <c r="C101" t="s">
        <v>219</v>
      </c>
      <c r="D101">
        <v>2025</v>
      </c>
      <c r="E101" t="str">
        <f t="shared" si="2"/>
        <v>Q4</v>
      </c>
      <c r="F101" t="s">
        <v>713</v>
      </c>
      <c r="G101">
        <v>0</v>
      </c>
      <c r="H101" t="str">
        <f t="shared" si="3"/>
        <v>October-2025</v>
      </c>
    </row>
    <row r="102" spans="1:8">
      <c r="A102" t="s">
        <v>70</v>
      </c>
      <c r="B102" t="s">
        <v>164</v>
      </c>
      <c r="C102" t="s">
        <v>219</v>
      </c>
      <c r="D102">
        <v>2025</v>
      </c>
      <c r="E102" t="str">
        <f t="shared" si="2"/>
        <v>Q4</v>
      </c>
      <c r="F102" t="s">
        <v>714</v>
      </c>
      <c r="G102">
        <v>0</v>
      </c>
      <c r="H102" t="str">
        <f t="shared" si="3"/>
        <v>November-2025</v>
      </c>
    </row>
    <row r="103" spans="1:8">
      <c r="A103" t="s">
        <v>70</v>
      </c>
      <c r="B103" t="s">
        <v>164</v>
      </c>
      <c r="C103" t="s">
        <v>219</v>
      </c>
      <c r="D103">
        <v>2025</v>
      </c>
      <c r="E103" t="str">
        <f t="shared" si="2"/>
        <v>Q4</v>
      </c>
      <c r="F103" t="s">
        <v>715</v>
      </c>
      <c r="G103">
        <v>0</v>
      </c>
      <c r="H103" t="str">
        <f t="shared" si="3"/>
        <v>December-2025</v>
      </c>
    </row>
    <row r="104" spans="1:8">
      <c r="A104" t="s">
        <v>70</v>
      </c>
      <c r="B104" t="s">
        <v>164</v>
      </c>
      <c r="C104" t="s">
        <v>219</v>
      </c>
      <c r="D104">
        <v>2026</v>
      </c>
      <c r="E104" t="str">
        <f t="shared" si="2"/>
        <v>Q1</v>
      </c>
      <c r="F104" t="s">
        <v>716</v>
      </c>
      <c r="G104">
        <v>0</v>
      </c>
      <c r="H104" t="str">
        <f t="shared" si="3"/>
        <v>January-2026</v>
      </c>
    </row>
    <row r="105" spans="1:8">
      <c r="A105" t="s">
        <v>70</v>
      </c>
      <c r="B105" t="s">
        <v>164</v>
      </c>
      <c r="C105" t="s">
        <v>219</v>
      </c>
      <c r="D105">
        <v>2026</v>
      </c>
      <c r="E105" t="str">
        <f t="shared" si="2"/>
        <v>Q1</v>
      </c>
      <c r="F105" t="s">
        <v>717</v>
      </c>
      <c r="G105">
        <v>0</v>
      </c>
      <c r="H105" t="str">
        <f t="shared" si="3"/>
        <v>February-2026</v>
      </c>
    </row>
    <row r="106" spans="1:8">
      <c r="A106" t="s">
        <v>70</v>
      </c>
      <c r="B106" t="s">
        <v>164</v>
      </c>
      <c r="C106" t="s">
        <v>219</v>
      </c>
      <c r="D106">
        <v>2026</v>
      </c>
      <c r="E106" t="str">
        <f t="shared" si="2"/>
        <v>Q1</v>
      </c>
      <c r="F106" t="s">
        <v>718</v>
      </c>
      <c r="G106">
        <v>0</v>
      </c>
      <c r="H106" t="str">
        <f t="shared" si="3"/>
        <v>March-2026</v>
      </c>
    </row>
    <row r="107" spans="1:8">
      <c r="A107" t="s">
        <v>70</v>
      </c>
      <c r="B107" t="s">
        <v>164</v>
      </c>
      <c r="C107" t="s">
        <v>219</v>
      </c>
      <c r="D107">
        <v>2026</v>
      </c>
      <c r="E107" t="str">
        <f t="shared" si="2"/>
        <v>Q2</v>
      </c>
      <c r="F107" t="s">
        <v>719</v>
      </c>
      <c r="G107">
        <v>0</v>
      </c>
      <c r="H107" t="str">
        <f t="shared" si="3"/>
        <v>April-2026</v>
      </c>
    </row>
    <row r="108" spans="1:8">
      <c r="A108" t="s">
        <v>70</v>
      </c>
      <c r="B108" t="s">
        <v>164</v>
      </c>
      <c r="C108" t="s">
        <v>219</v>
      </c>
      <c r="D108">
        <v>2026</v>
      </c>
      <c r="E108" t="str">
        <f t="shared" si="2"/>
        <v>Q2</v>
      </c>
      <c r="F108" t="s">
        <v>720</v>
      </c>
      <c r="G108">
        <v>0</v>
      </c>
      <c r="H108" t="str">
        <f t="shared" si="3"/>
        <v>May-2026</v>
      </c>
    </row>
    <row r="109" spans="1:8">
      <c r="A109" t="s">
        <v>70</v>
      </c>
      <c r="B109" t="s">
        <v>164</v>
      </c>
      <c r="C109" t="s">
        <v>219</v>
      </c>
      <c r="D109">
        <v>2026</v>
      </c>
      <c r="E109" t="str">
        <f t="shared" si="2"/>
        <v>Q2</v>
      </c>
      <c r="F109" t="s">
        <v>721</v>
      </c>
      <c r="G109">
        <v>0</v>
      </c>
      <c r="H109" t="str">
        <f t="shared" si="3"/>
        <v>June-2026</v>
      </c>
    </row>
    <row r="110" spans="1:8">
      <c r="A110" t="s">
        <v>70</v>
      </c>
      <c r="B110" t="s">
        <v>164</v>
      </c>
      <c r="C110" t="s">
        <v>165</v>
      </c>
      <c r="D110">
        <v>2025</v>
      </c>
      <c r="E110" t="str">
        <f t="shared" si="2"/>
        <v>Q3</v>
      </c>
      <c r="F110" t="s">
        <v>710</v>
      </c>
      <c r="G110">
        <v>0</v>
      </c>
      <c r="H110" t="str">
        <f t="shared" si="3"/>
        <v>July-2025</v>
      </c>
    </row>
    <row r="111" spans="1:8">
      <c r="A111" t="s">
        <v>70</v>
      </c>
      <c r="B111" t="s">
        <v>164</v>
      </c>
      <c r="C111" t="s">
        <v>165</v>
      </c>
      <c r="D111">
        <v>2025</v>
      </c>
      <c r="E111" t="str">
        <f t="shared" si="2"/>
        <v>Q3</v>
      </c>
      <c r="F111" t="s">
        <v>711</v>
      </c>
      <c r="G111">
        <v>0</v>
      </c>
      <c r="H111" t="str">
        <f t="shared" si="3"/>
        <v>August-2025</v>
      </c>
    </row>
    <row r="112" spans="1:8">
      <c r="A112" t="s">
        <v>70</v>
      </c>
      <c r="B112" t="s">
        <v>164</v>
      </c>
      <c r="C112" t="s">
        <v>165</v>
      </c>
      <c r="D112">
        <v>2025</v>
      </c>
      <c r="E112" t="str">
        <f t="shared" si="2"/>
        <v>Q3</v>
      </c>
      <c r="F112" t="s">
        <v>712</v>
      </c>
      <c r="G112">
        <v>0</v>
      </c>
      <c r="H112" t="str">
        <f t="shared" si="3"/>
        <v>September-2025</v>
      </c>
    </row>
    <row r="113" spans="1:8">
      <c r="A113" t="s">
        <v>70</v>
      </c>
      <c r="B113" t="s">
        <v>164</v>
      </c>
      <c r="C113" t="s">
        <v>165</v>
      </c>
      <c r="D113">
        <v>2025</v>
      </c>
      <c r="E113" t="str">
        <f t="shared" si="2"/>
        <v>Q4</v>
      </c>
      <c r="F113" t="s">
        <v>713</v>
      </c>
      <c r="G113">
        <v>0</v>
      </c>
      <c r="H113" t="str">
        <f t="shared" si="3"/>
        <v>October-2025</v>
      </c>
    </row>
    <row r="114" spans="1:8">
      <c r="A114" t="s">
        <v>70</v>
      </c>
      <c r="B114" t="s">
        <v>164</v>
      </c>
      <c r="C114" t="s">
        <v>165</v>
      </c>
      <c r="D114">
        <v>2025</v>
      </c>
      <c r="E114" t="str">
        <f t="shared" si="2"/>
        <v>Q4</v>
      </c>
      <c r="F114" t="s">
        <v>714</v>
      </c>
      <c r="G114">
        <v>0</v>
      </c>
      <c r="H114" t="str">
        <f t="shared" si="3"/>
        <v>November-2025</v>
      </c>
    </row>
    <row r="115" spans="1:8">
      <c r="A115" t="s">
        <v>70</v>
      </c>
      <c r="B115" t="s">
        <v>164</v>
      </c>
      <c r="C115" t="s">
        <v>165</v>
      </c>
      <c r="D115">
        <v>2025</v>
      </c>
      <c r="E115" t="str">
        <f t="shared" si="2"/>
        <v>Q4</v>
      </c>
      <c r="F115" t="s">
        <v>715</v>
      </c>
      <c r="G115">
        <v>0</v>
      </c>
      <c r="H115" t="str">
        <f t="shared" si="3"/>
        <v>December-2025</v>
      </c>
    </row>
    <row r="116" spans="1:8">
      <c r="A116" t="s">
        <v>70</v>
      </c>
      <c r="B116" t="s">
        <v>164</v>
      </c>
      <c r="C116" t="s">
        <v>165</v>
      </c>
      <c r="D116">
        <v>2026</v>
      </c>
      <c r="E116" t="str">
        <f t="shared" si="2"/>
        <v>Q1</v>
      </c>
      <c r="F116" t="s">
        <v>716</v>
      </c>
      <c r="G116">
        <v>0</v>
      </c>
      <c r="H116" t="str">
        <f t="shared" si="3"/>
        <v>January-2026</v>
      </c>
    </row>
    <row r="117" spans="1:8">
      <c r="A117" t="s">
        <v>70</v>
      </c>
      <c r="B117" t="s">
        <v>164</v>
      </c>
      <c r="C117" t="s">
        <v>165</v>
      </c>
      <c r="D117">
        <v>2026</v>
      </c>
      <c r="E117" t="str">
        <f t="shared" si="2"/>
        <v>Q1</v>
      </c>
      <c r="F117" t="s">
        <v>717</v>
      </c>
      <c r="G117">
        <v>0</v>
      </c>
      <c r="H117" t="str">
        <f t="shared" si="3"/>
        <v>February-2026</v>
      </c>
    </row>
    <row r="118" spans="1:8">
      <c r="A118" t="s">
        <v>70</v>
      </c>
      <c r="B118" t="s">
        <v>164</v>
      </c>
      <c r="C118" t="s">
        <v>165</v>
      </c>
      <c r="D118">
        <v>2026</v>
      </c>
      <c r="E118" t="str">
        <f t="shared" si="2"/>
        <v>Q1</v>
      </c>
      <c r="F118" t="s">
        <v>718</v>
      </c>
      <c r="G118">
        <v>0</v>
      </c>
      <c r="H118" t="str">
        <f t="shared" si="3"/>
        <v>March-2026</v>
      </c>
    </row>
    <row r="119" spans="1:8">
      <c r="A119" t="s">
        <v>70</v>
      </c>
      <c r="B119" t="s">
        <v>164</v>
      </c>
      <c r="C119" t="s">
        <v>165</v>
      </c>
      <c r="D119">
        <v>2026</v>
      </c>
      <c r="E119" t="str">
        <f t="shared" si="2"/>
        <v>Q2</v>
      </c>
      <c r="F119" t="s">
        <v>719</v>
      </c>
      <c r="G119">
        <v>0</v>
      </c>
      <c r="H119" t="str">
        <f t="shared" si="3"/>
        <v>April-2026</v>
      </c>
    </row>
    <row r="120" spans="1:8">
      <c r="A120" t="s">
        <v>70</v>
      </c>
      <c r="B120" t="s">
        <v>164</v>
      </c>
      <c r="C120" t="s">
        <v>165</v>
      </c>
      <c r="D120">
        <v>2026</v>
      </c>
      <c r="E120" t="str">
        <f t="shared" si="2"/>
        <v>Q2</v>
      </c>
      <c r="F120" t="s">
        <v>720</v>
      </c>
      <c r="G120">
        <v>0</v>
      </c>
      <c r="H120" t="str">
        <f t="shared" si="3"/>
        <v>May-2026</v>
      </c>
    </row>
    <row r="121" spans="1:8">
      <c r="A121" t="s">
        <v>70</v>
      </c>
      <c r="B121" t="s">
        <v>164</v>
      </c>
      <c r="C121" t="s">
        <v>165</v>
      </c>
      <c r="D121">
        <v>2026</v>
      </c>
      <c r="E121" t="str">
        <f t="shared" si="2"/>
        <v>Q2</v>
      </c>
      <c r="F121" t="s">
        <v>721</v>
      </c>
      <c r="G121">
        <v>0</v>
      </c>
      <c r="H121" t="str">
        <f t="shared" si="3"/>
        <v>June-2026</v>
      </c>
    </row>
    <row r="122" spans="1:8">
      <c r="A122" t="s">
        <v>70</v>
      </c>
      <c r="B122" t="s">
        <v>175</v>
      </c>
      <c r="C122" t="s">
        <v>289</v>
      </c>
      <c r="D122">
        <v>2025</v>
      </c>
      <c r="E122" t="str">
        <f t="shared" si="2"/>
        <v>Q3</v>
      </c>
      <c r="F122" t="s">
        <v>710</v>
      </c>
      <c r="G122">
        <v>0</v>
      </c>
      <c r="H122" t="str">
        <f t="shared" si="3"/>
        <v>July-2025</v>
      </c>
    </row>
    <row r="123" spans="1:8">
      <c r="A123" t="s">
        <v>70</v>
      </c>
      <c r="B123" t="s">
        <v>175</v>
      </c>
      <c r="C123" t="s">
        <v>289</v>
      </c>
      <c r="D123">
        <v>2025</v>
      </c>
      <c r="E123" t="str">
        <f t="shared" si="2"/>
        <v>Q3</v>
      </c>
      <c r="F123" t="s">
        <v>711</v>
      </c>
      <c r="G123">
        <v>0</v>
      </c>
      <c r="H123" t="str">
        <f t="shared" si="3"/>
        <v>August-2025</v>
      </c>
    </row>
    <row r="124" spans="1:8">
      <c r="A124" t="s">
        <v>70</v>
      </c>
      <c r="B124" t="s">
        <v>175</v>
      </c>
      <c r="C124" t="s">
        <v>289</v>
      </c>
      <c r="D124">
        <v>2025</v>
      </c>
      <c r="E124" t="str">
        <f t="shared" si="2"/>
        <v>Q3</v>
      </c>
      <c r="F124" t="s">
        <v>712</v>
      </c>
      <c r="G124">
        <v>0</v>
      </c>
      <c r="H124" t="str">
        <f t="shared" si="3"/>
        <v>September-2025</v>
      </c>
    </row>
    <row r="125" spans="1:8">
      <c r="A125" t="s">
        <v>70</v>
      </c>
      <c r="B125" t="s">
        <v>175</v>
      </c>
      <c r="C125" t="s">
        <v>289</v>
      </c>
      <c r="D125">
        <v>2025</v>
      </c>
      <c r="E125" t="str">
        <f t="shared" si="2"/>
        <v>Q4</v>
      </c>
      <c r="F125" t="s">
        <v>713</v>
      </c>
      <c r="G125">
        <v>0</v>
      </c>
      <c r="H125" t="str">
        <f t="shared" si="3"/>
        <v>October-2025</v>
      </c>
    </row>
    <row r="126" spans="1:8">
      <c r="A126" t="s">
        <v>70</v>
      </c>
      <c r="B126" t="s">
        <v>175</v>
      </c>
      <c r="C126" t="s">
        <v>289</v>
      </c>
      <c r="D126">
        <v>2025</v>
      </c>
      <c r="E126" t="str">
        <f t="shared" si="2"/>
        <v>Q4</v>
      </c>
      <c r="F126" t="s">
        <v>714</v>
      </c>
      <c r="G126">
        <v>0</v>
      </c>
      <c r="H126" t="str">
        <f t="shared" si="3"/>
        <v>November-2025</v>
      </c>
    </row>
    <row r="127" spans="1:8">
      <c r="A127" t="s">
        <v>70</v>
      </c>
      <c r="B127" t="s">
        <v>175</v>
      </c>
      <c r="C127" t="s">
        <v>289</v>
      </c>
      <c r="D127">
        <v>2025</v>
      </c>
      <c r="E127" t="str">
        <f t="shared" si="2"/>
        <v>Q4</v>
      </c>
      <c r="F127" t="s">
        <v>715</v>
      </c>
      <c r="G127">
        <v>0</v>
      </c>
      <c r="H127" t="str">
        <f t="shared" si="3"/>
        <v>December-2025</v>
      </c>
    </row>
    <row r="128" spans="1:8">
      <c r="A128" t="s">
        <v>70</v>
      </c>
      <c r="B128" t="s">
        <v>175</v>
      </c>
      <c r="C128" t="s">
        <v>289</v>
      </c>
      <c r="D128">
        <v>2026</v>
      </c>
      <c r="E128" t="str">
        <f t="shared" si="2"/>
        <v>Q1</v>
      </c>
      <c r="F128" t="s">
        <v>716</v>
      </c>
      <c r="G128">
        <v>0</v>
      </c>
      <c r="H128" t="str">
        <f t="shared" si="3"/>
        <v>January-2026</v>
      </c>
    </row>
    <row r="129" spans="1:8">
      <c r="A129" t="s">
        <v>70</v>
      </c>
      <c r="B129" t="s">
        <v>175</v>
      </c>
      <c r="C129" t="s">
        <v>289</v>
      </c>
      <c r="D129">
        <v>2026</v>
      </c>
      <c r="E129" t="str">
        <f t="shared" si="2"/>
        <v>Q1</v>
      </c>
      <c r="F129" t="s">
        <v>717</v>
      </c>
      <c r="G129">
        <v>0</v>
      </c>
      <c r="H129" t="str">
        <f t="shared" si="3"/>
        <v>February-2026</v>
      </c>
    </row>
    <row r="130" spans="1:8">
      <c r="A130" t="s">
        <v>70</v>
      </c>
      <c r="B130" t="s">
        <v>175</v>
      </c>
      <c r="C130" t="s">
        <v>289</v>
      </c>
      <c r="D130">
        <v>2026</v>
      </c>
      <c r="E130" t="str">
        <f t="shared" si="2"/>
        <v>Q1</v>
      </c>
      <c r="F130" t="s">
        <v>718</v>
      </c>
      <c r="G130">
        <v>0</v>
      </c>
      <c r="H130" t="str">
        <f t="shared" si="3"/>
        <v>March-2026</v>
      </c>
    </row>
    <row r="131" spans="1:8">
      <c r="A131" t="s">
        <v>70</v>
      </c>
      <c r="B131" t="s">
        <v>175</v>
      </c>
      <c r="C131" t="s">
        <v>289</v>
      </c>
      <c r="D131">
        <v>2026</v>
      </c>
      <c r="E131" t="str">
        <f t="shared" ref="E131:E194" si="4">"Q"&amp;ROUNDUP(MONTH(DATEVALUE(F131&amp;" 1"))/3,0)</f>
        <v>Q2</v>
      </c>
      <c r="F131" t="s">
        <v>719</v>
      </c>
      <c r="G131">
        <v>0</v>
      </c>
      <c r="H131" t="str">
        <f t="shared" ref="H131:H194" si="5">_xlfn.CONCAT(F131,"-",D131)</f>
        <v>April-2026</v>
      </c>
    </row>
    <row r="132" spans="1:8">
      <c r="A132" t="s">
        <v>70</v>
      </c>
      <c r="B132" t="s">
        <v>175</v>
      </c>
      <c r="C132" t="s">
        <v>289</v>
      </c>
      <c r="D132">
        <v>2026</v>
      </c>
      <c r="E132" t="str">
        <f t="shared" si="4"/>
        <v>Q2</v>
      </c>
      <c r="F132" t="s">
        <v>720</v>
      </c>
      <c r="G132">
        <v>0</v>
      </c>
      <c r="H132" t="str">
        <f t="shared" si="5"/>
        <v>May-2026</v>
      </c>
    </row>
    <row r="133" spans="1:8">
      <c r="A133" t="s">
        <v>70</v>
      </c>
      <c r="B133" t="s">
        <v>175</v>
      </c>
      <c r="C133" t="s">
        <v>289</v>
      </c>
      <c r="D133">
        <v>2026</v>
      </c>
      <c r="E133" t="str">
        <f t="shared" si="4"/>
        <v>Q2</v>
      </c>
      <c r="F133" t="s">
        <v>721</v>
      </c>
      <c r="G133">
        <v>0</v>
      </c>
      <c r="H133" t="str">
        <f t="shared" si="5"/>
        <v>June-2026</v>
      </c>
    </row>
    <row r="134" spans="1:8">
      <c r="A134" t="s">
        <v>70</v>
      </c>
      <c r="B134" t="s">
        <v>175</v>
      </c>
      <c r="C134" t="s">
        <v>86</v>
      </c>
      <c r="D134">
        <v>2025</v>
      </c>
      <c r="E134" t="str">
        <f t="shared" si="4"/>
        <v>Q3</v>
      </c>
      <c r="F134" t="s">
        <v>710</v>
      </c>
      <c r="G134">
        <v>0</v>
      </c>
      <c r="H134" t="str">
        <f t="shared" si="5"/>
        <v>July-2025</v>
      </c>
    </row>
    <row r="135" spans="1:8">
      <c r="A135" t="s">
        <v>70</v>
      </c>
      <c r="B135" t="s">
        <v>175</v>
      </c>
      <c r="C135" t="s">
        <v>86</v>
      </c>
      <c r="D135">
        <v>2025</v>
      </c>
      <c r="E135" t="str">
        <f t="shared" si="4"/>
        <v>Q3</v>
      </c>
      <c r="F135" t="s">
        <v>711</v>
      </c>
      <c r="G135">
        <v>0</v>
      </c>
      <c r="H135" t="str">
        <f t="shared" si="5"/>
        <v>August-2025</v>
      </c>
    </row>
    <row r="136" spans="1:8">
      <c r="A136" t="s">
        <v>70</v>
      </c>
      <c r="B136" t="s">
        <v>175</v>
      </c>
      <c r="C136" t="s">
        <v>86</v>
      </c>
      <c r="D136">
        <v>2025</v>
      </c>
      <c r="E136" t="str">
        <f t="shared" si="4"/>
        <v>Q3</v>
      </c>
      <c r="F136" t="s">
        <v>712</v>
      </c>
      <c r="G136">
        <v>0</v>
      </c>
      <c r="H136" t="str">
        <f t="shared" si="5"/>
        <v>September-2025</v>
      </c>
    </row>
    <row r="137" spans="1:8">
      <c r="A137" t="s">
        <v>70</v>
      </c>
      <c r="B137" t="s">
        <v>175</v>
      </c>
      <c r="C137" t="s">
        <v>86</v>
      </c>
      <c r="D137">
        <v>2025</v>
      </c>
      <c r="E137" t="str">
        <f t="shared" si="4"/>
        <v>Q4</v>
      </c>
      <c r="F137" t="s">
        <v>713</v>
      </c>
      <c r="G137">
        <v>0</v>
      </c>
      <c r="H137" t="str">
        <f t="shared" si="5"/>
        <v>October-2025</v>
      </c>
    </row>
    <row r="138" spans="1:8">
      <c r="A138" t="s">
        <v>70</v>
      </c>
      <c r="B138" t="s">
        <v>175</v>
      </c>
      <c r="C138" t="s">
        <v>86</v>
      </c>
      <c r="D138">
        <v>2025</v>
      </c>
      <c r="E138" t="str">
        <f t="shared" si="4"/>
        <v>Q4</v>
      </c>
      <c r="F138" t="s">
        <v>714</v>
      </c>
      <c r="G138">
        <v>0</v>
      </c>
      <c r="H138" t="str">
        <f t="shared" si="5"/>
        <v>November-2025</v>
      </c>
    </row>
    <row r="139" spans="1:8">
      <c r="A139" t="s">
        <v>70</v>
      </c>
      <c r="B139" t="s">
        <v>175</v>
      </c>
      <c r="C139" t="s">
        <v>86</v>
      </c>
      <c r="D139">
        <v>2025</v>
      </c>
      <c r="E139" t="str">
        <f t="shared" si="4"/>
        <v>Q4</v>
      </c>
      <c r="F139" t="s">
        <v>715</v>
      </c>
      <c r="G139">
        <v>0</v>
      </c>
      <c r="H139" t="str">
        <f t="shared" si="5"/>
        <v>December-2025</v>
      </c>
    </row>
    <row r="140" spans="1:8">
      <c r="A140" t="s">
        <v>70</v>
      </c>
      <c r="B140" t="s">
        <v>175</v>
      </c>
      <c r="C140" t="s">
        <v>86</v>
      </c>
      <c r="D140">
        <v>2026</v>
      </c>
      <c r="E140" t="str">
        <f t="shared" si="4"/>
        <v>Q1</v>
      </c>
      <c r="F140" t="s">
        <v>716</v>
      </c>
      <c r="G140">
        <v>0</v>
      </c>
      <c r="H140" t="str">
        <f t="shared" si="5"/>
        <v>January-2026</v>
      </c>
    </row>
    <row r="141" spans="1:8">
      <c r="A141" t="s">
        <v>70</v>
      </c>
      <c r="B141" t="s">
        <v>175</v>
      </c>
      <c r="C141" t="s">
        <v>86</v>
      </c>
      <c r="D141">
        <v>2026</v>
      </c>
      <c r="E141" t="str">
        <f t="shared" si="4"/>
        <v>Q1</v>
      </c>
      <c r="F141" t="s">
        <v>717</v>
      </c>
      <c r="G141">
        <v>0</v>
      </c>
      <c r="H141" t="str">
        <f t="shared" si="5"/>
        <v>February-2026</v>
      </c>
    </row>
    <row r="142" spans="1:8">
      <c r="A142" t="s">
        <v>70</v>
      </c>
      <c r="B142" t="s">
        <v>175</v>
      </c>
      <c r="C142" t="s">
        <v>86</v>
      </c>
      <c r="D142">
        <v>2026</v>
      </c>
      <c r="E142" t="str">
        <f t="shared" si="4"/>
        <v>Q1</v>
      </c>
      <c r="F142" t="s">
        <v>718</v>
      </c>
      <c r="G142">
        <v>0</v>
      </c>
      <c r="H142" t="str">
        <f t="shared" si="5"/>
        <v>March-2026</v>
      </c>
    </row>
    <row r="143" spans="1:8">
      <c r="A143" t="s">
        <v>70</v>
      </c>
      <c r="B143" t="s">
        <v>175</v>
      </c>
      <c r="C143" t="s">
        <v>86</v>
      </c>
      <c r="D143">
        <v>2026</v>
      </c>
      <c r="E143" t="str">
        <f t="shared" si="4"/>
        <v>Q2</v>
      </c>
      <c r="F143" t="s">
        <v>719</v>
      </c>
      <c r="G143">
        <v>0</v>
      </c>
      <c r="H143" t="str">
        <f t="shared" si="5"/>
        <v>April-2026</v>
      </c>
    </row>
    <row r="144" spans="1:8">
      <c r="A144" t="s">
        <v>70</v>
      </c>
      <c r="B144" t="s">
        <v>175</v>
      </c>
      <c r="C144" t="s">
        <v>86</v>
      </c>
      <c r="D144">
        <v>2026</v>
      </c>
      <c r="E144" t="str">
        <f t="shared" si="4"/>
        <v>Q2</v>
      </c>
      <c r="F144" t="s">
        <v>720</v>
      </c>
      <c r="G144">
        <v>0</v>
      </c>
      <c r="H144" t="str">
        <f t="shared" si="5"/>
        <v>May-2026</v>
      </c>
    </row>
    <row r="145" spans="1:8">
      <c r="A145" t="s">
        <v>70</v>
      </c>
      <c r="B145" t="s">
        <v>175</v>
      </c>
      <c r="C145" t="s">
        <v>86</v>
      </c>
      <c r="D145">
        <v>2026</v>
      </c>
      <c r="E145" t="str">
        <f t="shared" si="4"/>
        <v>Q2</v>
      </c>
      <c r="F145" t="s">
        <v>721</v>
      </c>
      <c r="G145">
        <v>0</v>
      </c>
      <c r="H145" t="str">
        <f t="shared" si="5"/>
        <v>June-2026</v>
      </c>
    </row>
    <row r="146" spans="1:8">
      <c r="A146" t="s">
        <v>70</v>
      </c>
      <c r="B146" t="s">
        <v>175</v>
      </c>
      <c r="C146" t="s">
        <v>346</v>
      </c>
      <c r="D146">
        <v>2025</v>
      </c>
      <c r="E146" t="str">
        <f t="shared" si="4"/>
        <v>Q3</v>
      </c>
      <c r="F146" t="s">
        <v>710</v>
      </c>
      <c r="G146">
        <v>1</v>
      </c>
      <c r="H146" t="str">
        <f t="shared" si="5"/>
        <v>July-2025</v>
      </c>
    </row>
    <row r="147" spans="1:8">
      <c r="A147" t="s">
        <v>70</v>
      </c>
      <c r="B147" t="s">
        <v>175</v>
      </c>
      <c r="C147" t="s">
        <v>346</v>
      </c>
      <c r="D147">
        <v>2025</v>
      </c>
      <c r="E147" t="str">
        <f t="shared" si="4"/>
        <v>Q3</v>
      </c>
      <c r="F147" t="s">
        <v>711</v>
      </c>
      <c r="G147">
        <v>0</v>
      </c>
      <c r="H147" t="str">
        <f t="shared" si="5"/>
        <v>August-2025</v>
      </c>
    </row>
    <row r="148" spans="1:8">
      <c r="A148" t="s">
        <v>70</v>
      </c>
      <c r="B148" t="s">
        <v>175</v>
      </c>
      <c r="C148" t="s">
        <v>346</v>
      </c>
      <c r="D148">
        <v>2025</v>
      </c>
      <c r="E148" t="str">
        <f t="shared" si="4"/>
        <v>Q3</v>
      </c>
      <c r="F148" t="s">
        <v>712</v>
      </c>
      <c r="G148">
        <v>0</v>
      </c>
      <c r="H148" t="str">
        <f t="shared" si="5"/>
        <v>September-2025</v>
      </c>
    </row>
    <row r="149" spans="1:8">
      <c r="A149" t="s">
        <v>70</v>
      </c>
      <c r="B149" t="s">
        <v>175</v>
      </c>
      <c r="C149" t="s">
        <v>346</v>
      </c>
      <c r="D149">
        <v>2025</v>
      </c>
      <c r="E149" t="str">
        <f t="shared" si="4"/>
        <v>Q4</v>
      </c>
      <c r="F149" t="s">
        <v>713</v>
      </c>
      <c r="G149">
        <v>0</v>
      </c>
      <c r="H149" t="str">
        <f t="shared" si="5"/>
        <v>October-2025</v>
      </c>
    </row>
    <row r="150" spans="1:8">
      <c r="A150" t="s">
        <v>70</v>
      </c>
      <c r="B150" t="s">
        <v>175</v>
      </c>
      <c r="C150" t="s">
        <v>346</v>
      </c>
      <c r="D150">
        <v>2025</v>
      </c>
      <c r="E150" t="str">
        <f t="shared" si="4"/>
        <v>Q4</v>
      </c>
      <c r="F150" t="s">
        <v>714</v>
      </c>
      <c r="G150">
        <v>0</v>
      </c>
      <c r="H150" t="str">
        <f t="shared" si="5"/>
        <v>November-2025</v>
      </c>
    </row>
    <row r="151" spans="1:8">
      <c r="A151" t="s">
        <v>70</v>
      </c>
      <c r="B151" t="s">
        <v>175</v>
      </c>
      <c r="C151" t="s">
        <v>346</v>
      </c>
      <c r="D151">
        <v>2025</v>
      </c>
      <c r="E151" t="str">
        <f t="shared" si="4"/>
        <v>Q4</v>
      </c>
      <c r="F151" t="s">
        <v>715</v>
      </c>
      <c r="G151">
        <v>0</v>
      </c>
      <c r="H151" t="str">
        <f t="shared" si="5"/>
        <v>December-2025</v>
      </c>
    </row>
    <row r="152" spans="1:8">
      <c r="A152" t="s">
        <v>70</v>
      </c>
      <c r="B152" t="s">
        <v>175</v>
      </c>
      <c r="C152" t="s">
        <v>346</v>
      </c>
      <c r="D152">
        <v>2026</v>
      </c>
      <c r="E152" t="str">
        <f t="shared" si="4"/>
        <v>Q1</v>
      </c>
      <c r="F152" t="s">
        <v>716</v>
      </c>
      <c r="G152">
        <v>0</v>
      </c>
      <c r="H152" t="str">
        <f t="shared" si="5"/>
        <v>January-2026</v>
      </c>
    </row>
    <row r="153" spans="1:8">
      <c r="A153" t="s">
        <v>70</v>
      </c>
      <c r="B153" t="s">
        <v>175</v>
      </c>
      <c r="C153" t="s">
        <v>346</v>
      </c>
      <c r="D153">
        <v>2026</v>
      </c>
      <c r="E153" t="str">
        <f t="shared" si="4"/>
        <v>Q1</v>
      </c>
      <c r="F153" t="s">
        <v>717</v>
      </c>
      <c r="G153">
        <v>0</v>
      </c>
      <c r="H153" t="str">
        <f t="shared" si="5"/>
        <v>February-2026</v>
      </c>
    </row>
    <row r="154" spans="1:8">
      <c r="A154" t="s">
        <v>70</v>
      </c>
      <c r="B154" t="s">
        <v>175</v>
      </c>
      <c r="C154" t="s">
        <v>346</v>
      </c>
      <c r="D154">
        <v>2026</v>
      </c>
      <c r="E154" t="str">
        <f t="shared" si="4"/>
        <v>Q1</v>
      </c>
      <c r="F154" t="s">
        <v>718</v>
      </c>
      <c r="G154">
        <v>0</v>
      </c>
      <c r="H154" t="str">
        <f t="shared" si="5"/>
        <v>March-2026</v>
      </c>
    </row>
    <row r="155" spans="1:8">
      <c r="A155" t="s">
        <v>70</v>
      </c>
      <c r="B155" t="s">
        <v>175</v>
      </c>
      <c r="C155" t="s">
        <v>346</v>
      </c>
      <c r="D155">
        <v>2026</v>
      </c>
      <c r="E155" t="str">
        <f t="shared" si="4"/>
        <v>Q2</v>
      </c>
      <c r="F155" t="s">
        <v>719</v>
      </c>
      <c r="G155">
        <v>0</v>
      </c>
      <c r="H155" t="str">
        <f t="shared" si="5"/>
        <v>April-2026</v>
      </c>
    </row>
    <row r="156" spans="1:8">
      <c r="A156" t="s">
        <v>70</v>
      </c>
      <c r="B156" t="s">
        <v>175</v>
      </c>
      <c r="C156" t="s">
        <v>346</v>
      </c>
      <c r="D156">
        <v>2026</v>
      </c>
      <c r="E156" t="str">
        <f t="shared" si="4"/>
        <v>Q2</v>
      </c>
      <c r="F156" t="s">
        <v>720</v>
      </c>
      <c r="G156">
        <v>0</v>
      </c>
      <c r="H156" t="str">
        <f t="shared" si="5"/>
        <v>May-2026</v>
      </c>
    </row>
    <row r="157" spans="1:8">
      <c r="A157" t="s">
        <v>70</v>
      </c>
      <c r="B157" t="s">
        <v>175</v>
      </c>
      <c r="C157" t="s">
        <v>346</v>
      </c>
      <c r="D157">
        <v>2026</v>
      </c>
      <c r="E157" t="str">
        <f t="shared" si="4"/>
        <v>Q2</v>
      </c>
      <c r="F157" t="s">
        <v>721</v>
      </c>
      <c r="G157">
        <v>0</v>
      </c>
      <c r="H157" t="str">
        <f t="shared" si="5"/>
        <v>June-2026</v>
      </c>
    </row>
    <row r="158" spans="1:8">
      <c r="A158" t="s">
        <v>70</v>
      </c>
      <c r="B158" t="s">
        <v>235</v>
      </c>
      <c r="C158" t="s">
        <v>72</v>
      </c>
      <c r="D158">
        <v>2025</v>
      </c>
      <c r="E158" t="str">
        <f t="shared" si="4"/>
        <v>Q3</v>
      </c>
      <c r="F158" t="s">
        <v>710</v>
      </c>
      <c r="G158">
        <v>1</v>
      </c>
      <c r="H158" t="str">
        <f t="shared" si="5"/>
        <v>July-2025</v>
      </c>
    </row>
    <row r="159" spans="1:8">
      <c r="A159" t="s">
        <v>70</v>
      </c>
      <c r="B159" t="s">
        <v>235</v>
      </c>
      <c r="C159" t="s">
        <v>72</v>
      </c>
      <c r="D159">
        <v>2025</v>
      </c>
      <c r="E159" t="str">
        <f t="shared" si="4"/>
        <v>Q3</v>
      </c>
      <c r="F159" t="s">
        <v>711</v>
      </c>
      <c r="G159">
        <v>0</v>
      </c>
      <c r="H159" t="str">
        <f t="shared" si="5"/>
        <v>August-2025</v>
      </c>
    </row>
    <row r="160" spans="1:8">
      <c r="A160" t="s">
        <v>70</v>
      </c>
      <c r="B160" t="s">
        <v>235</v>
      </c>
      <c r="C160" t="s">
        <v>72</v>
      </c>
      <c r="D160">
        <v>2025</v>
      </c>
      <c r="E160" t="str">
        <f t="shared" si="4"/>
        <v>Q3</v>
      </c>
      <c r="F160" t="s">
        <v>712</v>
      </c>
      <c r="G160">
        <v>0</v>
      </c>
      <c r="H160" t="str">
        <f t="shared" si="5"/>
        <v>September-2025</v>
      </c>
    </row>
    <row r="161" spans="1:8">
      <c r="A161" t="s">
        <v>70</v>
      </c>
      <c r="B161" t="s">
        <v>235</v>
      </c>
      <c r="C161" t="s">
        <v>72</v>
      </c>
      <c r="D161">
        <v>2025</v>
      </c>
      <c r="E161" t="str">
        <f t="shared" si="4"/>
        <v>Q4</v>
      </c>
      <c r="F161" t="s">
        <v>713</v>
      </c>
      <c r="G161">
        <v>0</v>
      </c>
      <c r="H161" t="str">
        <f t="shared" si="5"/>
        <v>October-2025</v>
      </c>
    </row>
    <row r="162" spans="1:8">
      <c r="A162" t="s">
        <v>70</v>
      </c>
      <c r="B162" t="s">
        <v>235</v>
      </c>
      <c r="C162" t="s">
        <v>72</v>
      </c>
      <c r="D162">
        <v>2025</v>
      </c>
      <c r="E162" t="str">
        <f t="shared" si="4"/>
        <v>Q4</v>
      </c>
      <c r="F162" t="s">
        <v>714</v>
      </c>
      <c r="G162">
        <v>0</v>
      </c>
      <c r="H162" t="str">
        <f t="shared" si="5"/>
        <v>November-2025</v>
      </c>
    </row>
    <row r="163" spans="1:8">
      <c r="A163" t="s">
        <v>70</v>
      </c>
      <c r="B163" t="s">
        <v>235</v>
      </c>
      <c r="C163" t="s">
        <v>72</v>
      </c>
      <c r="D163">
        <v>2025</v>
      </c>
      <c r="E163" t="str">
        <f t="shared" si="4"/>
        <v>Q4</v>
      </c>
      <c r="F163" t="s">
        <v>715</v>
      </c>
      <c r="G163">
        <v>0</v>
      </c>
      <c r="H163" t="str">
        <f t="shared" si="5"/>
        <v>December-2025</v>
      </c>
    </row>
    <row r="164" spans="1:8">
      <c r="A164" t="s">
        <v>70</v>
      </c>
      <c r="B164" t="s">
        <v>235</v>
      </c>
      <c r="C164" t="s">
        <v>72</v>
      </c>
      <c r="D164">
        <v>2026</v>
      </c>
      <c r="E164" t="str">
        <f t="shared" si="4"/>
        <v>Q1</v>
      </c>
      <c r="F164" t="s">
        <v>716</v>
      </c>
      <c r="G164">
        <v>0</v>
      </c>
      <c r="H164" t="str">
        <f t="shared" si="5"/>
        <v>January-2026</v>
      </c>
    </row>
    <row r="165" spans="1:8">
      <c r="A165" t="s">
        <v>70</v>
      </c>
      <c r="B165" t="s">
        <v>235</v>
      </c>
      <c r="C165" t="s">
        <v>72</v>
      </c>
      <c r="D165">
        <v>2026</v>
      </c>
      <c r="E165" t="str">
        <f t="shared" si="4"/>
        <v>Q1</v>
      </c>
      <c r="F165" t="s">
        <v>717</v>
      </c>
      <c r="G165">
        <v>0</v>
      </c>
      <c r="H165" t="str">
        <f t="shared" si="5"/>
        <v>February-2026</v>
      </c>
    </row>
    <row r="166" spans="1:8">
      <c r="A166" t="s">
        <v>70</v>
      </c>
      <c r="B166" t="s">
        <v>235</v>
      </c>
      <c r="C166" t="s">
        <v>72</v>
      </c>
      <c r="D166">
        <v>2026</v>
      </c>
      <c r="E166" t="str">
        <f t="shared" si="4"/>
        <v>Q1</v>
      </c>
      <c r="F166" t="s">
        <v>718</v>
      </c>
      <c r="G166">
        <v>0</v>
      </c>
      <c r="H166" t="str">
        <f t="shared" si="5"/>
        <v>March-2026</v>
      </c>
    </row>
    <row r="167" spans="1:8">
      <c r="A167" t="s">
        <v>70</v>
      </c>
      <c r="B167" t="s">
        <v>235</v>
      </c>
      <c r="C167" t="s">
        <v>72</v>
      </c>
      <c r="D167">
        <v>2026</v>
      </c>
      <c r="E167" t="str">
        <f t="shared" si="4"/>
        <v>Q2</v>
      </c>
      <c r="F167" t="s">
        <v>719</v>
      </c>
      <c r="G167">
        <v>0</v>
      </c>
      <c r="H167" t="str">
        <f t="shared" si="5"/>
        <v>April-2026</v>
      </c>
    </row>
    <row r="168" spans="1:8">
      <c r="A168" t="s">
        <v>70</v>
      </c>
      <c r="B168" t="s">
        <v>235</v>
      </c>
      <c r="C168" t="s">
        <v>72</v>
      </c>
      <c r="D168">
        <v>2026</v>
      </c>
      <c r="E168" t="str">
        <f t="shared" si="4"/>
        <v>Q2</v>
      </c>
      <c r="F168" t="s">
        <v>720</v>
      </c>
      <c r="G168">
        <v>0</v>
      </c>
      <c r="H168" t="str">
        <f t="shared" si="5"/>
        <v>May-2026</v>
      </c>
    </row>
    <row r="169" spans="1:8">
      <c r="A169" t="s">
        <v>70</v>
      </c>
      <c r="B169" t="s">
        <v>235</v>
      </c>
      <c r="C169" t="s">
        <v>72</v>
      </c>
      <c r="D169">
        <v>2026</v>
      </c>
      <c r="E169" t="str">
        <f t="shared" si="4"/>
        <v>Q2</v>
      </c>
      <c r="F169" t="s">
        <v>721</v>
      </c>
      <c r="G169">
        <v>0</v>
      </c>
      <c r="H169" t="str">
        <f t="shared" si="5"/>
        <v>June-2026</v>
      </c>
    </row>
    <row r="170" spans="1:8">
      <c r="A170" t="s">
        <v>70</v>
      </c>
      <c r="B170" t="s">
        <v>235</v>
      </c>
      <c r="C170" t="s">
        <v>86</v>
      </c>
      <c r="D170">
        <v>2025</v>
      </c>
      <c r="E170" t="str">
        <f t="shared" si="4"/>
        <v>Q3</v>
      </c>
      <c r="F170" t="s">
        <v>710</v>
      </c>
      <c r="G170">
        <v>1</v>
      </c>
      <c r="H170" t="str">
        <f t="shared" si="5"/>
        <v>July-2025</v>
      </c>
    </row>
    <row r="171" spans="1:8">
      <c r="A171" t="s">
        <v>70</v>
      </c>
      <c r="B171" t="s">
        <v>235</v>
      </c>
      <c r="C171" t="s">
        <v>86</v>
      </c>
      <c r="D171">
        <v>2025</v>
      </c>
      <c r="E171" t="str">
        <f t="shared" si="4"/>
        <v>Q3</v>
      </c>
      <c r="F171" t="s">
        <v>711</v>
      </c>
      <c r="G171">
        <v>0</v>
      </c>
      <c r="H171" t="str">
        <f t="shared" si="5"/>
        <v>August-2025</v>
      </c>
    </row>
    <row r="172" spans="1:8">
      <c r="A172" t="s">
        <v>70</v>
      </c>
      <c r="B172" t="s">
        <v>235</v>
      </c>
      <c r="C172" t="s">
        <v>86</v>
      </c>
      <c r="D172">
        <v>2025</v>
      </c>
      <c r="E172" t="str">
        <f t="shared" si="4"/>
        <v>Q3</v>
      </c>
      <c r="F172" t="s">
        <v>712</v>
      </c>
      <c r="G172">
        <v>0</v>
      </c>
      <c r="H172" t="str">
        <f t="shared" si="5"/>
        <v>September-2025</v>
      </c>
    </row>
    <row r="173" spans="1:8">
      <c r="A173" t="s">
        <v>70</v>
      </c>
      <c r="B173" t="s">
        <v>235</v>
      </c>
      <c r="C173" t="s">
        <v>86</v>
      </c>
      <c r="D173">
        <v>2025</v>
      </c>
      <c r="E173" t="str">
        <f t="shared" si="4"/>
        <v>Q4</v>
      </c>
      <c r="F173" t="s">
        <v>713</v>
      </c>
      <c r="G173">
        <v>0</v>
      </c>
      <c r="H173" t="str">
        <f t="shared" si="5"/>
        <v>October-2025</v>
      </c>
    </row>
    <row r="174" spans="1:8">
      <c r="A174" t="s">
        <v>70</v>
      </c>
      <c r="B174" t="s">
        <v>235</v>
      </c>
      <c r="C174" t="s">
        <v>86</v>
      </c>
      <c r="D174">
        <v>2025</v>
      </c>
      <c r="E174" t="str">
        <f t="shared" si="4"/>
        <v>Q4</v>
      </c>
      <c r="F174" t="s">
        <v>714</v>
      </c>
      <c r="G174">
        <v>0</v>
      </c>
      <c r="H174" t="str">
        <f t="shared" si="5"/>
        <v>November-2025</v>
      </c>
    </row>
    <row r="175" spans="1:8">
      <c r="A175" t="s">
        <v>70</v>
      </c>
      <c r="B175" t="s">
        <v>235</v>
      </c>
      <c r="C175" t="s">
        <v>86</v>
      </c>
      <c r="D175">
        <v>2025</v>
      </c>
      <c r="E175" t="str">
        <f t="shared" si="4"/>
        <v>Q4</v>
      </c>
      <c r="F175" t="s">
        <v>715</v>
      </c>
      <c r="G175">
        <v>0</v>
      </c>
      <c r="H175" t="str">
        <f t="shared" si="5"/>
        <v>December-2025</v>
      </c>
    </row>
    <row r="176" spans="1:8">
      <c r="A176" t="s">
        <v>70</v>
      </c>
      <c r="B176" t="s">
        <v>235</v>
      </c>
      <c r="C176" t="s">
        <v>86</v>
      </c>
      <c r="D176">
        <v>2026</v>
      </c>
      <c r="E176" t="str">
        <f t="shared" si="4"/>
        <v>Q1</v>
      </c>
      <c r="F176" t="s">
        <v>716</v>
      </c>
      <c r="G176">
        <v>0</v>
      </c>
      <c r="H176" t="str">
        <f t="shared" si="5"/>
        <v>January-2026</v>
      </c>
    </row>
    <row r="177" spans="1:8">
      <c r="A177" t="s">
        <v>70</v>
      </c>
      <c r="B177" t="s">
        <v>235</v>
      </c>
      <c r="C177" t="s">
        <v>86</v>
      </c>
      <c r="D177">
        <v>2026</v>
      </c>
      <c r="E177" t="str">
        <f t="shared" si="4"/>
        <v>Q1</v>
      </c>
      <c r="F177" t="s">
        <v>717</v>
      </c>
      <c r="G177">
        <v>0</v>
      </c>
      <c r="H177" t="str">
        <f t="shared" si="5"/>
        <v>February-2026</v>
      </c>
    </row>
    <row r="178" spans="1:8">
      <c r="A178" t="s">
        <v>70</v>
      </c>
      <c r="B178" t="s">
        <v>235</v>
      </c>
      <c r="C178" t="s">
        <v>86</v>
      </c>
      <c r="D178">
        <v>2026</v>
      </c>
      <c r="E178" t="str">
        <f t="shared" si="4"/>
        <v>Q1</v>
      </c>
      <c r="F178" t="s">
        <v>718</v>
      </c>
      <c r="G178">
        <v>0</v>
      </c>
      <c r="H178" t="str">
        <f t="shared" si="5"/>
        <v>March-2026</v>
      </c>
    </row>
    <row r="179" spans="1:8">
      <c r="A179" t="s">
        <v>70</v>
      </c>
      <c r="B179" t="s">
        <v>235</v>
      </c>
      <c r="C179" t="s">
        <v>86</v>
      </c>
      <c r="D179">
        <v>2026</v>
      </c>
      <c r="E179" t="str">
        <f t="shared" si="4"/>
        <v>Q2</v>
      </c>
      <c r="F179" t="s">
        <v>719</v>
      </c>
      <c r="G179">
        <v>0</v>
      </c>
      <c r="H179" t="str">
        <f t="shared" si="5"/>
        <v>April-2026</v>
      </c>
    </row>
    <row r="180" spans="1:8">
      <c r="A180" t="s">
        <v>70</v>
      </c>
      <c r="B180" t="s">
        <v>235</v>
      </c>
      <c r="C180" t="s">
        <v>86</v>
      </c>
      <c r="D180">
        <v>2026</v>
      </c>
      <c r="E180" t="str">
        <f t="shared" si="4"/>
        <v>Q2</v>
      </c>
      <c r="F180" t="s">
        <v>720</v>
      </c>
      <c r="G180">
        <v>0</v>
      </c>
      <c r="H180" t="str">
        <f t="shared" si="5"/>
        <v>May-2026</v>
      </c>
    </row>
    <row r="181" spans="1:8">
      <c r="A181" t="s">
        <v>70</v>
      </c>
      <c r="B181" t="s">
        <v>235</v>
      </c>
      <c r="C181" t="s">
        <v>86</v>
      </c>
      <c r="D181">
        <v>2026</v>
      </c>
      <c r="E181" t="str">
        <f t="shared" si="4"/>
        <v>Q2</v>
      </c>
      <c r="F181" t="s">
        <v>721</v>
      </c>
      <c r="G181">
        <v>0</v>
      </c>
      <c r="H181" t="str">
        <f t="shared" si="5"/>
        <v>June-2026</v>
      </c>
    </row>
    <row r="182" spans="1:8">
      <c r="A182" t="s">
        <v>70</v>
      </c>
      <c r="B182" t="s">
        <v>137</v>
      </c>
      <c r="C182" t="s">
        <v>172</v>
      </c>
      <c r="D182">
        <v>2025</v>
      </c>
      <c r="E182" t="str">
        <f t="shared" si="4"/>
        <v>Q3</v>
      </c>
      <c r="F182" t="s">
        <v>710</v>
      </c>
      <c r="G182">
        <v>1</v>
      </c>
      <c r="H182" t="str">
        <f t="shared" si="5"/>
        <v>July-2025</v>
      </c>
    </row>
    <row r="183" spans="1:8">
      <c r="A183" t="s">
        <v>70</v>
      </c>
      <c r="B183" t="s">
        <v>137</v>
      </c>
      <c r="C183" t="s">
        <v>172</v>
      </c>
      <c r="D183">
        <v>2025</v>
      </c>
      <c r="E183" t="str">
        <f t="shared" si="4"/>
        <v>Q3</v>
      </c>
      <c r="F183" t="s">
        <v>711</v>
      </c>
      <c r="G183">
        <v>1</v>
      </c>
      <c r="H183" t="str">
        <f t="shared" si="5"/>
        <v>August-2025</v>
      </c>
    </row>
    <row r="184" spans="1:8">
      <c r="A184" t="s">
        <v>70</v>
      </c>
      <c r="B184" t="s">
        <v>137</v>
      </c>
      <c r="C184" t="s">
        <v>172</v>
      </c>
      <c r="D184">
        <v>2025</v>
      </c>
      <c r="E184" t="str">
        <f t="shared" si="4"/>
        <v>Q3</v>
      </c>
      <c r="F184" t="s">
        <v>712</v>
      </c>
      <c r="G184">
        <v>1</v>
      </c>
      <c r="H184" t="str">
        <f t="shared" si="5"/>
        <v>September-2025</v>
      </c>
    </row>
    <row r="185" spans="1:8">
      <c r="A185" t="s">
        <v>70</v>
      </c>
      <c r="B185" t="s">
        <v>137</v>
      </c>
      <c r="C185" t="s">
        <v>172</v>
      </c>
      <c r="D185">
        <v>2025</v>
      </c>
      <c r="E185" t="str">
        <f t="shared" si="4"/>
        <v>Q4</v>
      </c>
      <c r="F185" t="s">
        <v>713</v>
      </c>
      <c r="G185">
        <v>1</v>
      </c>
      <c r="H185" t="str">
        <f t="shared" si="5"/>
        <v>October-2025</v>
      </c>
    </row>
    <row r="186" spans="1:8">
      <c r="A186" t="s">
        <v>70</v>
      </c>
      <c r="B186" t="s">
        <v>137</v>
      </c>
      <c r="C186" t="s">
        <v>172</v>
      </c>
      <c r="D186">
        <v>2025</v>
      </c>
      <c r="E186" t="str">
        <f t="shared" si="4"/>
        <v>Q4</v>
      </c>
      <c r="F186" t="s">
        <v>714</v>
      </c>
      <c r="G186">
        <v>0</v>
      </c>
      <c r="H186" t="str">
        <f t="shared" si="5"/>
        <v>November-2025</v>
      </c>
    </row>
    <row r="187" spans="1:8">
      <c r="A187" t="s">
        <v>70</v>
      </c>
      <c r="B187" t="s">
        <v>137</v>
      </c>
      <c r="C187" t="s">
        <v>172</v>
      </c>
      <c r="D187">
        <v>2025</v>
      </c>
      <c r="E187" t="str">
        <f t="shared" si="4"/>
        <v>Q4</v>
      </c>
      <c r="F187" t="s">
        <v>715</v>
      </c>
      <c r="G187">
        <v>0</v>
      </c>
      <c r="H187" t="str">
        <f t="shared" si="5"/>
        <v>December-2025</v>
      </c>
    </row>
    <row r="188" spans="1:8">
      <c r="A188" t="s">
        <v>70</v>
      </c>
      <c r="B188" t="s">
        <v>137</v>
      </c>
      <c r="C188" t="s">
        <v>172</v>
      </c>
      <c r="D188">
        <v>2026</v>
      </c>
      <c r="E188" t="str">
        <f t="shared" si="4"/>
        <v>Q1</v>
      </c>
      <c r="F188" t="s">
        <v>716</v>
      </c>
      <c r="G188">
        <v>0</v>
      </c>
      <c r="H188" t="str">
        <f t="shared" si="5"/>
        <v>January-2026</v>
      </c>
    </row>
    <row r="189" spans="1:8">
      <c r="A189" t="s">
        <v>70</v>
      </c>
      <c r="B189" t="s">
        <v>137</v>
      </c>
      <c r="C189" t="s">
        <v>172</v>
      </c>
      <c r="D189">
        <v>2026</v>
      </c>
      <c r="E189" t="str">
        <f t="shared" si="4"/>
        <v>Q1</v>
      </c>
      <c r="F189" t="s">
        <v>717</v>
      </c>
      <c r="G189">
        <v>0</v>
      </c>
      <c r="H189" t="str">
        <f t="shared" si="5"/>
        <v>February-2026</v>
      </c>
    </row>
    <row r="190" spans="1:8">
      <c r="A190" t="s">
        <v>70</v>
      </c>
      <c r="B190" t="s">
        <v>137</v>
      </c>
      <c r="C190" t="s">
        <v>172</v>
      </c>
      <c r="D190">
        <v>2026</v>
      </c>
      <c r="E190" t="str">
        <f t="shared" si="4"/>
        <v>Q1</v>
      </c>
      <c r="F190" t="s">
        <v>718</v>
      </c>
      <c r="G190">
        <v>0</v>
      </c>
      <c r="H190" t="str">
        <f t="shared" si="5"/>
        <v>March-2026</v>
      </c>
    </row>
    <row r="191" spans="1:8">
      <c r="A191" t="s">
        <v>70</v>
      </c>
      <c r="B191" t="s">
        <v>137</v>
      </c>
      <c r="C191" t="s">
        <v>172</v>
      </c>
      <c r="D191">
        <v>2026</v>
      </c>
      <c r="E191" t="str">
        <f t="shared" si="4"/>
        <v>Q2</v>
      </c>
      <c r="F191" t="s">
        <v>719</v>
      </c>
      <c r="G191">
        <v>0</v>
      </c>
      <c r="H191" t="str">
        <f t="shared" si="5"/>
        <v>April-2026</v>
      </c>
    </row>
    <row r="192" spans="1:8">
      <c r="A192" t="s">
        <v>70</v>
      </c>
      <c r="B192" t="s">
        <v>137</v>
      </c>
      <c r="C192" t="s">
        <v>172</v>
      </c>
      <c r="D192">
        <v>2026</v>
      </c>
      <c r="E192" t="str">
        <f t="shared" si="4"/>
        <v>Q2</v>
      </c>
      <c r="F192" t="s">
        <v>720</v>
      </c>
      <c r="G192">
        <v>0</v>
      </c>
      <c r="H192" t="str">
        <f t="shared" si="5"/>
        <v>May-2026</v>
      </c>
    </row>
    <row r="193" spans="1:8">
      <c r="A193" t="s">
        <v>70</v>
      </c>
      <c r="B193" t="s">
        <v>137</v>
      </c>
      <c r="C193" t="s">
        <v>172</v>
      </c>
      <c r="D193">
        <v>2026</v>
      </c>
      <c r="E193" t="str">
        <f t="shared" si="4"/>
        <v>Q2</v>
      </c>
      <c r="F193" t="s">
        <v>721</v>
      </c>
      <c r="G193">
        <v>0</v>
      </c>
      <c r="H193" t="str">
        <f t="shared" si="5"/>
        <v>June-2026</v>
      </c>
    </row>
    <row r="194" spans="1:8">
      <c r="A194" t="s">
        <v>70</v>
      </c>
      <c r="B194" t="s">
        <v>137</v>
      </c>
      <c r="C194" t="s">
        <v>165</v>
      </c>
      <c r="D194">
        <v>2025</v>
      </c>
      <c r="E194" t="str">
        <f t="shared" si="4"/>
        <v>Q3</v>
      </c>
      <c r="F194" t="s">
        <v>710</v>
      </c>
      <c r="G194">
        <v>1</v>
      </c>
      <c r="H194" t="str">
        <f t="shared" si="5"/>
        <v>July-2025</v>
      </c>
    </row>
    <row r="195" spans="1:8">
      <c r="A195" t="s">
        <v>70</v>
      </c>
      <c r="B195" t="s">
        <v>137</v>
      </c>
      <c r="C195" t="s">
        <v>165</v>
      </c>
      <c r="D195">
        <v>2025</v>
      </c>
      <c r="E195" t="str">
        <f t="shared" ref="E195:E258" si="6">"Q"&amp;ROUNDUP(MONTH(DATEVALUE(F195&amp;" 1"))/3,0)</f>
        <v>Q3</v>
      </c>
      <c r="F195" t="s">
        <v>711</v>
      </c>
      <c r="G195">
        <v>1</v>
      </c>
      <c r="H195" t="str">
        <f t="shared" ref="H195:H258" si="7">_xlfn.CONCAT(F195,"-",D195)</f>
        <v>August-2025</v>
      </c>
    </row>
    <row r="196" spans="1:8">
      <c r="A196" t="s">
        <v>70</v>
      </c>
      <c r="B196" t="s">
        <v>137</v>
      </c>
      <c r="C196" t="s">
        <v>165</v>
      </c>
      <c r="D196">
        <v>2025</v>
      </c>
      <c r="E196" t="str">
        <f t="shared" si="6"/>
        <v>Q3</v>
      </c>
      <c r="F196" t="s">
        <v>712</v>
      </c>
      <c r="G196">
        <v>1</v>
      </c>
      <c r="H196" t="str">
        <f t="shared" si="7"/>
        <v>September-2025</v>
      </c>
    </row>
    <row r="197" spans="1:8">
      <c r="A197" t="s">
        <v>70</v>
      </c>
      <c r="B197" t="s">
        <v>137</v>
      </c>
      <c r="C197" t="s">
        <v>165</v>
      </c>
      <c r="D197">
        <v>2025</v>
      </c>
      <c r="E197" t="str">
        <f t="shared" si="6"/>
        <v>Q4</v>
      </c>
      <c r="F197" t="s">
        <v>713</v>
      </c>
      <c r="G197">
        <v>0</v>
      </c>
      <c r="H197" t="str">
        <f t="shared" si="7"/>
        <v>October-2025</v>
      </c>
    </row>
    <row r="198" spans="1:8">
      <c r="A198" t="s">
        <v>70</v>
      </c>
      <c r="B198" t="s">
        <v>137</v>
      </c>
      <c r="C198" t="s">
        <v>165</v>
      </c>
      <c r="D198">
        <v>2025</v>
      </c>
      <c r="E198" t="str">
        <f t="shared" si="6"/>
        <v>Q4</v>
      </c>
      <c r="F198" t="s">
        <v>714</v>
      </c>
      <c r="G198">
        <v>0</v>
      </c>
      <c r="H198" t="str">
        <f t="shared" si="7"/>
        <v>November-2025</v>
      </c>
    </row>
    <row r="199" spans="1:8">
      <c r="A199" t="s">
        <v>70</v>
      </c>
      <c r="B199" t="s">
        <v>137</v>
      </c>
      <c r="C199" t="s">
        <v>165</v>
      </c>
      <c r="D199">
        <v>2025</v>
      </c>
      <c r="E199" t="str">
        <f t="shared" si="6"/>
        <v>Q4</v>
      </c>
      <c r="F199" t="s">
        <v>715</v>
      </c>
      <c r="G199">
        <v>0</v>
      </c>
      <c r="H199" t="str">
        <f t="shared" si="7"/>
        <v>December-2025</v>
      </c>
    </row>
    <row r="200" spans="1:8">
      <c r="A200" t="s">
        <v>70</v>
      </c>
      <c r="B200" t="s">
        <v>137</v>
      </c>
      <c r="C200" t="s">
        <v>165</v>
      </c>
      <c r="D200">
        <v>2026</v>
      </c>
      <c r="E200" t="str">
        <f t="shared" si="6"/>
        <v>Q1</v>
      </c>
      <c r="F200" t="s">
        <v>716</v>
      </c>
      <c r="G200">
        <v>0</v>
      </c>
      <c r="H200" t="str">
        <f t="shared" si="7"/>
        <v>January-2026</v>
      </c>
    </row>
    <row r="201" spans="1:8">
      <c r="A201" t="s">
        <v>70</v>
      </c>
      <c r="B201" t="s">
        <v>137</v>
      </c>
      <c r="C201" t="s">
        <v>165</v>
      </c>
      <c r="D201">
        <v>2026</v>
      </c>
      <c r="E201" t="str">
        <f t="shared" si="6"/>
        <v>Q1</v>
      </c>
      <c r="F201" t="s">
        <v>717</v>
      </c>
      <c r="G201">
        <v>0</v>
      </c>
      <c r="H201" t="str">
        <f t="shared" si="7"/>
        <v>February-2026</v>
      </c>
    </row>
    <row r="202" spans="1:8">
      <c r="A202" t="s">
        <v>70</v>
      </c>
      <c r="B202" t="s">
        <v>137</v>
      </c>
      <c r="C202" t="s">
        <v>165</v>
      </c>
      <c r="D202">
        <v>2026</v>
      </c>
      <c r="E202" t="str">
        <f t="shared" si="6"/>
        <v>Q1</v>
      </c>
      <c r="F202" t="s">
        <v>718</v>
      </c>
      <c r="G202">
        <v>0</v>
      </c>
      <c r="H202" t="str">
        <f t="shared" si="7"/>
        <v>March-2026</v>
      </c>
    </row>
    <row r="203" spans="1:8">
      <c r="A203" t="s">
        <v>70</v>
      </c>
      <c r="B203" t="s">
        <v>137</v>
      </c>
      <c r="C203" t="s">
        <v>165</v>
      </c>
      <c r="D203">
        <v>2026</v>
      </c>
      <c r="E203" t="str">
        <f t="shared" si="6"/>
        <v>Q2</v>
      </c>
      <c r="F203" t="s">
        <v>719</v>
      </c>
      <c r="G203">
        <v>0</v>
      </c>
      <c r="H203" t="str">
        <f t="shared" si="7"/>
        <v>April-2026</v>
      </c>
    </row>
    <row r="204" spans="1:8">
      <c r="A204" t="s">
        <v>70</v>
      </c>
      <c r="B204" t="s">
        <v>137</v>
      </c>
      <c r="C204" t="s">
        <v>165</v>
      </c>
      <c r="D204">
        <v>2026</v>
      </c>
      <c r="E204" t="str">
        <f t="shared" si="6"/>
        <v>Q2</v>
      </c>
      <c r="F204" t="s">
        <v>720</v>
      </c>
      <c r="G204">
        <v>0</v>
      </c>
      <c r="H204" t="str">
        <f t="shared" si="7"/>
        <v>May-2026</v>
      </c>
    </row>
    <row r="205" spans="1:8">
      <c r="A205" t="s">
        <v>70</v>
      </c>
      <c r="B205" t="s">
        <v>137</v>
      </c>
      <c r="C205" t="s">
        <v>165</v>
      </c>
      <c r="D205">
        <v>2026</v>
      </c>
      <c r="E205" t="str">
        <f t="shared" si="6"/>
        <v>Q2</v>
      </c>
      <c r="F205" t="s">
        <v>721</v>
      </c>
      <c r="G205">
        <v>0</v>
      </c>
      <c r="H205" t="str">
        <f t="shared" si="7"/>
        <v>June-2026</v>
      </c>
    </row>
    <row r="206" spans="1:8">
      <c r="A206" t="s">
        <v>70</v>
      </c>
      <c r="B206" t="s">
        <v>345</v>
      </c>
      <c r="C206" t="s">
        <v>346</v>
      </c>
      <c r="D206">
        <v>2025</v>
      </c>
      <c r="E206" t="str">
        <f t="shared" si="6"/>
        <v>Q3</v>
      </c>
      <c r="F206" t="s">
        <v>710</v>
      </c>
      <c r="G206">
        <v>1</v>
      </c>
      <c r="H206" t="str">
        <f t="shared" si="7"/>
        <v>July-2025</v>
      </c>
    </row>
    <row r="207" spans="1:8">
      <c r="A207" t="s">
        <v>70</v>
      </c>
      <c r="B207" t="s">
        <v>345</v>
      </c>
      <c r="C207" t="s">
        <v>346</v>
      </c>
      <c r="D207">
        <v>2025</v>
      </c>
      <c r="E207" t="str">
        <f t="shared" si="6"/>
        <v>Q3</v>
      </c>
      <c r="F207" t="s">
        <v>711</v>
      </c>
      <c r="G207">
        <v>1</v>
      </c>
      <c r="H207" t="str">
        <f t="shared" si="7"/>
        <v>August-2025</v>
      </c>
    </row>
    <row r="208" spans="1:8">
      <c r="A208" t="s">
        <v>70</v>
      </c>
      <c r="B208" t="s">
        <v>345</v>
      </c>
      <c r="C208" t="s">
        <v>346</v>
      </c>
      <c r="D208">
        <v>2025</v>
      </c>
      <c r="E208" t="str">
        <f t="shared" si="6"/>
        <v>Q3</v>
      </c>
      <c r="F208" t="s">
        <v>712</v>
      </c>
      <c r="G208">
        <v>1</v>
      </c>
      <c r="H208" t="str">
        <f t="shared" si="7"/>
        <v>September-2025</v>
      </c>
    </row>
    <row r="209" spans="1:8">
      <c r="A209" t="s">
        <v>70</v>
      </c>
      <c r="B209" t="s">
        <v>345</v>
      </c>
      <c r="C209" t="s">
        <v>346</v>
      </c>
      <c r="D209">
        <v>2025</v>
      </c>
      <c r="E209" t="str">
        <f t="shared" si="6"/>
        <v>Q4</v>
      </c>
      <c r="F209" t="s">
        <v>713</v>
      </c>
      <c r="G209">
        <v>1</v>
      </c>
      <c r="H209" t="str">
        <f t="shared" si="7"/>
        <v>October-2025</v>
      </c>
    </row>
    <row r="210" spans="1:8">
      <c r="A210" t="s">
        <v>70</v>
      </c>
      <c r="B210" t="s">
        <v>345</v>
      </c>
      <c r="C210" t="s">
        <v>346</v>
      </c>
      <c r="D210">
        <v>2025</v>
      </c>
      <c r="E210" t="str">
        <f t="shared" si="6"/>
        <v>Q4</v>
      </c>
      <c r="F210" t="s">
        <v>714</v>
      </c>
      <c r="G210">
        <v>1</v>
      </c>
      <c r="H210" t="str">
        <f t="shared" si="7"/>
        <v>November-2025</v>
      </c>
    </row>
    <row r="211" spans="1:8">
      <c r="A211" t="s">
        <v>70</v>
      </c>
      <c r="B211" t="s">
        <v>345</v>
      </c>
      <c r="C211" t="s">
        <v>346</v>
      </c>
      <c r="D211">
        <v>2025</v>
      </c>
      <c r="E211" t="str">
        <f t="shared" si="6"/>
        <v>Q4</v>
      </c>
      <c r="F211" t="s">
        <v>715</v>
      </c>
      <c r="G211">
        <v>0</v>
      </c>
      <c r="H211" t="str">
        <f t="shared" si="7"/>
        <v>December-2025</v>
      </c>
    </row>
    <row r="212" spans="1:8">
      <c r="A212" t="s">
        <v>70</v>
      </c>
      <c r="B212" t="s">
        <v>345</v>
      </c>
      <c r="C212" t="s">
        <v>346</v>
      </c>
      <c r="D212">
        <v>2026</v>
      </c>
      <c r="E212" t="str">
        <f t="shared" si="6"/>
        <v>Q1</v>
      </c>
      <c r="F212" t="s">
        <v>716</v>
      </c>
      <c r="G212">
        <v>0</v>
      </c>
      <c r="H212" t="str">
        <f t="shared" si="7"/>
        <v>January-2026</v>
      </c>
    </row>
    <row r="213" spans="1:8">
      <c r="A213" t="s">
        <v>70</v>
      </c>
      <c r="B213" t="s">
        <v>345</v>
      </c>
      <c r="C213" t="s">
        <v>346</v>
      </c>
      <c r="D213">
        <v>2026</v>
      </c>
      <c r="E213" t="str">
        <f t="shared" si="6"/>
        <v>Q1</v>
      </c>
      <c r="F213" t="s">
        <v>717</v>
      </c>
      <c r="G213">
        <v>0</v>
      </c>
      <c r="H213" t="str">
        <f t="shared" si="7"/>
        <v>February-2026</v>
      </c>
    </row>
    <row r="214" spans="1:8">
      <c r="A214" t="s">
        <v>70</v>
      </c>
      <c r="B214" t="s">
        <v>345</v>
      </c>
      <c r="C214" t="s">
        <v>346</v>
      </c>
      <c r="D214">
        <v>2026</v>
      </c>
      <c r="E214" t="str">
        <f t="shared" si="6"/>
        <v>Q1</v>
      </c>
      <c r="F214" t="s">
        <v>718</v>
      </c>
      <c r="G214">
        <v>0</v>
      </c>
      <c r="H214" t="str">
        <f t="shared" si="7"/>
        <v>March-2026</v>
      </c>
    </row>
    <row r="215" spans="1:8">
      <c r="A215" t="s">
        <v>70</v>
      </c>
      <c r="B215" t="s">
        <v>345</v>
      </c>
      <c r="C215" t="s">
        <v>346</v>
      </c>
      <c r="D215">
        <v>2026</v>
      </c>
      <c r="E215" t="str">
        <f t="shared" si="6"/>
        <v>Q2</v>
      </c>
      <c r="F215" t="s">
        <v>719</v>
      </c>
      <c r="G215">
        <v>0</v>
      </c>
      <c r="H215" t="str">
        <f t="shared" si="7"/>
        <v>April-2026</v>
      </c>
    </row>
    <row r="216" spans="1:8">
      <c r="A216" t="s">
        <v>70</v>
      </c>
      <c r="B216" t="s">
        <v>345</v>
      </c>
      <c r="C216" t="s">
        <v>346</v>
      </c>
      <c r="D216">
        <v>2026</v>
      </c>
      <c r="E216" t="str">
        <f t="shared" si="6"/>
        <v>Q2</v>
      </c>
      <c r="F216" t="s">
        <v>720</v>
      </c>
      <c r="G216">
        <v>0</v>
      </c>
      <c r="H216" t="str">
        <f t="shared" si="7"/>
        <v>May-2026</v>
      </c>
    </row>
    <row r="217" spans="1:8">
      <c r="A217" t="s">
        <v>70</v>
      </c>
      <c r="B217" t="s">
        <v>345</v>
      </c>
      <c r="C217" t="s">
        <v>346</v>
      </c>
      <c r="D217">
        <v>2026</v>
      </c>
      <c r="E217" t="str">
        <f t="shared" si="6"/>
        <v>Q2</v>
      </c>
      <c r="F217" t="s">
        <v>721</v>
      </c>
      <c r="G217">
        <v>0</v>
      </c>
      <c r="H217" t="str">
        <f t="shared" si="7"/>
        <v>June-2026</v>
      </c>
    </row>
    <row r="218" spans="1:8">
      <c r="A218" t="s">
        <v>70</v>
      </c>
      <c r="B218" t="s">
        <v>171</v>
      </c>
      <c r="C218" t="s">
        <v>289</v>
      </c>
      <c r="D218">
        <v>2025</v>
      </c>
      <c r="E218" t="str">
        <f t="shared" si="6"/>
        <v>Q3</v>
      </c>
      <c r="F218" t="s">
        <v>710</v>
      </c>
      <c r="G218">
        <v>1</v>
      </c>
      <c r="H218" t="str">
        <f t="shared" si="7"/>
        <v>July-2025</v>
      </c>
    </row>
    <row r="219" spans="1:8">
      <c r="A219" t="s">
        <v>70</v>
      </c>
      <c r="B219" t="s">
        <v>171</v>
      </c>
      <c r="C219" t="s">
        <v>289</v>
      </c>
      <c r="D219">
        <v>2025</v>
      </c>
      <c r="E219" t="str">
        <f t="shared" si="6"/>
        <v>Q3</v>
      </c>
      <c r="F219" t="s">
        <v>711</v>
      </c>
      <c r="G219">
        <v>1</v>
      </c>
      <c r="H219" t="str">
        <f t="shared" si="7"/>
        <v>August-2025</v>
      </c>
    </row>
    <row r="220" spans="1:8">
      <c r="A220" t="s">
        <v>70</v>
      </c>
      <c r="B220" t="s">
        <v>171</v>
      </c>
      <c r="C220" t="s">
        <v>289</v>
      </c>
      <c r="D220">
        <v>2025</v>
      </c>
      <c r="E220" t="str">
        <f t="shared" si="6"/>
        <v>Q3</v>
      </c>
      <c r="F220" t="s">
        <v>712</v>
      </c>
      <c r="G220">
        <v>1</v>
      </c>
      <c r="H220" t="str">
        <f t="shared" si="7"/>
        <v>September-2025</v>
      </c>
    </row>
    <row r="221" spans="1:8">
      <c r="A221" t="s">
        <v>70</v>
      </c>
      <c r="B221" t="s">
        <v>171</v>
      </c>
      <c r="C221" t="s">
        <v>289</v>
      </c>
      <c r="D221">
        <v>2025</v>
      </c>
      <c r="E221" t="str">
        <f t="shared" si="6"/>
        <v>Q4</v>
      </c>
      <c r="F221" t="s">
        <v>713</v>
      </c>
      <c r="G221">
        <v>1</v>
      </c>
      <c r="H221" t="str">
        <f t="shared" si="7"/>
        <v>October-2025</v>
      </c>
    </row>
    <row r="222" spans="1:8">
      <c r="A222" t="s">
        <v>70</v>
      </c>
      <c r="B222" t="s">
        <v>171</v>
      </c>
      <c r="C222" t="s">
        <v>289</v>
      </c>
      <c r="D222">
        <v>2025</v>
      </c>
      <c r="E222" t="str">
        <f t="shared" si="6"/>
        <v>Q4</v>
      </c>
      <c r="F222" t="s">
        <v>714</v>
      </c>
      <c r="G222">
        <v>0</v>
      </c>
      <c r="H222" t="str">
        <f t="shared" si="7"/>
        <v>November-2025</v>
      </c>
    </row>
    <row r="223" spans="1:8">
      <c r="A223" t="s">
        <v>70</v>
      </c>
      <c r="B223" t="s">
        <v>171</v>
      </c>
      <c r="C223" t="s">
        <v>289</v>
      </c>
      <c r="D223">
        <v>2025</v>
      </c>
      <c r="E223" t="str">
        <f t="shared" si="6"/>
        <v>Q4</v>
      </c>
      <c r="F223" t="s">
        <v>715</v>
      </c>
      <c r="G223">
        <v>0</v>
      </c>
      <c r="H223" t="str">
        <f t="shared" si="7"/>
        <v>December-2025</v>
      </c>
    </row>
    <row r="224" spans="1:8">
      <c r="A224" t="s">
        <v>70</v>
      </c>
      <c r="B224" t="s">
        <v>171</v>
      </c>
      <c r="C224" t="s">
        <v>289</v>
      </c>
      <c r="D224">
        <v>2026</v>
      </c>
      <c r="E224" t="str">
        <f t="shared" si="6"/>
        <v>Q1</v>
      </c>
      <c r="F224" t="s">
        <v>716</v>
      </c>
      <c r="G224">
        <v>0</v>
      </c>
      <c r="H224" t="str">
        <f t="shared" si="7"/>
        <v>January-2026</v>
      </c>
    </row>
    <row r="225" spans="1:8">
      <c r="A225" t="s">
        <v>70</v>
      </c>
      <c r="B225" t="s">
        <v>171</v>
      </c>
      <c r="C225" t="s">
        <v>289</v>
      </c>
      <c r="D225">
        <v>2026</v>
      </c>
      <c r="E225" t="str">
        <f t="shared" si="6"/>
        <v>Q1</v>
      </c>
      <c r="F225" t="s">
        <v>717</v>
      </c>
      <c r="G225">
        <v>0</v>
      </c>
      <c r="H225" t="str">
        <f t="shared" si="7"/>
        <v>February-2026</v>
      </c>
    </row>
    <row r="226" spans="1:8">
      <c r="A226" t="s">
        <v>70</v>
      </c>
      <c r="B226" t="s">
        <v>171</v>
      </c>
      <c r="C226" t="s">
        <v>289</v>
      </c>
      <c r="D226">
        <v>2026</v>
      </c>
      <c r="E226" t="str">
        <f t="shared" si="6"/>
        <v>Q1</v>
      </c>
      <c r="F226" t="s">
        <v>718</v>
      </c>
      <c r="G226">
        <v>0</v>
      </c>
      <c r="H226" t="str">
        <f t="shared" si="7"/>
        <v>March-2026</v>
      </c>
    </row>
    <row r="227" spans="1:8">
      <c r="A227" t="s">
        <v>70</v>
      </c>
      <c r="B227" t="s">
        <v>171</v>
      </c>
      <c r="C227" t="s">
        <v>289</v>
      </c>
      <c r="D227">
        <v>2026</v>
      </c>
      <c r="E227" t="str">
        <f t="shared" si="6"/>
        <v>Q2</v>
      </c>
      <c r="F227" t="s">
        <v>719</v>
      </c>
      <c r="G227">
        <v>0</v>
      </c>
      <c r="H227" t="str">
        <f t="shared" si="7"/>
        <v>April-2026</v>
      </c>
    </row>
    <row r="228" spans="1:8">
      <c r="A228" t="s">
        <v>70</v>
      </c>
      <c r="B228" t="s">
        <v>171</v>
      </c>
      <c r="C228" t="s">
        <v>289</v>
      </c>
      <c r="D228">
        <v>2026</v>
      </c>
      <c r="E228" t="str">
        <f t="shared" si="6"/>
        <v>Q2</v>
      </c>
      <c r="F228" t="s">
        <v>720</v>
      </c>
      <c r="G228">
        <v>0</v>
      </c>
      <c r="H228" t="str">
        <f t="shared" si="7"/>
        <v>May-2026</v>
      </c>
    </row>
    <row r="229" spans="1:8">
      <c r="A229" t="s">
        <v>70</v>
      </c>
      <c r="B229" t="s">
        <v>171</v>
      </c>
      <c r="C229" t="s">
        <v>289</v>
      </c>
      <c r="D229">
        <v>2026</v>
      </c>
      <c r="E229" t="str">
        <f t="shared" si="6"/>
        <v>Q2</v>
      </c>
      <c r="F229" t="s">
        <v>721</v>
      </c>
      <c r="G229">
        <v>0</v>
      </c>
      <c r="H229" t="str">
        <f t="shared" si="7"/>
        <v>June-2026</v>
      </c>
    </row>
    <row r="230" spans="1:8">
      <c r="A230" t="s">
        <v>70</v>
      </c>
      <c r="B230" t="s">
        <v>171</v>
      </c>
      <c r="C230" t="s">
        <v>165</v>
      </c>
      <c r="D230">
        <v>2025</v>
      </c>
      <c r="E230" t="str">
        <f t="shared" si="6"/>
        <v>Q3</v>
      </c>
      <c r="F230" t="s">
        <v>710</v>
      </c>
      <c r="G230">
        <v>0</v>
      </c>
      <c r="H230" t="str">
        <f t="shared" si="7"/>
        <v>July-2025</v>
      </c>
    </row>
    <row r="231" spans="1:8">
      <c r="A231" t="s">
        <v>70</v>
      </c>
      <c r="B231" t="s">
        <v>171</v>
      </c>
      <c r="C231" t="s">
        <v>165</v>
      </c>
      <c r="D231">
        <v>2025</v>
      </c>
      <c r="E231" t="str">
        <f t="shared" si="6"/>
        <v>Q3</v>
      </c>
      <c r="F231" t="s">
        <v>711</v>
      </c>
      <c r="G231">
        <v>0</v>
      </c>
      <c r="H231" t="str">
        <f t="shared" si="7"/>
        <v>August-2025</v>
      </c>
    </row>
    <row r="232" spans="1:8">
      <c r="A232" t="s">
        <v>70</v>
      </c>
      <c r="B232" t="s">
        <v>171</v>
      </c>
      <c r="C232" t="s">
        <v>165</v>
      </c>
      <c r="D232">
        <v>2025</v>
      </c>
      <c r="E232" t="str">
        <f t="shared" si="6"/>
        <v>Q3</v>
      </c>
      <c r="F232" t="s">
        <v>712</v>
      </c>
      <c r="G232">
        <v>0</v>
      </c>
      <c r="H232" t="str">
        <f t="shared" si="7"/>
        <v>September-2025</v>
      </c>
    </row>
    <row r="233" spans="1:8">
      <c r="A233" t="s">
        <v>70</v>
      </c>
      <c r="B233" t="s">
        <v>171</v>
      </c>
      <c r="C233" t="s">
        <v>165</v>
      </c>
      <c r="D233">
        <v>2025</v>
      </c>
      <c r="E233" t="str">
        <f t="shared" si="6"/>
        <v>Q4</v>
      </c>
      <c r="F233" t="s">
        <v>713</v>
      </c>
      <c r="G233">
        <v>0</v>
      </c>
      <c r="H233" t="str">
        <f t="shared" si="7"/>
        <v>October-2025</v>
      </c>
    </row>
    <row r="234" spans="1:8">
      <c r="A234" t="s">
        <v>70</v>
      </c>
      <c r="B234" t="s">
        <v>171</v>
      </c>
      <c r="C234" t="s">
        <v>165</v>
      </c>
      <c r="D234">
        <v>2025</v>
      </c>
      <c r="E234" t="str">
        <f t="shared" si="6"/>
        <v>Q4</v>
      </c>
      <c r="F234" t="s">
        <v>714</v>
      </c>
      <c r="G234">
        <v>0</v>
      </c>
      <c r="H234" t="str">
        <f t="shared" si="7"/>
        <v>November-2025</v>
      </c>
    </row>
    <row r="235" spans="1:8">
      <c r="A235" t="s">
        <v>70</v>
      </c>
      <c r="B235" t="s">
        <v>171</v>
      </c>
      <c r="C235" t="s">
        <v>165</v>
      </c>
      <c r="D235">
        <v>2025</v>
      </c>
      <c r="E235" t="str">
        <f t="shared" si="6"/>
        <v>Q4</v>
      </c>
      <c r="F235" t="s">
        <v>715</v>
      </c>
      <c r="G235">
        <v>0</v>
      </c>
      <c r="H235" t="str">
        <f t="shared" si="7"/>
        <v>December-2025</v>
      </c>
    </row>
    <row r="236" spans="1:8">
      <c r="A236" t="s">
        <v>70</v>
      </c>
      <c r="B236" t="s">
        <v>171</v>
      </c>
      <c r="C236" t="s">
        <v>165</v>
      </c>
      <c r="D236">
        <v>2026</v>
      </c>
      <c r="E236" t="str">
        <f t="shared" si="6"/>
        <v>Q1</v>
      </c>
      <c r="F236" t="s">
        <v>716</v>
      </c>
      <c r="G236">
        <v>0</v>
      </c>
      <c r="H236" t="str">
        <f t="shared" si="7"/>
        <v>January-2026</v>
      </c>
    </row>
    <row r="237" spans="1:8">
      <c r="A237" t="s">
        <v>70</v>
      </c>
      <c r="B237" t="s">
        <v>171</v>
      </c>
      <c r="C237" t="s">
        <v>165</v>
      </c>
      <c r="D237">
        <v>2026</v>
      </c>
      <c r="E237" t="str">
        <f t="shared" si="6"/>
        <v>Q1</v>
      </c>
      <c r="F237" t="s">
        <v>717</v>
      </c>
      <c r="G237">
        <v>0</v>
      </c>
      <c r="H237" t="str">
        <f t="shared" si="7"/>
        <v>February-2026</v>
      </c>
    </row>
    <row r="238" spans="1:8">
      <c r="A238" t="s">
        <v>70</v>
      </c>
      <c r="B238" t="s">
        <v>171</v>
      </c>
      <c r="C238" t="s">
        <v>165</v>
      </c>
      <c r="D238">
        <v>2026</v>
      </c>
      <c r="E238" t="str">
        <f t="shared" si="6"/>
        <v>Q1</v>
      </c>
      <c r="F238" t="s">
        <v>718</v>
      </c>
      <c r="G238">
        <v>0</v>
      </c>
      <c r="H238" t="str">
        <f t="shared" si="7"/>
        <v>March-2026</v>
      </c>
    </row>
    <row r="239" spans="1:8">
      <c r="A239" t="s">
        <v>70</v>
      </c>
      <c r="B239" t="s">
        <v>171</v>
      </c>
      <c r="C239" t="s">
        <v>165</v>
      </c>
      <c r="D239">
        <v>2026</v>
      </c>
      <c r="E239" t="str">
        <f t="shared" si="6"/>
        <v>Q2</v>
      </c>
      <c r="F239" t="s">
        <v>719</v>
      </c>
      <c r="G239">
        <v>0</v>
      </c>
      <c r="H239" t="str">
        <f t="shared" si="7"/>
        <v>April-2026</v>
      </c>
    </row>
    <row r="240" spans="1:8">
      <c r="A240" t="s">
        <v>70</v>
      </c>
      <c r="B240" t="s">
        <v>171</v>
      </c>
      <c r="C240" t="s">
        <v>165</v>
      </c>
      <c r="D240">
        <v>2026</v>
      </c>
      <c r="E240" t="str">
        <f t="shared" si="6"/>
        <v>Q2</v>
      </c>
      <c r="F240" t="s">
        <v>720</v>
      </c>
      <c r="G240">
        <v>0</v>
      </c>
      <c r="H240" t="str">
        <f t="shared" si="7"/>
        <v>May-2026</v>
      </c>
    </row>
    <row r="241" spans="1:8">
      <c r="A241" t="s">
        <v>70</v>
      </c>
      <c r="B241" t="s">
        <v>171</v>
      </c>
      <c r="C241" t="s">
        <v>165</v>
      </c>
      <c r="D241">
        <v>2026</v>
      </c>
      <c r="E241" t="str">
        <f t="shared" si="6"/>
        <v>Q2</v>
      </c>
      <c r="F241" t="s">
        <v>721</v>
      </c>
      <c r="G241">
        <v>0</v>
      </c>
      <c r="H241" t="str">
        <f t="shared" si="7"/>
        <v>June-2026</v>
      </c>
    </row>
    <row r="242" spans="1:8">
      <c r="A242" t="s">
        <v>70</v>
      </c>
      <c r="B242" t="s">
        <v>151</v>
      </c>
      <c r="C242" t="s">
        <v>138</v>
      </c>
      <c r="D242">
        <v>2025</v>
      </c>
      <c r="E242" t="str">
        <f t="shared" si="6"/>
        <v>Q3</v>
      </c>
      <c r="F242" t="s">
        <v>710</v>
      </c>
      <c r="G242">
        <v>0</v>
      </c>
      <c r="H242" t="str">
        <f t="shared" si="7"/>
        <v>July-2025</v>
      </c>
    </row>
    <row r="243" spans="1:8">
      <c r="A243" t="s">
        <v>70</v>
      </c>
      <c r="B243" t="s">
        <v>151</v>
      </c>
      <c r="C243" t="s">
        <v>138</v>
      </c>
      <c r="D243">
        <v>2025</v>
      </c>
      <c r="E243" t="str">
        <f t="shared" si="6"/>
        <v>Q3</v>
      </c>
      <c r="F243" t="s">
        <v>711</v>
      </c>
      <c r="G243">
        <v>0</v>
      </c>
      <c r="H243" t="str">
        <f t="shared" si="7"/>
        <v>August-2025</v>
      </c>
    </row>
    <row r="244" spans="1:8">
      <c r="A244" t="s">
        <v>70</v>
      </c>
      <c r="B244" t="s">
        <v>151</v>
      </c>
      <c r="C244" t="s">
        <v>138</v>
      </c>
      <c r="D244">
        <v>2025</v>
      </c>
      <c r="E244" t="str">
        <f t="shared" si="6"/>
        <v>Q3</v>
      </c>
      <c r="F244" t="s">
        <v>712</v>
      </c>
      <c r="G244">
        <v>0</v>
      </c>
      <c r="H244" t="str">
        <f t="shared" si="7"/>
        <v>September-2025</v>
      </c>
    </row>
    <row r="245" spans="1:8">
      <c r="A245" t="s">
        <v>70</v>
      </c>
      <c r="B245" t="s">
        <v>151</v>
      </c>
      <c r="C245" t="s">
        <v>138</v>
      </c>
      <c r="D245">
        <v>2025</v>
      </c>
      <c r="E245" t="str">
        <f t="shared" si="6"/>
        <v>Q4</v>
      </c>
      <c r="F245" t="s">
        <v>713</v>
      </c>
      <c r="G245">
        <v>0</v>
      </c>
      <c r="H245" t="str">
        <f t="shared" si="7"/>
        <v>October-2025</v>
      </c>
    </row>
    <row r="246" spans="1:8">
      <c r="A246" t="s">
        <v>70</v>
      </c>
      <c r="B246" t="s">
        <v>151</v>
      </c>
      <c r="C246" t="s">
        <v>138</v>
      </c>
      <c r="D246">
        <v>2025</v>
      </c>
      <c r="E246" t="str">
        <f t="shared" si="6"/>
        <v>Q4</v>
      </c>
      <c r="F246" t="s">
        <v>714</v>
      </c>
      <c r="G246">
        <v>0</v>
      </c>
      <c r="H246" t="str">
        <f t="shared" si="7"/>
        <v>November-2025</v>
      </c>
    </row>
    <row r="247" spans="1:8">
      <c r="A247" t="s">
        <v>70</v>
      </c>
      <c r="B247" t="s">
        <v>151</v>
      </c>
      <c r="C247" t="s">
        <v>138</v>
      </c>
      <c r="D247">
        <v>2025</v>
      </c>
      <c r="E247" t="str">
        <f t="shared" si="6"/>
        <v>Q4</v>
      </c>
      <c r="F247" t="s">
        <v>715</v>
      </c>
      <c r="G247">
        <v>0</v>
      </c>
      <c r="H247" t="str">
        <f t="shared" si="7"/>
        <v>December-2025</v>
      </c>
    </row>
    <row r="248" spans="1:8">
      <c r="A248" t="s">
        <v>70</v>
      </c>
      <c r="B248" t="s">
        <v>151</v>
      </c>
      <c r="C248" t="s">
        <v>138</v>
      </c>
      <c r="D248">
        <v>2026</v>
      </c>
      <c r="E248" t="str">
        <f t="shared" si="6"/>
        <v>Q1</v>
      </c>
      <c r="F248" t="s">
        <v>716</v>
      </c>
      <c r="G248">
        <v>0</v>
      </c>
      <c r="H248" t="str">
        <f t="shared" si="7"/>
        <v>January-2026</v>
      </c>
    </row>
    <row r="249" spans="1:8">
      <c r="A249" t="s">
        <v>70</v>
      </c>
      <c r="B249" t="s">
        <v>151</v>
      </c>
      <c r="C249" t="s">
        <v>138</v>
      </c>
      <c r="D249">
        <v>2026</v>
      </c>
      <c r="E249" t="str">
        <f t="shared" si="6"/>
        <v>Q1</v>
      </c>
      <c r="F249" t="s">
        <v>717</v>
      </c>
      <c r="G249">
        <v>0</v>
      </c>
      <c r="H249" t="str">
        <f t="shared" si="7"/>
        <v>February-2026</v>
      </c>
    </row>
    <row r="250" spans="1:8">
      <c r="A250" t="s">
        <v>70</v>
      </c>
      <c r="B250" t="s">
        <v>151</v>
      </c>
      <c r="C250" t="s">
        <v>138</v>
      </c>
      <c r="D250">
        <v>2026</v>
      </c>
      <c r="E250" t="str">
        <f t="shared" si="6"/>
        <v>Q1</v>
      </c>
      <c r="F250" t="s">
        <v>718</v>
      </c>
      <c r="G250">
        <v>0</v>
      </c>
      <c r="H250" t="str">
        <f t="shared" si="7"/>
        <v>March-2026</v>
      </c>
    </row>
    <row r="251" spans="1:8">
      <c r="A251" t="s">
        <v>70</v>
      </c>
      <c r="B251" t="s">
        <v>151</v>
      </c>
      <c r="C251" t="s">
        <v>138</v>
      </c>
      <c r="D251">
        <v>2026</v>
      </c>
      <c r="E251" t="str">
        <f t="shared" si="6"/>
        <v>Q2</v>
      </c>
      <c r="F251" t="s">
        <v>719</v>
      </c>
      <c r="G251">
        <v>0</v>
      </c>
      <c r="H251" t="str">
        <f t="shared" si="7"/>
        <v>April-2026</v>
      </c>
    </row>
    <row r="252" spans="1:8">
      <c r="A252" t="s">
        <v>70</v>
      </c>
      <c r="B252" t="s">
        <v>151</v>
      </c>
      <c r="C252" t="s">
        <v>138</v>
      </c>
      <c r="D252">
        <v>2026</v>
      </c>
      <c r="E252" t="str">
        <f t="shared" si="6"/>
        <v>Q2</v>
      </c>
      <c r="F252" t="s">
        <v>720</v>
      </c>
      <c r="G252">
        <v>0</v>
      </c>
      <c r="H252" t="str">
        <f t="shared" si="7"/>
        <v>May-2026</v>
      </c>
    </row>
    <row r="253" spans="1:8">
      <c r="A253" t="s">
        <v>70</v>
      </c>
      <c r="B253" t="s">
        <v>151</v>
      </c>
      <c r="C253" t="s">
        <v>138</v>
      </c>
      <c r="D253">
        <v>2026</v>
      </c>
      <c r="E253" t="str">
        <f t="shared" si="6"/>
        <v>Q2</v>
      </c>
      <c r="F253" t="s">
        <v>721</v>
      </c>
      <c r="G253">
        <v>0</v>
      </c>
      <c r="H253" t="str">
        <f t="shared" si="7"/>
        <v>June-2026</v>
      </c>
    </row>
    <row r="254" spans="1:8">
      <c r="A254" t="s">
        <v>70</v>
      </c>
      <c r="B254" t="s">
        <v>151</v>
      </c>
      <c r="C254" t="s">
        <v>172</v>
      </c>
      <c r="D254">
        <v>2025</v>
      </c>
      <c r="E254" t="str">
        <f t="shared" si="6"/>
        <v>Q3</v>
      </c>
      <c r="F254" t="s">
        <v>710</v>
      </c>
      <c r="G254">
        <v>1</v>
      </c>
      <c r="H254" t="str">
        <f t="shared" si="7"/>
        <v>July-2025</v>
      </c>
    </row>
    <row r="255" spans="1:8">
      <c r="A255" t="s">
        <v>70</v>
      </c>
      <c r="B255" t="s">
        <v>151</v>
      </c>
      <c r="C255" t="s">
        <v>172</v>
      </c>
      <c r="D255">
        <v>2025</v>
      </c>
      <c r="E255" t="str">
        <f t="shared" si="6"/>
        <v>Q3</v>
      </c>
      <c r="F255" t="s">
        <v>711</v>
      </c>
      <c r="G255">
        <v>1</v>
      </c>
      <c r="H255" t="str">
        <f t="shared" si="7"/>
        <v>August-2025</v>
      </c>
    </row>
    <row r="256" spans="1:8">
      <c r="A256" t="s">
        <v>70</v>
      </c>
      <c r="B256" t="s">
        <v>151</v>
      </c>
      <c r="C256" t="s">
        <v>172</v>
      </c>
      <c r="D256">
        <v>2025</v>
      </c>
      <c r="E256" t="str">
        <f t="shared" si="6"/>
        <v>Q3</v>
      </c>
      <c r="F256" t="s">
        <v>712</v>
      </c>
      <c r="G256">
        <v>0</v>
      </c>
      <c r="H256" t="str">
        <f t="shared" si="7"/>
        <v>September-2025</v>
      </c>
    </row>
    <row r="257" spans="1:8">
      <c r="A257" t="s">
        <v>70</v>
      </c>
      <c r="B257" t="s">
        <v>151</v>
      </c>
      <c r="C257" t="s">
        <v>172</v>
      </c>
      <c r="D257">
        <v>2025</v>
      </c>
      <c r="E257" t="str">
        <f t="shared" si="6"/>
        <v>Q4</v>
      </c>
      <c r="F257" t="s">
        <v>713</v>
      </c>
      <c r="G257">
        <v>0</v>
      </c>
      <c r="H257" t="str">
        <f t="shared" si="7"/>
        <v>October-2025</v>
      </c>
    </row>
    <row r="258" spans="1:8">
      <c r="A258" t="s">
        <v>70</v>
      </c>
      <c r="B258" t="s">
        <v>151</v>
      </c>
      <c r="C258" t="s">
        <v>172</v>
      </c>
      <c r="D258">
        <v>2025</v>
      </c>
      <c r="E258" t="str">
        <f t="shared" si="6"/>
        <v>Q4</v>
      </c>
      <c r="F258" t="s">
        <v>714</v>
      </c>
      <c r="G258">
        <v>0</v>
      </c>
      <c r="H258" t="str">
        <f t="shared" si="7"/>
        <v>November-2025</v>
      </c>
    </row>
    <row r="259" spans="1:8">
      <c r="A259" t="s">
        <v>70</v>
      </c>
      <c r="B259" t="s">
        <v>151</v>
      </c>
      <c r="C259" t="s">
        <v>172</v>
      </c>
      <c r="D259">
        <v>2025</v>
      </c>
      <c r="E259" t="str">
        <f t="shared" ref="E259:E322" si="8">"Q"&amp;ROUNDUP(MONTH(DATEVALUE(F259&amp;" 1"))/3,0)</f>
        <v>Q4</v>
      </c>
      <c r="F259" t="s">
        <v>715</v>
      </c>
      <c r="G259">
        <v>0</v>
      </c>
      <c r="H259" t="str">
        <f t="shared" ref="H259:H322" si="9">_xlfn.CONCAT(F259,"-",D259)</f>
        <v>December-2025</v>
      </c>
    </row>
    <row r="260" spans="1:8">
      <c r="A260" t="s">
        <v>70</v>
      </c>
      <c r="B260" t="s">
        <v>151</v>
      </c>
      <c r="C260" t="s">
        <v>172</v>
      </c>
      <c r="D260">
        <v>2026</v>
      </c>
      <c r="E260" t="str">
        <f t="shared" si="8"/>
        <v>Q1</v>
      </c>
      <c r="F260" t="s">
        <v>716</v>
      </c>
      <c r="G260">
        <v>0</v>
      </c>
      <c r="H260" t="str">
        <f t="shared" si="9"/>
        <v>January-2026</v>
      </c>
    </row>
    <row r="261" spans="1:8">
      <c r="A261" t="s">
        <v>70</v>
      </c>
      <c r="B261" t="s">
        <v>151</v>
      </c>
      <c r="C261" t="s">
        <v>172</v>
      </c>
      <c r="D261">
        <v>2026</v>
      </c>
      <c r="E261" t="str">
        <f t="shared" si="8"/>
        <v>Q1</v>
      </c>
      <c r="F261" t="s">
        <v>717</v>
      </c>
      <c r="G261">
        <v>0</v>
      </c>
      <c r="H261" t="str">
        <f t="shared" si="9"/>
        <v>February-2026</v>
      </c>
    </row>
    <row r="262" spans="1:8">
      <c r="A262" t="s">
        <v>70</v>
      </c>
      <c r="B262" t="s">
        <v>151</v>
      </c>
      <c r="C262" t="s">
        <v>172</v>
      </c>
      <c r="D262">
        <v>2026</v>
      </c>
      <c r="E262" t="str">
        <f t="shared" si="8"/>
        <v>Q1</v>
      </c>
      <c r="F262" t="s">
        <v>718</v>
      </c>
      <c r="G262">
        <v>0</v>
      </c>
      <c r="H262" t="str">
        <f t="shared" si="9"/>
        <v>March-2026</v>
      </c>
    </row>
    <row r="263" spans="1:8">
      <c r="A263" t="s">
        <v>70</v>
      </c>
      <c r="B263" t="s">
        <v>151</v>
      </c>
      <c r="C263" t="s">
        <v>172</v>
      </c>
      <c r="D263">
        <v>2026</v>
      </c>
      <c r="E263" t="str">
        <f t="shared" si="8"/>
        <v>Q2</v>
      </c>
      <c r="F263" t="s">
        <v>719</v>
      </c>
      <c r="G263">
        <v>0</v>
      </c>
      <c r="H263" t="str">
        <f t="shared" si="9"/>
        <v>April-2026</v>
      </c>
    </row>
    <row r="264" spans="1:8">
      <c r="A264" t="s">
        <v>70</v>
      </c>
      <c r="B264" t="s">
        <v>151</v>
      </c>
      <c r="C264" t="s">
        <v>172</v>
      </c>
      <c r="D264">
        <v>2026</v>
      </c>
      <c r="E264" t="str">
        <f t="shared" si="8"/>
        <v>Q2</v>
      </c>
      <c r="F264" t="s">
        <v>720</v>
      </c>
      <c r="G264">
        <v>0</v>
      </c>
      <c r="H264" t="str">
        <f t="shared" si="9"/>
        <v>May-2026</v>
      </c>
    </row>
    <row r="265" spans="1:8">
      <c r="A265" t="s">
        <v>70</v>
      </c>
      <c r="B265" t="s">
        <v>151</v>
      </c>
      <c r="C265" t="s">
        <v>172</v>
      </c>
      <c r="D265">
        <v>2026</v>
      </c>
      <c r="E265" t="str">
        <f t="shared" si="8"/>
        <v>Q2</v>
      </c>
      <c r="F265" t="s">
        <v>721</v>
      </c>
      <c r="G265">
        <v>0</v>
      </c>
      <c r="H265" t="str">
        <f t="shared" si="9"/>
        <v>June-2026</v>
      </c>
    </row>
    <row r="266" spans="1:8">
      <c r="A266" t="s">
        <v>70</v>
      </c>
      <c r="B266" t="s">
        <v>151</v>
      </c>
      <c r="C266" t="s">
        <v>165</v>
      </c>
      <c r="D266">
        <v>2025</v>
      </c>
      <c r="E266" t="str">
        <f t="shared" si="8"/>
        <v>Q3</v>
      </c>
      <c r="F266" t="s">
        <v>710</v>
      </c>
      <c r="G266">
        <v>0</v>
      </c>
      <c r="H266" t="str">
        <f t="shared" si="9"/>
        <v>July-2025</v>
      </c>
    </row>
    <row r="267" spans="1:8">
      <c r="A267" t="s">
        <v>70</v>
      </c>
      <c r="B267" t="s">
        <v>151</v>
      </c>
      <c r="C267" t="s">
        <v>165</v>
      </c>
      <c r="D267">
        <v>2025</v>
      </c>
      <c r="E267" t="str">
        <f t="shared" si="8"/>
        <v>Q3</v>
      </c>
      <c r="F267" t="s">
        <v>711</v>
      </c>
      <c r="G267">
        <v>0</v>
      </c>
      <c r="H267" t="str">
        <f t="shared" si="9"/>
        <v>August-2025</v>
      </c>
    </row>
    <row r="268" spans="1:8">
      <c r="A268" t="s">
        <v>70</v>
      </c>
      <c r="B268" t="s">
        <v>151</v>
      </c>
      <c r="C268" t="s">
        <v>165</v>
      </c>
      <c r="D268">
        <v>2025</v>
      </c>
      <c r="E268" t="str">
        <f t="shared" si="8"/>
        <v>Q3</v>
      </c>
      <c r="F268" t="s">
        <v>712</v>
      </c>
      <c r="G268">
        <v>0</v>
      </c>
      <c r="H268" t="str">
        <f t="shared" si="9"/>
        <v>September-2025</v>
      </c>
    </row>
    <row r="269" spans="1:8">
      <c r="A269" t="s">
        <v>70</v>
      </c>
      <c r="B269" t="s">
        <v>151</v>
      </c>
      <c r="C269" t="s">
        <v>165</v>
      </c>
      <c r="D269">
        <v>2025</v>
      </c>
      <c r="E269" t="str">
        <f t="shared" si="8"/>
        <v>Q4</v>
      </c>
      <c r="F269" t="s">
        <v>713</v>
      </c>
      <c r="G269">
        <v>0</v>
      </c>
      <c r="H269" t="str">
        <f t="shared" si="9"/>
        <v>October-2025</v>
      </c>
    </row>
    <row r="270" spans="1:8">
      <c r="A270" t="s">
        <v>70</v>
      </c>
      <c r="B270" t="s">
        <v>151</v>
      </c>
      <c r="C270" t="s">
        <v>165</v>
      </c>
      <c r="D270">
        <v>2025</v>
      </c>
      <c r="E270" t="str">
        <f t="shared" si="8"/>
        <v>Q4</v>
      </c>
      <c r="F270" t="s">
        <v>714</v>
      </c>
      <c r="G270">
        <v>0</v>
      </c>
      <c r="H270" t="str">
        <f t="shared" si="9"/>
        <v>November-2025</v>
      </c>
    </row>
    <row r="271" spans="1:8">
      <c r="A271" t="s">
        <v>70</v>
      </c>
      <c r="B271" t="s">
        <v>151</v>
      </c>
      <c r="C271" t="s">
        <v>165</v>
      </c>
      <c r="D271">
        <v>2025</v>
      </c>
      <c r="E271" t="str">
        <f t="shared" si="8"/>
        <v>Q4</v>
      </c>
      <c r="F271" t="s">
        <v>715</v>
      </c>
      <c r="G271">
        <v>0</v>
      </c>
      <c r="H271" t="str">
        <f t="shared" si="9"/>
        <v>December-2025</v>
      </c>
    </row>
    <row r="272" spans="1:8">
      <c r="A272" t="s">
        <v>70</v>
      </c>
      <c r="B272" t="s">
        <v>151</v>
      </c>
      <c r="C272" t="s">
        <v>165</v>
      </c>
      <c r="D272">
        <v>2026</v>
      </c>
      <c r="E272" t="str">
        <f t="shared" si="8"/>
        <v>Q1</v>
      </c>
      <c r="F272" t="s">
        <v>716</v>
      </c>
      <c r="G272">
        <v>0</v>
      </c>
      <c r="H272" t="str">
        <f t="shared" si="9"/>
        <v>January-2026</v>
      </c>
    </row>
    <row r="273" spans="1:8">
      <c r="A273" t="s">
        <v>70</v>
      </c>
      <c r="B273" t="s">
        <v>151</v>
      </c>
      <c r="C273" t="s">
        <v>165</v>
      </c>
      <c r="D273">
        <v>2026</v>
      </c>
      <c r="E273" t="str">
        <f t="shared" si="8"/>
        <v>Q1</v>
      </c>
      <c r="F273" t="s">
        <v>717</v>
      </c>
      <c r="G273">
        <v>0</v>
      </c>
      <c r="H273" t="str">
        <f t="shared" si="9"/>
        <v>February-2026</v>
      </c>
    </row>
    <row r="274" spans="1:8">
      <c r="A274" t="s">
        <v>70</v>
      </c>
      <c r="B274" t="s">
        <v>151</v>
      </c>
      <c r="C274" t="s">
        <v>165</v>
      </c>
      <c r="D274">
        <v>2026</v>
      </c>
      <c r="E274" t="str">
        <f t="shared" si="8"/>
        <v>Q1</v>
      </c>
      <c r="F274" t="s">
        <v>718</v>
      </c>
      <c r="G274">
        <v>0</v>
      </c>
      <c r="H274" t="str">
        <f t="shared" si="9"/>
        <v>March-2026</v>
      </c>
    </row>
    <row r="275" spans="1:8">
      <c r="A275" t="s">
        <v>70</v>
      </c>
      <c r="B275" t="s">
        <v>151</v>
      </c>
      <c r="C275" t="s">
        <v>165</v>
      </c>
      <c r="D275">
        <v>2026</v>
      </c>
      <c r="E275" t="str">
        <f t="shared" si="8"/>
        <v>Q2</v>
      </c>
      <c r="F275" t="s">
        <v>719</v>
      </c>
      <c r="G275">
        <v>0</v>
      </c>
      <c r="H275" t="str">
        <f t="shared" si="9"/>
        <v>April-2026</v>
      </c>
    </row>
    <row r="276" spans="1:8">
      <c r="A276" t="s">
        <v>70</v>
      </c>
      <c r="B276" t="s">
        <v>151</v>
      </c>
      <c r="C276" t="s">
        <v>165</v>
      </c>
      <c r="D276">
        <v>2026</v>
      </c>
      <c r="E276" t="str">
        <f t="shared" si="8"/>
        <v>Q2</v>
      </c>
      <c r="F276" t="s">
        <v>720</v>
      </c>
      <c r="G276">
        <v>0</v>
      </c>
      <c r="H276" t="str">
        <f t="shared" si="9"/>
        <v>May-2026</v>
      </c>
    </row>
    <row r="277" spans="1:8">
      <c r="A277" t="s">
        <v>70</v>
      </c>
      <c r="B277" t="s">
        <v>151</v>
      </c>
      <c r="C277" t="s">
        <v>165</v>
      </c>
      <c r="D277">
        <v>2026</v>
      </c>
      <c r="E277" t="str">
        <f t="shared" si="8"/>
        <v>Q2</v>
      </c>
      <c r="F277" t="s">
        <v>721</v>
      </c>
      <c r="G277">
        <v>0</v>
      </c>
      <c r="H277" t="str">
        <f t="shared" si="9"/>
        <v>June-2026</v>
      </c>
    </row>
    <row r="278" spans="1:8">
      <c r="A278" t="s">
        <v>70</v>
      </c>
      <c r="B278" t="s">
        <v>218</v>
      </c>
      <c r="C278" t="s">
        <v>86</v>
      </c>
      <c r="D278">
        <v>2025</v>
      </c>
      <c r="E278" t="str">
        <f t="shared" si="8"/>
        <v>Q3</v>
      </c>
      <c r="F278" t="s">
        <v>710</v>
      </c>
      <c r="G278">
        <v>1</v>
      </c>
      <c r="H278" t="str">
        <f t="shared" si="9"/>
        <v>July-2025</v>
      </c>
    </row>
    <row r="279" spans="1:8">
      <c r="A279" t="s">
        <v>70</v>
      </c>
      <c r="B279" t="s">
        <v>218</v>
      </c>
      <c r="C279" t="s">
        <v>86</v>
      </c>
      <c r="D279">
        <v>2025</v>
      </c>
      <c r="E279" t="str">
        <f t="shared" si="8"/>
        <v>Q3</v>
      </c>
      <c r="F279" t="s">
        <v>711</v>
      </c>
      <c r="G279">
        <v>1</v>
      </c>
      <c r="H279" t="str">
        <f t="shared" si="9"/>
        <v>August-2025</v>
      </c>
    </row>
    <row r="280" spans="1:8">
      <c r="A280" t="s">
        <v>70</v>
      </c>
      <c r="B280" t="s">
        <v>218</v>
      </c>
      <c r="C280" t="s">
        <v>86</v>
      </c>
      <c r="D280">
        <v>2025</v>
      </c>
      <c r="E280" t="str">
        <f t="shared" si="8"/>
        <v>Q3</v>
      </c>
      <c r="F280" t="s">
        <v>712</v>
      </c>
      <c r="G280">
        <v>1</v>
      </c>
      <c r="H280" t="str">
        <f t="shared" si="9"/>
        <v>September-2025</v>
      </c>
    </row>
    <row r="281" spans="1:8">
      <c r="A281" t="s">
        <v>70</v>
      </c>
      <c r="B281" t="s">
        <v>218</v>
      </c>
      <c r="C281" t="s">
        <v>86</v>
      </c>
      <c r="D281">
        <v>2025</v>
      </c>
      <c r="E281" t="str">
        <f t="shared" si="8"/>
        <v>Q4</v>
      </c>
      <c r="F281" t="s">
        <v>713</v>
      </c>
      <c r="G281">
        <v>1</v>
      </c>
      <c r="H281" t="str">
        <f t="shared" si="9"/>
        <v>October-2025</v>
      </c>
    </row>
    <row r="282" spans="1:8">
      <c r="A282" t="s">
        <v>70</v>
      </c>
      <c r="B282" t="s">
        <v>218</v>
      </c>
      <c r="C282" t="s">
        <v>86</v>
      </c>
      <c r="D282">
        <v>2025</v>
      </c>
      <c r="E282" t="str">
        <f t="shared" si="8"/>
        <v>Q4</v>
      </c>
      <c r="F282" t="s">
        <v>714</v>
      </c>
      <c r="G282">
        <v>0</v>
      </c>
      <c r="H282" t="str">
        <f t="shared" si="9"/>
        <v>November-2025</v>
      </c>
    </row>
    <row r="283" spans="1:8">
      <c r="A283" t="s">
        <v>70</v>
      </c>
      <c r="B283" t="s">
        <v>218</v>
      </c>
      <c r="C283" t="s">
        <v>86</v>
      </c>
      <c r="D283">
        <v>2025</v>
      </c>
      <c r="E283" t="str">
        <f t="shared" si="8"/>
        <v>Q4</v>
      </c>
      <c r="F283" t="s">
        <v>715</v>
      </c>
      <c r="G283">
        <v>0</v>
      </c>
      <c r="H283" t="str">
        <f t="shared" si="9"/>
        <v>December-2025</v>
      </c>
    </row>
    <row r="284" spans="1:8">
      <c r="A284" t="s">
        <v>70</v>
      </c>
      <c r="B284" t="s">
        <v>218</v>
      </c>
      <c r="C284" t="s">
        <v>86</v>
      </c>
      <c r="D284">
        <v>2026</v>
      </c>
      <c r="E284" t="str">
        <f t="shared" si="8"/>
        <v>Q1</v>
      </c>
      <c r="F284" t="s">
        <v>716</v>
      </c>
      <c r="G284">
        <v>0</v>
      </c>
      <c r="H284" t="str">
        <f t="shared" si="9"/>
        <v>January-2026</v>
      </c>
    </row>
    <row r="285" spans="1:8">
      <c r="A285" t="s">
        <v>70</v>
      </c>
      <c r="B285" t="s">
        <v>218</v>
      </c>
      <c r="C285" t="s">
        <v>86</v>
      </c>
      <c r="D285">
        <v>2026</v>
      </c>
      <c r="E285" t="str">
        <f t="shared" si="8"/>
        <v>Q1</v>
      </c>
      <c r="F285" t="s">
        <v>717</v>
      </c>
      <c r="G285">
        <v>0</v>
      </c>
      <c r="H285" t="str">
        <f t="shared" si="9"/>
        <v>February-2026</v>
      </c>
    </row>
    <row r="286" spans="1:8">
      <c r="A286" t="s">
        <v>70</v>
      </c>
      <c r="B286" t="s">
        <v>218</v>
      </c>
      <c r="C286" t="s">
        <v>86</v>
      </c>
      <c r="D286">
        <v>2026</v>
      </c>
      <c r="E286" t="str">
        <f t="shared" si="8"/>
        <v>Q1</v>
      </c>
      <c r="F286" t="s">
        <v>718</v>
      </c>
      <c r="G286">
        <v>0</v>
      </c>
      <c r="H286" t="str">
        <f t="shared" si="9"/>
        <v>March-2026</v>
      </c>
    </row>
    <row r="287" spans="1:8">
      <c r="A287" t="s">
        <v>70</v>
      </c>
      <c r="B287" t="s">
        <v>218</v>
      </c>
      <c r="C287" t="s">
        <v>86</v>
      </c>
      <c r="D287">
        <v>2026</v>
      </c>
      <c r="E287" t="str">
        <f t="shared" si="8"/>
        <v>Q2</v>
      </c>
      <c r="F287" t="s">
        <v>719</v>
      </c>
      <c r="G287">
        <v>0</v>
      </c>
      <c r="H287" t="str">
        <f t="shared" si="9"/>
        <v>April-2026</v>
      </c>
    </row>
    <row r="288" spans="1:8">
      <c r="A288" t="s">
        <v>70</v>
      </c>
      <c r="B288" t="s">
        <v>218</v>
      </c>
      <c r="C288" t="s">
        <v>86</v>
      </c>
      <c r="D288">
        <v>2026</v>
      </c>
      <c r="E288" t="str">
        <f t="shared" si="8"/>
        <v>Q2</v>
      </c>
      <c r="F288" t="s">
        <v>720</v>
      </c>
      <c r="G288">
        <v>0</v>
      </c>
      <c r="H288" t="str">
        <f t="shared" si="9"/>
        <v>May-2026</v>
      </c>
    </row>
    <row r="289" spans="1:8">
      <c r="A289" t="s">
        <v>70</v>
      </c>
      <c r="B289" t="s">
        <v>218</v>
      </c>
      <c r="C289" t="s">
        <v>86</v>
      </c>
      <c r="D289">
        <v>2026</v>
      </c>
      <c r="E289" t="str">
        <f t="shared" si="8"/>
        <v>Q2</v>
      </c>
      <c r="F289" t="s">
        <v>721</v>
      </c>
      <c r="G289">
        <v>0</v>
      </c>
      <c r="H289" t="str">
        <f t="shared" si="9"/>
        <v>June-2026</v>
      </c>
    </row>
    <row r="290" spans="1:8">
      <c r="A290" t="s">
        <v>70</v>
      </c>
      <c r="B290" t="s">
        <v>218</v>
      </c>
      <c r="C290" t="s">
        <v>76</v>
      </c>
      <c r="D290">
        <v>2025</v>
      </c>
      <c r="E290" t="str">
        <f t="shared" si="8"/>
        <v>Q3</v>
      </c>
      <c r="F290" t="s">
        <v>710</v>
      </c>
      <c r="G290">
        <v>1</v>
      </c>
      <c r="H290" t="str">
        <f t="shared" si="9"/>
        <v>July-2025</v>
      </c>
    </row>
    <row r="291" spans="1:8">
      <c r="A291" t="s">
        <v>70</v>
      </c>
      <c r="B291" t="s">
        <v>218</v>
      </c>
      <c r="C291" t="s">
        <v>76</v>
      </c>
      <c r="D291">
        <v>2025</v>
      </c>
      <c r="E291" t="str">
        <f t="shared" si="8"/>
        <v>Q3</v>
      </c>
      <c r="F291" t="s">
        <v>711</v>
      </c>
      <c r="G291">
        <v>1</v>
      </c>
      <c r="H291" t="str">
        <f t="shared" si="9"/>
        <v>August-2025</v>
      </c>
    </row>
    <row r="292" spans="1:8">
      <c r="A292" t="s">
        <v>70</v>
      </c>
      <c r="B292" t="s">
        <v>218</v>
      </c>
      <c r="C292" t="s">
        <v>76</v>
      </c>
      <c r="D292">
        <v>2025</v>
      </c>
      <c r="E292" t="str">
        <f t="shared" si="8"/>
        <v>Q3</v>
      </c>
      <c r="F292" t="s">
        <v>712</v>
      </c>
      <c r="G292">
        <v>1</v>
      </c>
      <c r="H292" t="str">
        <f t="shared" si="9"/>
        <v>September-2025</v>
      </c>
    </row>
    <row r="293" spans="1:8">
      <c r="A293" t="s">
        <v>70</v>
      </c>
      <c r="B293" t="s">
        <v>218</v>
      </c>
      <c r="C293" t="s">
        <v>76</v>
      </c>
      <c r="D293">
        <v>2025</v>
      </c>
      <c r="E293" t="str">
        <f t="shared" si="8"/>
        <v>Q4</v>
      </c>
      <c r="F293" t="s">
        <v>713</v>
      </c>
      <c r="G293">
        <v>1</v>
      </c>
      <c r="H293" t="str">
        <f t="shared" si="9"/>
        <v>October-2025</v>
      </c>
    </row>
    <row r="294" spans="1:8">
      <c r="A294" t="s">
        <v>70</v>
      </c>
      <c r="B294" t="s">
        <v>218</v>
      </c>
      <c r="C294" t="s">
        <v>76</v>
      </c>
      <c r="D294">
        <v>2025</v>
      </c>
      <c r="E294" t="str">
        <f t="shared" si="8"/>
        <v>Q4</v>
      </c>
      <c r="F294" t="s">
        <v>714</v>
      </c>
      <c r="G294">
        <v>1</v>
      </c>
      <c r="H294" t="str">
        <f t="shared" si="9"/>
        <v>November-2025</v>
      </c>
    </row>
    <row r="295" spans="1:8">
      <c r="A295" t="s">
        <v>70</v>
      </c>
      <c r="B295" t="s">
        <v>218</v>
      </c>
      <c r="C295" t="s">
        <v>76</v>
      </c>
      <c r="D295">
        <v>2025</v>
      </c>
      <c r="E295" t="str">
        <f t="shared" si="8"/>
        <v>Q4</v>
      </c>
      <c r="F295" t="s">
        <v>715</v>
      </c>
      <c r="G295">
        <v>0</v>
      </c>
      <c r="H295" t="str">
        <f t="shared" si="9"/>
        <v>December-2025</v>
      </c>
    </row>
    <row r="296" spans="1:8">
      <c r="A296" t="s">
        <v>70</v>
      </c>
      <c r="B296" t="s">
        <v>218</v>
      </c>
      <c r="C296" t="s">
        <v>76</v>
      </c>
      <c r="D296">
        <v>2026</v>
      </c>
      <c r="E296" t="str">
        <f t="shared" si="8"/>
        <v>Q1</v>
      </c>
      <c r="F296" t="s">
        <v>716</v>
      </c>
      <c r="G296">
        <v>0</v>
      </c>
      <c r="H296" t="str">
        <f t="shared" si="9"/>
        <v>January-2026</v>
      </c>
    </row>
    <row r="297" spans="1:8">
      <c r="A297" t="s">
        <v>70</v>
      </c>
      <c r="B297" t="s">
        <v>218</v>
      </c>
      <c r="C297" t="s">
        <v>76</v>
      </c>
      <c r="D297">
        <v>2026</v>
      </c>
      <c r="E297" t="str">
        <f t="shared" si="8"/>
        <v>Q1</v>
      </c>
      <c r="F297" t="s">
        <v>717</v>
      </c>
      <c r="G297">
        <v>0</v>
      </c>
      <c r="H297" t="str">
        <f t="shared" si="9"/>
        <v>February-2026</v>
      </c>
    </row>
    <row r="298" spans="1:8">
      <c r="A298" t="s">
        <v>70</v>
      </c>
      <c r="B298" t="s">
        <v>218</v>
      </c>
      <c r="C298" t="s">
        <v>76</v>
      </c>
      <c r="D298">
        <v>2026</v>
      </c>
      <c r="E298" t="str">
        <f t="shared" si="8"/>
        <v>Q1</v>
      </c>
      <c r="F298" t="s">
        <v>718</v>
      </c>
      <c r="G298">
        <v>1</v>
      </c>
      <c r="H298" t="str">
        <f t="shared" si="9"/>
        <v>March-2026</v>
      </c>
    </row>
    <row r="299" spans="1:8">
      <c r="A299" t="s">
        <v>70</v>
      </c>
      <c r="B299" t="s">
        <v>218</v>
      </c>
      <c r="C299" t="s">
        <v>76</v>
      </c>
      <c r="D299">
        <v>2026</v>
      </c>
      <c r="E299" t="str">
        <f t="shared" si="8"/>
        <v>Q2</v>
      </c>
      <c r="F299" t="s">
        <v>719</v>
      </c>
      <c r="G299">
        <v>0</v>
      </c>
      <c r="H299" t="str">
        <f t="shared" si="9"/>
        <v>April-2026</v>
      </c>
    </row>
    <row r="300" spans="1:8">
      <c r="A300" t="s">
        <v>70</v>
      </c>
      <c r="B300" t="s">
        <v>218</v>
      </c>
      <c r="C300" t="s">
        <v>76</v>
      </c>
      <c r="D300">
        <v>2026</v>
      </c>
      <c r="E300" t="str">
        <f t="shared" si="8"/>
        <v>Q2</v>
      </c>
      <c r="F300" t="s">
        <v>720</v>
      </c>
      <c r="G300">
        <v>0</v>
      </c>
      <c r="H300" t="str">
        <f t="shared" si="9"/>
        <v>May-2026</v>
      </c>
    </row>
    <row r="301" spans="1:8">
      <c r="A301" t="s">
        <v>70</v>
      </c>
      <c r="B301" t="s">
        <v>218</v>
      </c>
      <c r="C301" t="s">
        <v>76</v>
      </c>
      <c r="D301">
        <v>2026</v>
      </c>
      <c r="E301" t="str">
        <f t="shared" si="8"/>
        <v>Q2</v>
      </c>
      <c r="F301" t="s">
        <v>721</v>
      </c>
      <c r="G301">
        <v>1</v>
      </c>
      <c r="H301" t="str">
        <f t="shared" si="9"/>
        <v>June-2026</v>
      </c>
    </row>
    <row r="302" spans="1:8">
      <c r="A302" t="s">
        <v>70</v>
      </c>
      <c r="B302" t="s">
        <v>218</v>
      </c>
      <c r="C302" t="s">
        <v>165</v>
      </c>
      <c r="D302">
        <v>2025</v>
      </c>
      <c r="E302" t="str">
        <f t="shared" si="8"/>
        <v>Q3</v>
      </c>
      <c r="F302" t="s">
        <v>710</v>
      </c>
      <c r="G302">
        <v>1</v>
      </c>
      <c r="H302" t="str">
        <f t="shared" si="9"/>
        <v>July-2025</v>
      </c>
    </row>
    <row r="303" spans="1:8">
      <c r="A303" t="s">
        <v>70</v>
      </c>
      <c r="B303" t="s">
        <v>218</v>
      </c>
      <c r="C303" t="s">
        <v>165</v>
      </c>
      <c r="D303">
        <v>2025</v>
      </c>
      <c r="E303" t="str">
        <f t="shared" si="8"/>
        <v>Q3</v>
      </c>
      <c r="F303" t="s">
        <v>711</v>
      </c>
      <c r="G303">
        <v>1</v>
      </c>
      <c r="H303" t="str">
        <f t="shared" si="9"/>
        <v>August-2025</v>
      </c>
    </row>
    <row r="304" spans="1:8">
      <c r="A304" t="s">
        <v>70</v>
      </c>
      <c r="B304" t="s">
        <v>218</v>
      </c>
      <c r="C304" t="s">
        <v>165</v>
      </c>
      <c r="D304">
        <v>2025</v>
      </c>
      <c r="E304" t="str">
        <f t="shared" si="8"/>
        <v>Q3</v>
      </c>
      <c r="F304" t="s">
        <v>712</v>
      </c>
      <c r="G304">
        <v>1</v>
      </c>
      <c r="H304" t="str">
        <f t="shared" si="9"/>
        <v>September-2025</v>
      </c>
    </row>
    <row r="305" spans="1:8">
      <c r="A305" t="s">
        <v>70</v>
      </c>
      <c r="B305" t="s">
        <v>218</v>
      </c>
      <c r="C305" t="s">
        <v>165</v>
      </c>
      <c r="D305">
        <v>2025</v>
      </c>
      <c r="E305" t="str">
        <f t="shared" si="8"/>
        <v>Q4</v>
      </c>
      <c r="F305" t="s">
        <v>713</v>
      </c>
      <c r="G305">
        <v>1</v>
      </c>
      <c r="H305" t="str">
        <f t="shared" si="9"/>
        <v>October-2025</v>
      </c>
    </row>
    <row r="306" spans="1:8">
      <c r="A306" t="s">
        <v>70</v>
      </c>
      <c r="B306" t="s">
        <v>218</v>
      </c>
      <c r="C306" t="s">
        <v>165</v>
      </c>
      <c r="D306">
        <v>2025</v>
      </c>
      <c r="E306" t="str">
        <f t="shared" si="8"/>
        <v>Q4</v>
      </c>
      <c r="F306" t="s">
        <v>714</v>
      </c>
      <c r="G306">
        <v>0</v>
      </c>
      <c r="H306" t="str">
        <f t="shared" si="9"/>
        <v>November-2025</v>
      </c>
    </row>
    <row r="307" spans="1:8">
      <c r="A307" t="s">
        <v>70</v>
      </c>
      <c r="B307" t="s">
        <v>218</v>
      </c>
      <c r="C307" t="s">
        <v>165</v>
      </c>
      <c r="D307">
        <v>2025</v>
      </c>
      <c r="E307" t="str">
        <f t="shared" si="8"/>
        <v>Q4</v>
      </c>
      <c r="F307" t="s">
        <v>715</v>
      </c>
      <c r="G307">
        <v>0</v>
      </c>
      <c r="H307" t="str">
        <f t="shared" si="9"/>
        <v>December-2025</v>
      </c>
    </row>
    <row r="308" spans="1:8">
      <c r="A308" t="s">
        <v>70</v>
      </c>
      <c r="B308" t="s">
        <v>218</v>
      </c>
      <c r="C308" t="s">
        <v>165</v>
      </c>
      <c r="D308">
        <v>2026</v>
      </c>
      <c r="E308" t="str">
        <f t="shared" si="8"/>
        <v>Q1</v>
      </c>
      <c r="F308" t="s">
        <v>716</v>
      </c>
      <c r="G308">
        <v>0</v>
      </c>
      <c r="H308" t="str">
        <f t="shared" si="9"/>
        <v>January-2026</v>
      </c>
    </row>
    <row r="309" spans="1:8">
      <c r="A309" t="s">
        <v>70</v>
      </c>
      <c r="B309" t="s">
        <v>218</v>
      </c>
      <c r="C309" t="s">
        <v>165</v>
      </c>
      <c r="D309">
        <v>2026</v>
      </c>
      <c r="E309" t="str">
        <f t="shared" si="8"/>
        <v>Q1</v>
      </c>
      <c r="F309" t="s">
        <v>717</v>
      </c>
      <c r="G309">
        <v>0</v>
      </c>
      <c r="H309" t="str">
        <f t="shared" si="9"/>
        <v>February-2026</v>
      </c>
    </row>
    <row r="310" spans="1:8">
      <c r="A310" t="s">
        <v>70</v>
      </c>
      <c r="B310" t="s">
        <v>218</v>
      </c>
      <c r="C310" t="s">
        <v>165</v>
      </c>
      <c r="D310">
        <v>2026</v>
      </c>
      <c r="E310" t="str">
        <f t="shared" si="8"/>
        <v>Q1</v>
      </c>
      <c r="F310" t="s">
        <v>718</v>
      </c>
      <c r="G310">
        <v>0</v>
      </c>
      <c r="H310" t="str">
        <f t="shared" si="9"/>
        <v>March-2026</v>
      </c>
    </row>
    <row r="311" spans="1:8">
      <c r="A311" t="s">
        <v>70</v>
      </c>
      <c r="B311" t="s">
        <v>218</v>
      </c>
      <c r="C311" t="s">
        <v>165</v>
      </c>
      <c r="D311">
        <v>2026</v>
      </c>
      <c r="E311" t="str">
        <f t="shared" si="8"/>
        <v>Q2</v>
      </c>
      <c r="F311" t="s">
        <v>719</v>
      </c>
      <c r="G311">
        <v>0</v>
      </c>
      <c r="H311" t="str">
        <f t="shared" si="9"/>
        <v>April-2026</v>
      </c>
    </row>
    <row r="312" spans="1:8">
      <c r="A312" t="s">
        <v>70</v>
      </c>
      <c r="B312" t="s">
        <v>218</v>
      </c>
      <c r="C312" t="s">
        <v>165</v>
      </c>
      <c r="D312">
        <v>2026</v>
      </c>
      <c r="E312" t="str">
        <f t="shared" si="8"/>
        <v>Q2</v>
      </c>
      <c r="F312" t="s">
        <v>720</v>
      </c>
      <c r="G312">
        <v>1</v>
      </c>
      <c r="H312" t="str">
        <f t="shared" si="9"/>
        <v>May-2026</v>
      </c>
    </row>
    <row r="313" spans="1:8">
      <c r="A313" t="s">
        <v>70</v>
      </c>
      <c r="B313" t="s">
        <v>218</v>
      </c>
      <c r="C313" t="s">
        <v>165</v>
      </c>
      <c r="D313">
        <v>2026</v>
      </c>
      <c r="E313" t="str">
        <f t="shared" si="8"/>
        <v>Q2</v>
      </c>
      <c r="F313" t="s">
        <v>721</v>
      </c>
      <c r="G313">
        <v>0</v>
      </c>
      <c r="H313" t="str">
        <f t="shared" si="9"/>
        <v>June-2026</v>
      </c>
    </row>
    <row r="314" spans="1:8">
      <c r="A314" t="s">
        <v>57</v>
      </c>
      <c r="B314" t="s">
        <v>83</v>
      </c>
      <c r="C314" t="s">
        <v>134</v>
      </c>
      <c r="D314">
        <v>2025</v>
      </c>
      <c r="E314" t="str">
        <f t="shared" si="8"/>
        <v>Q3</v>
      </c>
      <c r="F314" t="s">
        <v>710</v>
      </c>
      <c r="G314">
        <v>0</v>
      </c>
      <c r="H314" t="str">
        <f t="shared" si="9"/>
        <v>July-2025</v>
      </c>
    </row>
    <row r="315" spans="1:8">
      <c r="A315" t="s">
        <v>57</v>
      </c>
      <c r="B315" t="s">
        <v>83</v>
      </c>
      <c r="C315" t="s">
        <v>134</v>
      </c>
      <c r="D315">
        <v>2025</v>
      </c>
      <c r="E315" t="str">
        <f t="shared" si="8"/>
        <v>Q3</v>
      </c>
      <c r="F315" t="s">
        <v>711</v>
      </c>
      <c r="G315">
        <v>0</v>
      </c>
      <c r="H315" t="str">
        <f t="shared" si="9"/>
        <v>August-2025</v>
      </c>
    </row>
    <row r="316" spans="1:8">
      <c r="A316" t="s">
        <v>57</v>
      </c>
      <c r="B316" t="s">
        <v>83</v>
      </c>
      <c r="C316" t="s">
        <v>134</v>
      </c>
      <c r="D316">
        <v>2025</v>
      </c>
      <c r="E316" t="str">
        <f t="shared" si="8"/>
        <v>Q3</v>
      </c>
      <c r="F316" t="s">
        <v>712</v>
      </c>
      <c r="G316">
        <v>0</v>
      </c>
      <c r="H316" t="str">
        <f t="shared" si="9"/>
        <v>September-2025</v>
      </c>
    </row>
    <row r="317" spans="1:8">
      <c r="A317" t="s">
        <v>57</v>
      </c>
      <c r="B317" t="s">
        <v>83</v>
      </c>
      <c r="C317" t="s">
        <v>134</v>
      </c>
      <c r="D317">
        <v>2025</v>
      </c>
      <c r="E317" t="str">
        <f t="shared" si="8"/>
        <v>Q4</v>
      </c>
      <c r="F317" t="s">
        <v>713</v>
      </c>
      <c r="G317">
        <v>0</v>
      </c>
      <c r="H317" t="str">
        <f t="shared" si="9"/>
        <v>October-2025</v>
      </c>
    </row>
    <row r="318" spans="1:8">
      <c r="A318" t="s">
        <v>57</v>
      </c>
      <c r="B318" t="s">
        <v>83</v>
      </c>
      <c r="C318" t="s">
        <v>134</v>
      </c>
      <c r="D318">
        <v>2025</v>
      </c>
      <c r="E318" t="str">
        <f t="shared" si="8"/>
        <v>Q4</v>
      </c>
      <c r="F318" t="s">
        <v>714</v>
      </c>
      <c r="G318">
        <v>0</v>
      </c>
      <c r="H318" t="str">
        <f t="shared" si="9"/>
        <v>November-2025</v>
      </c>
    </row>
    <row r="319" spans="1:8">
      <c r="A319" t="s">
        <v>57</v>
      </c>
      <c r="B319" t="s">
        <v>83</v>
      </c>
      <c r="C319" t="s">
        <v>134</v>
      </c>
      <c r="D319">
        <v>2025</v>
      </c>
      <c r="E319" t="str">
        <f t="shared" si="8"/>
        <v>Q4</v>
      </c>
      <c r="F319" t="s">
        <v>715</v>
      </c>
      <c r="G319">
        <v>0</v>
      </c>
      <c r="H319" t="str">
        <f t="shared" si="9"/>
        <v>December-2025</v>
      </c>
    </row>
    <row r="320" spans="1:8">
      <c r="A320" t="s">
        <v>57</v>
      </c>
      <c r="B320" t="s">
        <v>83</v>
      </c>
      <c r="C320" t="s">
        <v>134</v>
      </c>
      <c r="D320">
        <v>2026</v>
      </c>
      <c r="E320" t="str">
        <f t="shared" si="8"/>
        <v>Q1</v>
      </c>
      <c r="F320" t="s">
        <v>716</v>
      </c>
      <c r="G320">
        <v>0</v>
      </c>
      <c r="H320" t="str">
        <f t="shared" si="9"/>
        <v>January-2026</v>
      </c>
    </row>
    <row r="321" spans="1:8">
      <c r="A321" t="s">
        <v>57</v>
      </c>
      <c r="B321" t="s">
        <v>83</v>
      </c>
      <c r="C321" t="s">
        <v>134</v>
      </c>
      <c r="D321">
        <v>2026</v>
      </c>
      <c r="E321" t="str">
        <f t="shared" si="8"/>
        <v>Q1</v>
      </c>
      <c r="F321" t="s">
        <v>717</v>
      </c>
      <c r="G321">
        <v>0</v>
      </c>
      <c r="H321" t="str">
        <f t="shared" si="9"/>
        <v>February-2026</v>
      </c>
    </row>
    <row r="322" spans="1:8">
      <c r="A322" t="s">
        <v>57</v>
      </c>
      <c r="B322" t="s">
        <v>83</v>
      </c>
      <c r="C322" t="s">
        <v>134</v>
      </c>
      <c r="D322">
        <v>2026</v>
      </c>
      <c r="E322" t="str">
        <f t="shared" si="8"/>
        <v>Q1</v>
      </c>
      <c r="F322" t="s">
        <v>718</v>
      </c>
      <c r="G322">
        <v>0</v>
      </c>
      <c r="H322" t="str">
        <f t="shared" si="9"/>
        <v>March-2026</v>
      </c>
    </row>
    <row r="323" spans="1:8">
      <c r="A323" t="s">
        <v>57</v>
      </c>
      <c r="B323" t="s">
        <v>83</v>
      </c>
      <c r="C323" t="s">
        <v>134</v>
      </c>
      <c r="D323">
        <v>2026</v>
      </c>
      <c r="E323" t="str">
        <f t="shared" ref="E323:E386" si="10">"Q"&amp;ROUNDUP(MONTH(DATEVALUE(F323&amp;" 1"))/3,0)</f>
        <v>Q2</v>
      </c>
      <c r="F323" t="s">
        <v>719</v>
      </c>
      <c r="G323">
        <v>0</v>
      </c>
      <c r="H323" t="str">
        <f t="shared" ref="H323:H386" si="11">_xlfn.CONCAT(F323,"-",D323)</f>
        <v>April-2026</v>
      </c>
    </row>
    <row r="324" spans="1:8">
      <c r="A324" t="s">
        <v>57</v>
      </c>
      <c r="B324" t="s">
        <v>83</v>
      </c>
      <c r="C324" t="s">
        <v>134</v>
      </c>
      <c r="D324">
        <v>2026</v>
      </c>
      <c r="E324" t="str">
        <f t="shared" si="10"/>
        <v>Q2</v>
      </c>
      <c r="F324" t="s">
        <v>720</v>
      </c>
      <c r="G324">
        <v>1</v>
      </c>
      <c r="H324" t="str">
        <f t="shared" si="11"/>
        <v>May-2026</v>
      </c>
    </row>
    <row r="325" spans="1:8">
      <c r="A325" t="s">
        <v>57</v>
      </c>
      <c r="B325" t="s">
        <v>83</v>
      </c>
      <c r="C325" t="s">
        <v>134</v>
      </c>
      <c r="D325">
        <v>2026</v>
      </c>
      <c r="E325" t="str">
        <f t="shared" si="10"/>
        <v>Q2</v>
      </c>
      <c r="F325" t="s">
        <v>721</v>
      </c>
      <c r="G325">
        <v>0</v>
      </c>
      <c r="H325" t="str">
        <f t="shared" si="11"/>
        <v>June-2026</v>
      </c>
    </row>
    <row r="326" spans="1:8">
      <c r="A326" t="s">
        <v>57</v>
      </c>
      <c r="B326" t="s">
        <v>83</v>
      </c>
      <c r="C326" t="s">
        <v>490</v>
      </c>
      <c r="D326">
        <v>2025</v>
      </c>
      <c r="E326" t="str">
        <f t="shared" si="10"/>
        <v>Q3</v>
      </c>
      <c r="F326" t="s">
        <v>710</v>
      </c>
      <c r="G326">
        <v>1</v>
      </c>
      <c r="H326" t="str">
        <f t="shared" si="11"/>
        <v>July-2025</v>
      </c>
    </row>
    <row r="327" spans="1:8">
      <c r="A327" t="s">
        <v>57</v>
      </c>
      <c r="B327" t="s">
        <v>83</v>
      </c>
      <c r="C327" t="s">
        <v>490</v>
      </c>
      <c r="D327">
        <v>2025</v>
      </c>
      <c r="E327" t="str">
        <f t="shared" si="10"/>
        <v>Q3</v>
      </c>
      <c r="F327" t="s">
        <v>711</v>
      </c>
      <c r="G327">
        <v>0</v>
      </c>
      <c r="H327" t="str">
        <f t="shared" si="11"/>
        <v>August-2025</v>
      </c>
    </row>
    <row r="328" spans="1:8">
      <c r="A328" t="s">
        <v>57</v>
      </c>
      <c r="B328" t="s">
        <v>83</v>
      </c>
      <c r="C328" t="s">
        <v>490</v>
      </c>
      <c r="D328">
        <v>2025</v>
      </c>
      <c r="E328" t="str">
        <f t="shared" si="10"/>
        <v>Q3</v>
      </c>
      <c r="F328" t="s">
        <v>712</v>
      </c>
      <c r="G328">
        <v>0</v>
      </c>
      <c r="H328" t="str">
        <f t="shared" si="11"/>
        <v>September-2025</v>
      </c>
    </row>
    <row r="329" spans="1:8">
      <c r="A329" t="s">
        <v>57</v>
      </c>
      <c r="B329" t="s">
        <v>83</v>
      </c>
      <c r="C329" t="s">
        <v>490</v>
      </c>
      <c r="D329">
        <v>2025</v>
      </c>
      <c r="E329" t="str">
        <f t="shared" si="10"/>
        <v>Q4</v>
      </c>
      <c r="F329" t="s">
        <v>713</v>
      </c>
      <c r="G329">
        <v>0</v>
      </c>
      <c r="H329" t="str">
        <f t="shared" si="11"/>
        <v>October-2025</v>
      </c>
    </row>
    <row r="330" spans="1:8">
      <c r="A330" t="s">
        <v>57</v>
      </c>
      <c r="B330" t="s">
        <v>83</v>
      </c>
      <c r="C330" t="s">
        <v>490</v>
      </c>
      <c r="D330">
        <v>2025</v>
      </c>
      <c r="E330" t="str">
        <f t="shared" si="10"/>
        <v>Q4</v>
      </c>
      <c r="F330" t="s">
        <v>714</v>
      </c>
      <c r="G330">
        <v>0</v>
      </c>
      <c r="H330" t="str">
        <f t="shared" si="11"/>
        <v>November-2025</v>
      </c>
    </row>
    <row r="331" spans="1:8">
      <c r="A331" t="s">
        <v>57</v>
      </c>
      <c r="B331" t="s">
        <v>83</v>
      </c>
      <c r="C331" t="s">
        <v>490</v>
      </c>
      <c r="D331">
        <v>2025</v>
      </c>
      <c r="E331" t="str">
        <f t="shared" si="10"/>
        <v>Q4</v>
      </c>
      <c r="F331" t="s">
        <v>715</v>
      </c>
      <c r="G331">
        <v>0</v>
      </c>
      <c r="H331" t="str">
        <f t="shared" si="11"/>
        <v>December-2025</v>
      </c>
    </row>
    <row r="332" spans="1:8">
      <c r="A332" t="s">
        <v>57</v>
      </c>
      <c r="B332" t="s">
        <v>83</v>
      </c>
      <c r="C332" t="s">
        <v>490</v>
      </c>
      <c r="D332">
        <v>2026</v>
      </c>
      <c r="E332" t="str">
        <f t="shared" si="10"/>
        <v>Q1</v>
      </c>
      <c r="F332" t="s">
        <v>716</v>
      </c>
      <c r="G332">
        <v>0</v>
      </c>
      <c r="H332" t="str">
        <f t="shared" si="11"/>
        <v>January-2026</v>
      </c>
    </row>
    <row r="333" spans="1:8">
      <c r="A333" t="s">
        <v>57</v>
      </c>
      <c r="B333" t="s">
        <v>83</v>
      </c>
      <c r="C333" t="s">
        <v>490</v>
      </c>
      <c r="D333">
        <v>2026</v>
      </c>
      <c r="E333" t="str">
        <f t="shared" si="10"/>
        <v>Q1</v>
      </c>
      <c r="F333" t="s">
        <v>717</v>
      </c>
      <c r="G333">
        <v>0</v>
      </c>
      <c r="H333" t="str">
        <f t="shared" si="11"/>
        <v>February-2026</v>
      </c>
    </row>
    <row r="334" spans="1:8">
      <c r="A334" t="s">
        <v>57</v>
      </c>
      <c r="B334" t="s">
        <v>83</v>
      </c>
      <c r="C334" t="s">
        <v>490</v>
      </c>
      <c r="D334">
        <v>2026</v>
      </c>
      <c r="E334" t="str">
        <f t="shared" si="10"/>
        <v>Q1</v>
      </c>
      <c r="F334" t="s">
        <v>718</v>
      </c>
      <c r="G334">
        <v>1</v>
      </c>
      <c r="H334" t="str">
        <f t="shared" si="11"/>
        <v>March-2026</v>
      </c>
    </row>
    <row r="335" spans="1:8">
      <c r="A335" t="s">
        <v>57</v>
      </c>
      <c r="B335" t="s">
        <v>83</v>
      </c>
      <c r="C335" t="s">
        <v>490</v>
      </c>
      <c r="D335">
        <v>2026</v>
      </c>
      <c r="E335" t="str">
        <f t="shared" si="10"/>
        <v>Q2</v>
      </c>
      <c r="F335" t="s">
        <v>719</v>
      </c>
      <c r="G335">
        <v>0</v>
      </c>
      <c r="H335" t="str">
        <f t="shared" si="11"/>
        <v>April-2026</v>
      </c>
    </row>
    <row r="336" spans="1:8">
      <c r="A336" t="s">
        <v>57</v>
      </c>
      <c r="B336" t="s">
        <v>83</v>
      </c>
      <c r="C336" t="s">
        <v>490</v>
      </c>
      <c r="D336">
        <v>2026</v>
      </c>
      <c r="E336" t="str">
        <f t="shared" si="10"/>
        <v>Q2</v>
      </c>
      <c r="F336" t="s">
        <v>720</v>
      </c>
      <c r="G336">
        <v>0</v>
      </c>
      <c r="H336" t="str">
        <f t="shared" si="11"/>
        <v>May-2026</v>
      </c>
    </row>
    <row r="337" spans="1:8">
      <c r="A337" t="s">
        <v>57</v>
      </c>
      <c r="B337" t="s">
        <v>83</v>
      </c>
      <c r="C337" t="s">
        <v>490</v>
      </c>
      <c r="D337">
        <v>2026</v>
      </c>
      <c r="E337" t="str">
        <f t="shared" si="10"/>
        <v>Q2</v>
      </c>
      <c r="F337" t="s">
        <v>721</v>
      </c>
      <c r="G337">
        <v>0</v>
      </c>
      <c r="H337" t="str">
        <f t="shared" si="11"/>
        <v>June-2026</v>
      </c>
    </row>
    <row r="338" spans="1:8">
      <c r="A338" t="s">
        <v>57</v>
      </c>
      <c r="B338" t="s">
        <v>83</v>
      </c>
      <c r="C338" t="s">
        <v>63</v>
      </c>
      <c r="D338">
        <v>2025</v>
      </c>
      <c r="E338" t="str">
        <f t="shared" si="10"/>
        <v>Q3</v>
      </c>
      <c r="F338" t="s">
        <v>710</v>
      </c>
      <c r="G338">
        <v>0</v>
      </c>
      <c r="H338" t="str">
        <f t="shared" si="11"/>
        <v>July-2025</v>
      </c>
    </row>
    <row r="339" spans="1:8">
      <c r="A339" t="s">
        <v>57</v>
      </c>
      <c r="B339" t="s">
        <v>83</v>
      </c>
      <c r="C339" t="s">
        <v>63</v>
      </c>
      <c r="D339">
        <v>2025</v>
      </c>
      <c r="E339" t="str">
        <f t="shared" si="10"/>
        <v>Q3</v>
      </c>
      <c r="F339" t="s">
        <v>711</v>
      </c>
      <c r="G339">
        <v>0</v>
      </c>
      <c r="H339" t="str">
        <f t="shared" si="11"/>
        <v>August-2025</v>
      </c>
    </row>
    <row r="340" spans="1:8">
      <c r="A340" t="s">
        <v>57</v>
      </c>
      <c r="B340" t="s">
        <v>83</v>
      </c>
      <c r="C340" t="s">
        <v>63</v>
      </c>
      <c r="D340">
        <v>2025</v>
      </c>
      <c r="E340" t="str">
        <f t="shared" si="10"/>
        <v>Q3</v>
      </c>
      <c r="F340" t="s">
        <v>712</v>
      </c>
      <c r="G340">
        <v>0</v>
      </c>
      <c r="H340" t="str">
        <f t="shared" si="11"/>
        <v>September-2025</v>
      </c>
    </row>
    <row r="341" spans="1:8">
      <c r="A341" t="s">
        <v>57</v>
      </c>
      <c r="B341" t="s">
        <v>83</v>
      </c>
      <c r="C341" t="s">
        <v>63</v>
      </c>
      <c r="D341">
        <v>2025</v>
      </c>
      <c r="E341" t="str">
        <f t="shared" si="10"/>
        <v>Q4</v>
      </c>
      <c r="F341" t="s">
        <v>713</v>
      </c>
      <c r="G341">
        <v>0</v>
      </c>
      <c r="H341" t="str">
        <f t="shared" si="11"/>
        <v>October-2025</v>
      </c>
    </row>
    <row r="342" spans="1:8">
      <c r="A342" t="s">
        <v>57</v>
      </c>
      <c r="B342" t="s">
        <v>83</v>
      </c>
      <c r="C342" t="s">
        <v>63</v>
      </c>
      <c r="D342">
        <v>2025</v>
      </c>
      <c r="E342" t="str">
        <f t="shared" si="10"/>
        <v>Q4</v>
      </c>
      <c r="F342" t="s">
        <v>714</v>
      </c>
      <c r="G342">
        <v>0</v>
      </c>
      <c r="H342" t="str">
        <f t="shared" si="11"/>
        <v>November-2025</v>
      </c>
    </row>
    <row r="343" spans="1:8">
      <c r="A343" t="s">
        <v>57</v>
      </c>
      <c r="B343" t="s">
        <v>83</v>
      </c>
      <c r="C343" t="s">
        <v>63</v>
      </c>
      <c r="D343">
        <v>2025</v>
      </c>
      <c r="E343" t="str">
        <f t="shared" si="10"/>
        <v>Q4</v>
      </c>
      <c r="F343" t="s">
        <v>715</v>
      </c>
      <c r="G343">
        <v>0</v>
      </c>
      <c r="H343" t="str">
        <f t="shared" si="11"/>
        <v>December-2025</v>
      </c>
    </row>
    <row r="344" spans="1:8">
      <c r="A344" t="s">
        <v>57</v>
      </c>
      <c r="B344" t="s">
        <v>83</v>
      </c>
      <c r="C344" t="s">
        <v>63</v>
      </c>
      <c r="D344">
        <v>2026</v>
      </c>
      <c r="E344" t="str">
        <f t="shared" si="10"/>
        <v>Q1</v>
      </c>
      <c r="F344" t="s">
        <v>716</v>
      </c>
      <c r="G344">
        <v>0</v>
      </c>
      <c r="H344" t="str">
        <f t="shared" si="11"/>
        <v>January-2026</v>
      </c>
    </row>
    <row r="345" spans="1:8">
      <c r="A345" t="s">
        <v>57</v>
      </c>
      <c r="B345" t="s">
        <v>83</v>
      </c>
      <c r="C345" t="s">
        <v>63</v>
      </c>
      <c r="D345">
        <v>2026</v>
      </c>
      <c r="E345" t="str">
        <f t="shared" si="10"/>
        <v>Q1</v>
      </c>
      <c r="F345" t="s">
        <v>717</v>
      </c>
      <c r="G345">
        <v>0</v>
      </c>
      <c r="H345" t="str">
        <f t="shared" si="11"/>
        <v>February-2026</v>
      </c>
    </row>
    <row r="346" spans="1:8">
      <c r="A346" t="s">
        <v>57</v>
      </c>
      <c r="B346" t="s">
        <v>83</v>
      </c>
      <c r="C346" t="s">
        <v>63</v>
      </c>
      <c r="D346">
        <v>2026</v>
      </c>
      <c r="E346" t="str">
        <f t="shared" si="10"/>
        <v>Q1</v>
      </c>
      <c r="F346" t="s">
        <v>718</v>
      </c>
      <c r="G346">
        <v>0</v>
      </c>
      <c r="H346" t="str">
        <f t="shared" si="11"/>
        <v>March-2026</v>
      </c>
    </row>
    <row r="347" spans="1:8">
      <c r="A347" t="s">
        <v>57</v>
      </c>
      <c r="B347" t="s">
        <v>83</v>
      </c>
      <c r="C347" t="s">
        <v>63</v>
      </c>
      <c r="D347">
        <v>2026</v>
      </c>
      <c r="E347" t="str">
        <f t="shared" si="10"/>
        <v>Q2</v>
      </c>
      <c r="F347" t="s">
        <v>719</v>
      </c>
      <c r="G347">
        <v>0</v>
      </c>
      <c r="H347" t="str">
        <f t="shared" si="11"/>
        <v>April-2026</v>
      </c>
    </row>
    <row r="348" spans="1:8">
      <c r="A348" t="s">
        <v>57</v>
      </c>
      <c r="B348" t="s">
        <v>83</v>
      </c>
      <c r="C348" t="s">
        <v>63</v>
      </c>
      <c r="D348">
        <v>2026</v>
      </c>
      <c r="E348" t="str">
        <f t="shared" si="10"/>
        <v>Q2</v>
      </c>
      <c r="F348" t="s">
        <v>720</v>
      </c>
      <c r="G348">
        <v>0</v>
      </c>
      <c r="H348" t="str">
        <f t="shared" si="11"/>
        <v>May-2026</v>
      </c>
    </row>
    <row r="349" spans="1:8">
      <c r="A349" t="s">
        <v>57</v>
      </c>
      <c r="B349" t="s">
        <v>83</v>
      </c>
      <c r="C349" t="s">
        <v>63</v>
      </c>
      <c r="D349">
        <v>2026</v>
      </c>
      <c r="E349" t="str">
        <f t="shared" si="10"/>
        <v>Q2</v>
      </c>
      <c r="F349" t="s">
        <v>721</v>
      </c>
      <c r="G349">
        <v>0</v>
      </c>
      <c r="H349" t="str">
        <f t="shared" si="11"/>
        <v>June-2026</v>
      </c>
    </row>
    <row r="350" spans="1:8">
      <c r="A350" t="s">
        <v>57</v>
      </c>
      <c r="B350" t="s">
        <v>83</v>
      </c>
      <c r="C350" t="s">
        <v>59</v>
      </c>
      <c r="D350">
        <v>2025</v>
      </c>
      <c r="E350" t="str">
        <f t="shared" si="10"/>
        <v>Q3</v>
      </c>
      <c r="F350" t="s">
        <v>710</v>
      </c>
      <c r="G350">
        <v>1</v>
      </c>
      <c r="H350" t="str">
        <f t="shared" si="11"/>
        <v>July-2025</v>
      </c>
    </row>
    <row r="351" spans="1:8">
      <c r="A351" t="s">
        <v>57</v>
      </c>
      <c r="B351" t="s">
        <v>83</v>
      </c>
      <c r="C351" t="s">
        <v>59</v>
      </c>
      <c r="D351">
        <v>2025</v>
      </c>
      <c r="E351" t="str">
        <f t="shared" si="10"/>
        <v>Q3</v>
      </c>
      <c r="F351" t="s">
        <v>711</v>
      </c>
      <c r="G351">
        <v>1</v>
      </c>
      <c r="H351" t="str">
        <f t="shared" si="11"/>
        <v>August-2025</v>
      </c>
    </row>
    <row r="352" spans="1:8">
      <c r="A352" t="s">
        <v>57</v>
      </c>
      <c r="B352" t="s">
        <v>83</v>
      </c>
      <c r="C352" t="s">
        <v>59</v>
      </c>
      <c r="D352">
        <v>2025</v>
      </c>
      <c r="E352" t="str">
        <f t="shared" si="10"/>
        <v>Q3</v>
      </c>
      <c r="F352" t="s">
        <v>712</v>
      </c>
      <c r="G352">
        <v>1</v>
      </c>
      <c r="H352" t="str">
        <f t="shared" si="11"/>
        <v>September-2025</v>
      </c>
    </row>
    <row r="353" spans="1:8">
      <c r="A353" t="s">
        <v>57</v>
      </c>
      <c r="B353" t="s">
        <v>83</v>
      </c>
      <c r="C353" t="s">
        <v>59</v>
      </c>
      <c r="D353">
        <v>2025</v>
      </c>
      <c r="E353" t="str">
        <f t="shared" si="10"/>
        <v>Q4</v>
      </c>
      <c r="F353" t="s">
        <v>713</v>
      </c>
      <c r="G353">
        <v>1</v>
      </c>
      <c r="H353" t="str">
        <f t="shared" si="11"/>
        <v>October-2025</v>
      </c>
    </row>
    <row r="354" spans="1:8">
      <c r="A354" t="s">
        <v>57</v>
      </c>
      <c r="B354" t="s">
        <v>83</v>
      </c>
      <c r="C354" t="s">
        <v>59</v>
      </c>
      <c r="D354">
        <v>2025</v>
      </c>
      <c r="E354" t="str">
        <f t="shared" si="10"/>
        <v>Q4</v>
      </c>
      <c r="F354" t="s">
        <v>714</v>
      </c>
      <c r="G354">
        <v>1</v>
      </c>
      <c r="H354" t="str">
        <f t="shared" si="11"/>
        <v>November-2025</v>
      </c>
    </row>
    <row r="355" spans="1:8">
      <c r="A355" t="s">
        <v>57</v>
      </c>
      <c r="B355" t="s">
        <v>83</v>
      </c>
      <c r="C355" t="s">
        <v>59</v>
      </c>
      <c r="D355">
        <v>2025</v>
      </c>
      <c r="E355" t="str">
        <f t="shared" si="10"/>
        <v>Q4</v>
      </c>
      <c r="F355" t="s">
        <v>715</v>
      </c>
      <c r="G355">
        <v>1</v>
      </c>
      <c r="H355" t="str">
        <f t="shared" si="11"/>
        <v>December-2025</v>
      </c>
    </row>
    <row r="356" spans="1:8">
      <c r="A356" t="s">
        <v>57</v>
      </c>
      <c r="B356" t="s">
        <v>83</v>
      </c>
      <c r="C356" t="s">
        <v>59</v>
      </c>
      <c r="D356">
        <v>2026</v>
      </c>
      <c r="E356" t="str">
        <f t="shared" si="10"/>
        <v>Q1</v>
      </c>
      <c r="F356" t="s">
        <v>716</v>
      </c>
      <c r="G356">
        <v>0</v>
      </c>
      <c r="H356" t="str">
        <f t="shared" si="11"/>
        <v>January-2026</v>
      </c>
    </row>
    <row r="357" spans="1:8">
      <c r="A357" t="s">
        <v>57</v>
      </c>
      <c r="B357" t="s">
        <v>83</v>
      </c>
      <c r="C357" t="s">
        <v>59</v>
      </c>
      <c r="D357">
        <v>2026</v>
      </c>
      <c r="E357" t="str">
        <f t="shared" si="10"/>
        <v>Q1</v>
      </c>
      <c r="F357" t="s">
        <v>717</v>
      </c>
      <c r="G357">
        <v>0</v>
      </c>
      <c r="H357" t="str">
        <f t="shared" si="11"/>
        <v>February-2026</v>
      </c>
    </row>
    <row r="358" spans="1:8">
      <c r="A358" t="s">
        <v>57</v>
      </c>
      <c r="B358" t="s">
        <v>83</v>
      </c>
      <c r="C358" t="s">
        <v>59</v>
      </c>
      <c r="D358">
        <v>2026</v>
      </c>
      <c r="E358" t="str">
        <f t="shared" si="10"/>
        <v>Q1</v>
      </c>
      <c r="F358" t="s">
        <v>718</v>
      </c>
      <c r="G358">
        <v>1</v>
      </c>
      <c r="H358" t="str">
        <f t="shared" si="11"/>
        <v>March-2026</v>
      </c>
    </row>
    <row r="359" spans="1:8">
      <c r="A359" t="s">
        <v>57</v>
      </c>
      <c r="B359" t="s">
        <v>83</v>
      </c>
      <c r="C359" t="s">
        <v>59</v>
      </c>
      <c r="D359">
        <v>2026</v>
      </c>
      <c r="E359" t="str">
        <f t="shared" si="10"/>
        <v>Q2</v>
      </c>
      <c r="F359" t="s">
        <v>719</v>
      </c>
      <c r="G359">
        <v>0</v>
      </c>
      <c r="H359" t="str">
        <f t="shared" si="11"/>
        <v>April-2026</v>
      </c>
    </row>
    <row r="360" spans="1:8">
      <c r="A360" t="s">
        <v>57</v>
      </c>
      <c r="B360" t="s">
        <v>83</v>
      </c>
      <c r="C360" t="s">
        <v>59</v>
      </c>
      <c r="D360">
        <v>2026</v>
      </c>
      <c r="E360" t="str">
        <f t="shared" si="10"/>
        <v>Q2</v>
      </c>
      <c r="F360" t="s">
        <v>720</v>
      </c>
      <c r="G360">
        <v>0</v>
      </c>
      <c r="H360" t="str">
        <f t="shared" si="11"/>
        <v>May-2026</v>
      </c>
    </row>
    <row r="361" spans="1:8">
      <c r="A361" t="s">
        <v>57</v>
      </c>
      <c r="B361" t="s">
        <v>83</v>
      </c>
      <c r="C361" t="s">
        <v>59</v>
      </c>
      <c r="D361">
        <v>2026</v>
      </c>
      <c r="E361" t="str">
        <f t="shared" si="10"/>
        <v>Q2</v>
      </c>
      <c r="F361" t="s">
        <v>721</v>
      </c>
      <c r="G361">
        <v>1</v>
      </c>
      <c r="H361" t="str">
        <f t="shared" si="11"/>
        <v>June-2026</v>
      </c>
    </row>
    <row r="362" spans="1:8">
      <c r="A362" t="s">
        <v>57</v>
      </c>
      <c r="B362" t="s">
        <v>117</v>
      </c>
      <c r="C362" t="s">
        <v>134</v>
      </c>
      <c r="D362">
        <v>2025</v>
      </c>
      <c r="E362" t="str">
        <f t="shared" si="10"/>
        <v>Q3</v>
      </c>
      <c r="F362" t="s">
        <v>710</v>
      </c>
      <c r="G362">
        <v>1</v>
      </c>
      <c r="H362" t="str">
        <f t="shared" si="11"/>
        <v>July-2025</v>
      </c>
    </row>
    <row r="363" spans="1:8">
      <c r="A363" t="s">
        <v>57</v>
      </c>
      <c r="B363" t="s">
        <v>117</v>
      </c>
      <c r="C363" t="s">
        <v>134</v>
      </c>
      <c r="D363">
        <v>2025</v>
      </c>
      <c r="E363" t="str">
        <f t="shared" si="10"/>
        <v>Q3</v>
      </c>
      <c r="F363" t="s">
        <v>711</v>
      </c>
      <c r="G363">
        <v>1</v>
      </c>
      <c r="H363" t="str">
        <f t="shared" si="11"/>
        <v>August-2025</v>
      </c>
    </row>
    <row r="364" spans="1:8">
      <c r="A364" t="s">
        <v>57</v>
      </c>
      <c r="B364" t="s">
        <v>117</v>
      </c>
      <c r="C364" t="s">
        <v>134</v>
      </c>
      <c r="D364">
        <v>2025</v>
      </c>
      <c r="E364" t="str">
        <f t="shared" si="10"/>
        <v>Q3</v>
      </c>
      <c r="F364" t="s">
        <v>712</v>
      </c>
      <c r="G364">
        <v>1</v>
      </c>
      <c r="H364" t="str">
        <f t="shared" si="11"/>
        <v>September-2025</v>
      </c>
    </row>
    <row r="365" spans="1:8">
      <c r="A365" t="s">
        <v>57</v>
      </c>
      <c r="B365" t="s">
        <v>117</v>
      </c>
      <c r="C365" t="s">
        <v>134</v>
      </c>
      <c r="D365">
        <v>2025</v>
      </c>
      <c r="E365" t="str">
        <f t="shared" si="10"/>
        <v>Q4</v>
      </c>
      <c r="F365" t="s">
        <v>713</v>
      </c>
      <c r="G365">
        <v>1</v>
      </c>
      <c r="H365" t="str">
        <f t="shared" si="11"/>
        <v>October-2025</v>
      </c>
    </row>
    <row r="366" spans="1:8">
      <c r="A366" t="s">
        <v>57</v>
      </c>
      <c r="B366" t="s">
        <v>117</v>
      </c>
      <c r="C366" t="s">
        <v>134</v>
      </c>
      <c r="D366">
        <v>2025</v>
      </c>
      <c r="E366" t="str">
        <f t="shared" si="10"/>
        <v>Q4</v>
      </c>
      <c r="F366" t="s">
        <v>714</v>
      </c>
      <c r="G366">
        <v>1</v>
      </c>
      <c r="H366" t="str">
        <f t="shared" si="11"/>
        <v>November-2025</v>
      </c>
    </row>
    <row r="367" spans="1:8">
      <c r="A367" t="s">
        <v>57</v>
      </c>
      <c r="B367" t="s">
        <v>117</v>
      </c>
      <c r="C367" t="s">
        <v>134</v>
      </c>
      <c r="D367">
        <v>2025</v>
      </c>
      <c r="E367" t="str">
        <f t="shared" si="10"/>
        <v>Q4</v>
      </c>
      <c r="F367" t="s">
        <v>715</v>
      </c>
      <c r="G367">
        <v>1</v>
      </c>
      <c r="H367" t="str">
        <f t="shared" si="11"/>
        <v>December-2025</v>
      </c>
    </row>
    <row r="368" spans="1:8">
      <c r="A368" t="s">
        <v>57</v>
      </c>
      <c r="B368" t="s">
        <v>117</v>
      </c>
      <c r="C368" t="s">
        <v>134</v>
      </c>
      <c r="D368">
        <v>2026</v>
      </c>
      <c r="E368" t="str">
        <f t="shared" si="10"/>
        <v>Q1</v>
      </c>
      <c r="F368" t="s">
        <v>716</v>
      </c>
      <c r="G368">
        <v>1</v>
      </c>
      <c r="H368" t="str">
        <f t="shared" si="11"/>
        <v>January-2026</v>
      </c>
    </row>
    <row r="369" spans="1:8">
      <c r="A369" t="s">
        <v>57</v>
      </c>
      <c r="B369" t="s">
        <v>117</v>
      </c>
      <c r="C369" t="s">
        <v>134</v>
      </c>
      <c r="D369">
        <v>2026</v>
      </c>
      <c r="E369" t="str">
        <f t="shared" si="10"/>
        <v>Q1</v>
      </c>
      <c r="F369" t="s">
        <v>717</v>
      </c>
      <c r="G369">
        <v>1</v>
      </c>
      <c r="H369" t="str">
        <f t="shared" si="11"/>
        <v>February-2026</v>
      </c>
    </row>
    <row r="370" spans="1:8">
      <c r="A370" t="s">
        <v>57</v>
      </c>
      <c r="B370" t="s">
        <v>117</v>
      </c>
      <c r="C370" t="s">
        <v>134</v>
      </c>
      <c r="D370">
        <v>2026</v>
      </c>
      <c r="E370" t="str">
        <f t="shared" si="10"/>
        <v>Q1</v>
      </c>
      <c r="F370" t="s">
        <v>718</v>
      </c>
      <c r="G370">
        <v>1</v>
      </c>
      <c r="H370" t="str">
        <f t="shared" si="11"/>
        <v>March-2026</v>
      </c>
    </row>
    <row r="371" spans="1:8">
      <c r="A371" t="s">
        <v>57</v>
      </c>
      <c r="B371" t="s">
        <v>117</v>
      </c>
      <c r="C371" t="s">
        <v>134</v>
      </c>
      <c r="D371">
        <v>2026</v>
      </c>
      <c r="E371" t="str">
        <f t="shared" si="10"/>
        <v>Q2</v>
      </c>
      <c r="F371" t="s">
        <v>719</v>
      </c>
      <c r="G371">
        <v>0</v>
      </c>
      <c r="H371" t="str">
        <f t="shared" si="11"/>
        <v>April-2026</v>
      </c>
    </row>
    <row r="372" spans="1:8">
      <c r="A372" t="s">
        <v>57</v>
      </c>
      <c r="B372" t="s">
        <v>117</v>
      </c>
      <c r="C372" t="s">
        <v>134</v>
      </c>
      <c r="D372">
        <v>2026</v>
      </c>
      <c r="E372" t="str">
        <f t="shared" si="10"/>
        <v>Q2</v>
      </c>
      <c r="F372" t="s">
        <v>720</v>
      </c>
      <c r="G372">
        <v>0</v>
      </c>
      <c r="H372" t="str">
        <f t="shared" si="11"/>
        <v>May-2026</v>
      </c>
    </row>
    <row r="373" spans="1:8">
      <c r="A373" t="s">
        <v>57</v>
      </c>
      <c r="B373" t="s">
        <v>117</v>
      </c>
      <c r="C373" t="s">
        <v>134</v>
      </c>
      <c r="D373">
        <v>2026</v>
      </c>
      <c r="E373" t="str">
        <f t="shared" si="10"/>
        <v>Q2</v>
      </c>
      <c r="F373" t="s">
        <v>721</v>
      </c>
      <c r="G373">
        <v>0</v>
      </c>
      <c r="H373" t="str">
        <f t="shared" si="11"/>
        <v>June-2026</v>
      </c>
    </row>
    <row r="374" spans="1:8">
      <c r="A374" t="s">
        <v>57</v>
      </c>
      <c r="B374" t="s">
        <v>117</v>
      </c>
      <c r="C374" t="s">
        <v>200</v>
      </c>
      <c r="D374">
        <v>2025</v>
      </c>
      <c r="E374" t="str">
        <f t="shared" si="10"/>
        <v>Q3</v>
      </c>
      <c r="F374" t="s">
        <v>710</v>
      </c>
      <c r="G374">
        <v>1</v>
      </c>
      <c r="H374" t="str">
        <f t="shared" si="11"/>
        <v>July-2025</v>
      </c>
    </row>
    <row r="375" spans="1:8">
      <c r="A375" t="s">
        <v>57</v>
      </c>
      <c r="B375" t="s">
        <v>117</v>
      </c>
      <c r="C375" t="s">
        <v>200</v>
      </c>
      <c r="D375">
        <v>2025</v>
      </c>
      <c r="E375" t="str">
        <f t="shared" si="10"/>
        <v>Q3</v>
      </c>
      <c r="F375" t="s">
        <v>711</v>
      </c>
      <c r="G375">
        <v>0</v>
      </c>
      <c r="H375" t="str">
        <f t="shared" si="11"/>
        <v>August-2025</v>
      </c>
    </row>
    <row r="376" spans="1:8">
      <c r="A376" t="s">
        <v>57</v>
      </c>
      <c r="B376" t="s">
        <v>117</v>
      </c>
      <c r="C376" t="s">
        <v>200</v>
      </c>
      <c r="D376">
        <v>2025</v>
      </c>
      <c r="E376" t="str">
        <f t="shared" si="10"/>
        <v>Q3</v>
      </c>
      <c r="F376" t="s">
        <v>712</v>
      </c>
      <c r="G376">
        <v>0</v>
      </c>
      <c r="H376" t="str">
        <f t="shared" si="11"/>
        <v>September-2025</v>
      </c>
    </row>
    <row r="377" spans="1:8">
      <c r="A377" t="s">
        <v>57</v>
      </c>
      <c r="B377" t="s">
        <v>117</v>
      </c>
      <c r="C377" t="s">
        <v>200</v>
      </c>
      <c r="D377">
        <v>2025</v>
      </c>
      <c r="E377" t="str">
        <f t="shared" si="10"/>
        <v>Q4</v>
      </c>
      <c r="F377" t="s">
        <v>713</v>
      </c>
      <c r="G377">
        <v>0</v>
      </c>
      <c r="H377" t="str">
        <f t="shared" si="11"/>
        <v>October-2025</v>
      </c>
    </row>
    <row r="378" spans="1:8">
      <c r="A378" t="s">
        <v>57</v>
      </c>
      <c r="B378" t="s">
        <v>117</v>
      </c>
      <c r="C378" t="s">
        <v>200</v>
      </c>
      <c r="D378">
        <v>2025</v>
      </c>
      <c r="E378" t="str">
        <f t="shared" si="10"/>
        <v>Q4</v>
      </c>
      <c r="F378" t="s">
        <v>714</v>
      </c>
      <c r="G378">
        <v>0</v>
      </c>
      <c r="H378" t="str">
        <f t="shared" si="11"/>
        <v>November-2025</v>
      </c>
    </row>
    <row r="379" spans="1:8">
      <c r="A379" t="s">
        <v>57</v>
      </c>
      <c r="B379" t="s">
        <v>117</v>
      </c>
      <c r="C379" t="s">
        <v>200</v>
      </c>
      <c r="D379">
        <v>2025</v>
      </c>
      <c r="E379" t="str">
        <f t="shared" si="10"/>
        <v>Q4</v>
      </c>
      <c r="F379" t="s">
        <v>715</v>
      </c>
      <c r="G379">
        <v>0</v>
      </c>
      <c r="H379" t="str">
        <f t="shared" si="11"/>
        <v>December-2025</v>
      </c>
    </row>
    <row r="380" spans="1:8">
      <c r="A380" t="s">
        <v>57</v>
      </c>
      <c r="B380" t="s">
        <v>117</v>
      </c>
      <c r="C380" t="s">
        <v>200</v>
      </c>
      <c r="D380">
        <v>2026</v>
      </c>
      <c r="E380" t="str">
        <f t="shared" si="10"/>
        <v>Q1</v>
      </c>
      <c r="F380" t="s">
        <v>716</v>
      </c>
      <c r="G380">
        <v>1</v>
      </c>
      <c r="H380" t="str">
        <f t="shared" si="11"/>
        <v>January-2026</v>
      </c>
    </row>
    <row r="381" spans="1:8">
      <c r="A381" t="s">
        <v>57</v>
      </c>
      <c r="B381" t="s">
        <v>117</v>
      </c>
      <c r="C381" t="s">
        <v>200</v>
      </c>
      <c r="D381">
        <v>2026</v>
      </c>
      <c r="E381" t="str">
        <f t="shared" si="10"/>
        <v>Q1</v>
      </c>
      <c r="F381" t="s">
        <v>717</v>
      </c>
      <c r="G381">
        <v>1</v>
      </c>
      <c r="H381" t="str">
        <f t="shared" si="11"/>
        <v>February-2026</v>
      </c>
    </row>
    <row r="382" spans="1:8">
      <c r="A382" t="s">
        <v>57</v>
      </c>
      <c r="B382" t="s">
        <v>117</v>
      </c>
      <c r="C382" t="s">
        <v>200</v>
      </c>
      <c r="D382">
        <v>2026</v>
      </c>
      <c r="E382" t="str">
        <f t="shared" si="10"/>
        <v>Q1</v>
      </c>
      <c r="F382" t="s">
        <v>718</v>
      </c>
      <c r="G382">
        <v>0</v>
      </c>
      <c r="H382" t="str">
        <f t="shared" si="11"/>
        <v>March-2026</v>
      </c>
    </row>
    <row r="383" spans="1:8">
      <c r="A383" t="s">
        <v>57</v>
      </c>
      <c r="B383" t="s">
        <v>117</v>
      </c>
      <c r="C383" t="s">
        <v>200</v>
      </c>
      <c r="D383">
        <v>2026</v>
      </c>
      <c r="E383" t="str">
        <f t="shared" si="10"/>
        <v>Q2</v>
      </c>
      <c r="F383" t="s">
        <v>719</v>
      </c>
      <c r="G383">
        <v>0</v>
      </c>
      <c r="H383" t="str">
        <f t="shared" si="11"/>
        <v>April-2026</v>
      </c>
    </row>
    <row r="384" spans="1:8">
      <c r="A384" t="s">
        <v>57</v>
      </c>
      <c r="B384" t="s">
        <v>117</v>
      </c>
      <c r="C384" t="s">
        <v>200</v>
      </c>
      <c r="D384">
        <v>2026</v>
      </c>
      <c r="E384" t="str">
        <f t="shared" si="10"/>
        <v>Q2</v>
      </c>
      <c r="F384" t="s">
        <v>720</v>
      </c>
      <c r="G384">
        <v>0</v>
      </c>
      <c r="H384" t="str">
        <f t="shared" si="11"/>
        <v>May-2026</v>
      </c>
    </row>
    <row r="385" spans="1:8">
      <c r="A385" t="s">
        <v>57</v>
      </c>
      <c r="B385" t="s">
        <v>117</v>
      </c>
      <c r="C385" t="s">
        <v>200</v>
      </c>
      <c r="D385">
        <v>2026</v>
      </c>
      <c r="E385" t="str">
        <f t="shared" si="10"/>
        <v>Q2</v>
      </c>
      <c r="F385" t="s">
        <v>721</v>
      </c>
      <c r="G385">
        <v>0</v>
      </c>
      <c r="H385" t="str">
        <f t="shared" si="11"/>
        <v>June-2026</v>
      </c>
    </row>
    <row r="386" spans="1:8">
      <c r="A386" t="s">
        <v>57</v>
      </c>
      <c r="B386" t="s">
        <v>117</v>
      </c>
      <c r="C386" t="s">
        <v>114</v>
      </c>
      <c r="D386">
        <v>2025</v>
      </c>
      <c r="E386" t="str">
        <f t="shared" si="10"/>
        <v>Q3</v>
      </c>
      <c r="F386" t="s">
        <v>710</v>
      </c>
      <c r="G386">
        <v>1</v>
      </c>
      <c r="H386" t="str">
        <f t="shared" si="11"/>
        <v>July-2025</v>
      </c>
    </row>
    <row r="387" spans="1:8">
      <c r="A387" t="s">
        <v>57</v>
      </c>
      <c r="B387" t="s">
        <v>117</v>
      </c>
      <c r="C387" t="s">
        <v>114</v>
      </c>
      <c r="D387">
        <v>2025</v>
      </c>
      <c r="E387" t="str">
        <f t="shared" ref="E387:E450" si="12">"Q"&amp;ROUNDUP(MONTH(DATEVALUE(F387&amp;" 1"))/3,0)</f>
        <v>Q3</v>
      </c>
      <c r="F387" t="s">
        <v>711</v>
      </c>
      <c r="G387">
        <v>1</v>
      </c>
      <c r="H387" t="str">
        <f t="shared" ref="H387:H450" si="13">_xlfn.CONCAT(F387,"-",D387)</f>
        <v>August-2025</v>
      </c>
    </row>
    <row r="388" spans="1:8">
      <c r="A388" t="s">
        <v>57</v>
      </c>
      <c r="B388" t="s">
        <v>117</v>
      </c>
      <c r="C388" t="s">
        <v>114</v>
      </c>
      <c r="D388">
        <v>2025</v>
      </c>
      <c r="E388" t="str">
        <f t="shared" si="12"/>
        <v>Q3</v>
      </c>
      <c r="F388" t="s">
        <v>712</v>
      </c>
      <c r="G388">
        <v>1</v>
      </c>
      <c r="H388" t="str">
        <f t="shared" si="13"/>
        <v>September-2025</v>
      </c>
    </row>
    <row r="389" spans="1:8">
      <c r="A389" t="s">
        <v>57</v>
      </c>
      <c r="B389" t="s">
        <v>117</v>
      </c>
      <c r="C389" t="s">
        <v>114</v>
      </c>
      <c r="D389">
        <v>2025</v>
      </c>
      <c r="E389" t="str">
        <f t="shared" si="12"/>
        <v>Q4</v>
      </c>
      <c r="F389" t="s">
        <v>713</v>
      </c>
      <c r="G389">
        <v>1</v>
      </c>
      <c r="H389" t="str">
        <f t="shared" si="13"/>
        <v>October-2025</v>
      </c>
    </row>
    <row r="390" spans="1:8">
      <c r="A390" t="s">
        <v>57</v>
      </c>
      <c r="B390" t="s">
        <v>117</v>
      </c>
      <c r="C390" t="s">
        <v>114</v>
      </c>
      <c r="D390">
        <v>2025</v>
      </c>
      <c r="E390" t="str">
        <f t="shared" si="12"/>
        <v>Q4</v>
      </c>
      <c r="F390" t="s">
        <v>714</v>
      </c>
      <c r="G390">
        <v>1</v>
      </c>
      <c r="H390" t="str">
        <f t="shared" si="13"/>
        <v>November-2025</v>
      </c>
    </row>
    <row r="391" spans="1:8">
      <c r="A391" t="s">
        <v>57</v>
      </c>
      <c r="B391" t="s">
        <v>117</v>
      </c>
      <c r="C391" t="s">
        <v>114</v>
      </c>
      <c r="D391">
        <v>2025</v>
      </c>
      <c r="E391" t="str">
        <f t="shared" si="12"/>
        <v>Q4</v>
      </c>
      <c r="F391" t="s">
        <v>715</v>
      </c>
      <c r="G391">
        <v>1</v>
      </c>
      <c r="H391" t="str">
        <f t="shared" si="13"/>
        <v>December-2025</v>
      </c>
    </row>
    <row r="392" spans="1:8">
      <c r="A392" t="s">
        <v>57</v>
      </c>
      <c r="B392" t="s">
        <v>117</v>
      </c>
      <c r="C392" t="s">
        <v>114</v>
      </c>
      <c r="D392">
        <v>2026</v>
      </c>
      <c r="E392" t="str">
        <f t="shared" si="12"/>
        <v>Q1</v>
      </c>
      <c r="F392" t="s">
        <v>716</v>
      </c>
      <c r="G392">
        <v>1</v>
      </c>
      <c r="H392" t="str">
        <f t="shared" si="13"/>
        <v>January-2026</v>
      </c>
    </row>
    <row r="393" spans="1:8">
      <c r="A393" t="s">
        <v>57</v>
      </c>
      <c r="B393" t="s">
        <v>117</v>
      </c>
      <c r="C393" t="s">
        <v>114</v>
      </c>
      <c r="D393">
        <v>2026</v>
      </c>
      <c r="E393" t="str">
        <f t="shared" si="12"/>
        <v>Q1</v>
      </c>
      <c r="F393" t="s">
        <v>717</v>
      </c>
      <c r="G393">
        <v>0</v>
      </c>
      <c r="H393" t="str">
        <f t="shared" si="13"/>
        <v>February-2026</v>
      </c>
    </row>
    <row r="394" spans="1:8">
      <c r="A394" t="s">
        <v>57</v>
      </c>
      <c r="B394" t="s">
        <v>117</v>
      </c>
      <c r="C394" t="s">
        <v>114</v>
      </c>
      <c r="D394">
        <v>2026</v>
      </c>
      <c r="E394" t="str">
        <f t="shared" si="12"/>
        <v>Q1</v>
      </c>
      <c r="F394" t="s">
        <v>718</v>
      </c>
      <c r="G394">
        <v>0</v>
      </c>
      <c r="H394" t="str">
        <f t="shared" si="13"/>
        <v>March-2026</v>
      </c>
    </row>
    <row r="395" spans="1:8">
      <c r="A395" t="s">
        <v>57</v>
      </c>
      <c r="B395" t="s">
        <v>117</v>
      </c>
      <c r="C395" t="s">
        <v>114</v>
      </c>
      <c r="D395">
        <v>2026</v>
      </c>
      <c r="E395" t="str">
        <f t="shared" si="12"/>
        <v>Q2</v>
      </c>
      <c r="F395" t="s">
        <v>719</v>
      </c>
      <c r="G395">
        <v>1</v>
      </c>
      <c r="H395" t="str">
        <f t="shared" si="13"/>
        <v>April-2026</v>
      </c>
    </row>
    <row r="396" spans="1:8">
      <c r="A396" t="s">
        <v>57</v>
      </c>
      <c r="B396" t="s">
        <v>117</v>
      </c>
      <c r="C396" t="s">
        <v>114</v>
      </c>
      <c r="D396">
        <v>2026</v>
      </c>
      <c r="E396" t="str">
        <f t="shared" si="12"/>
        <v>Q2</v>
      </c>
      <c r="F396" t="s">
        <v>720</v>
      </c>
      <c r="G396">
        <v>0</v>
      </c>
      <c r="H396" t="str">
        <f t="shared" si="13"/>
        <v>May-2026</v>
      </c>
    </row>
    <row r="397" spans="1:8">
      <c r="A397" t="s">
        <v>57</v>
      </c>
      <c r="B397" t="s">
        <v>117</v>
      </c>
      <c r="C397" t="s">
        <v>114</v>
      </c>
      <c r="D397">
        <v>2026</v>
      </c>
      <c r="E397" t="str">
        <f t="shared" si="12"/>
        <v>Q2</v>
      </c>
      <c r="F397" t="s">
        <v>721</v>
      </c>
      <c r="G397">
        <v>0</v>
      </c>
      <c r="H397" t="str">
        <f t="shared" si="13"/>
        <v>June-2026</v>
      </c>
    </row>
    <row r="398" spans="1:8">
      <c r="A398" t="s">
        <v>57</v>
      </c>
      <c r="B398" t="s">
        <v>79</v>
      </c>
      <c r="C398" t="s">
        <v>80</v>
      </c>
      <c r="D398">
        <v>2025</v>
      </c>
      <c r="E398" t="str">
        <f t="shared" si="12"/>
        <v>Q3</v>
      </c>
      <c r="F398" t="s">
        <v>710</v>
      </c>
      <c r="G398">
        <v>1</v>
      </c>
      <c r="H398" t="str">
        <f t="shared" si="13"/>
        <v>July-2025</v>
      </c>
    </row>
    <row r="399" spans="1:8">
      <c r="A399" t="s">
        <v>57</v>
      </c>
      <c r="B399" t="s">
        <v>79</v>
      </c>
      <c r="C399" t="s">
        <v>80</v>
      </c>
      <c r="D399">
        <v>2025</v>
      </c>
      <c r="E399" t="str">
        <f t="shared" si="12"/>
        <v>Q3</v>
      </c>
      <c r="F399" t="s">
        <v>711</v>
      </c>
      <c r="G399">
        <v>1</v>
      </c>
      <c r="H399" t="str">
        <f t="shared" si="13"/>
        <v>August-2025</v>
      </c>
    </row>
    <row r="400" spans="1:8">
      <c r="A400" t="s">
        <v>57</v>
      </c>
      <c r="B400" t="s">
        <v>79</v>
      </c>
      <c r="C400" t="s">
        <v>80</v>
      </c>
      <c r="D400">
        <v>2025</v>
      </c>
      <c r="E400" t="str">
        <f t="shared" si="12"/>
        <v>Q3</v>
      </c>
      <c r="F400" t="s">
        <v>712</v>
      </c>
      <c r="G400">
        <v>1</v>
      </c>
      <c r="H400" t="str">
        <f t="shared" si="13"/>
        <v>September-2025</v>
      </c>
    </row>
    <row r="401" spans="1:8">
      <c r="A401" t="s">
        <v>57</v>
      </c>
      <c r="B401" t="s">
        <v>79</v>
      </c>
      <c r="C401" t="s">
        <v>80</v>
      </c>
      <c r="D401">
        <v>2025</v>
      </c>
      <c r="E401" t="str">
        <f t="shared" si="12"/>
        <v>Q4</v>
      </c>
      <c r="F401" t="s">
        <v>713</v>
      </c>
      <c r="G401">
        <v>1</v>
      </c>
      <c r="H401" t="str">
        <f t="shared" si="13"/>
        <v>October-2025</v>
      </c>
    </row>
    <row r="402" spans="1:8">
      <c r="A402" t="s">
        <v>57</v>
      </c>
      <c r="B402" t="s">
        <v>79</v>
      </c>
      <c r="C402" t="s">
        <v>80</v>
      </c>
      <c r="D402">
        <v>2025</v>
      </c>
      <c r="E402" t="str">
        <f t="shared" si="12"/>
        <v>Q4</v>
      </c>
      <c r="F402" t="s">
        <v>714</v>
      </c>
      <c r="G402">
        <v>1</v>
      </c>
      <c r="H402" t="str">
        <f t="shared" si="13"/>
        <v>November-2025</v>
      </c>
    </row>
    <row r="403" spans="1:8">
      <c r="A403" t="s">
        <v>57</v>
      </c>
      <c r="B403" t="s">
        <v>79</v>
      </c>
      <c r="C403" t="s">
        <v>80</v>
      </c>
      <c r="D403">
        <v>2025</v>
      </c>
      <c r="E403" t="str">
        <f t="shared" si="12"/>
        <v>Q4</v>
      </c>
      <c r="F403" t="s">
        <v>715</v>
      </c>
      <c r="G403">
        <v>0</v>
      </c>
      <c r="H403" t="str">
        <f t="shared" si="13"/>
        <v>December-2025</v>
      </c>
    </row>
    <row r="404" spans="1:8">
      <c r="A404" t="s">
        <v>57</v>
      </c>
      <c r="B404" t="s">
        <v>79</v>
      </c>
      <c r="C404" t="s">
        <v>80</v>
      </c>
      <c r="D404">
        <v>2026</v>
      </c>
      <c r="E404" t="str">
        <f t="shared" si="12"/>
        <v>Q1</v>
      </c>
      <c r="F404" t="s">
        <v>716</v>
      </c>
      <c r="G404">
        <v>0</v>
      </c>
      <c r="H404" t="str">
        <f t="shared" si="13"/>
        <v>January-2026</v>
      </c>
    </row>
    <row r="405" spans="1:8">
      <c r="A405" t="s">
        <v>57</v>
      </c>
      <c r="B405" t="s">
        <v>79</v>
      </c>
      <c r="C405" t="s">
        <v>80</v>
      </c>
      <c r="D405">
        <v>2026</v>
      </c>
      <c r="E405" t="str">
        <f t="shared" si="12"/>
        <v>Q1</v>
      </c>
      <c r="F405" t="s">
        <v>717</v>
      </c>
      <c r="G405">
        <v>1</v>
      </c>
      <c r="H405" t="str">
        <f t="shared" si="13"/>
        <v>February-2026</v>
      </c>
    </row>
    <row r="406" spans="1:8">
      <c r="A406" t="s">
        <v>57</v>
      </c>
      <c r="B406" t="s">
        <v>79</v>
      </c>
      <c r="C406" t="s">
        <v>80</v>
      </c>
      <c r="D406">
        <v>2026</v>
      </c>
      <c r="E406" t="str">
        <f t="shared" si="12"/>
        <v>Q1</v>
      </c>
      <c r="F406" t="s">
        <v>718</v>
      </c>
      <c r="G406">
        <v>0</v>
      </c>
      <c r="H406" t="str">
        <f t="shared" si="13"/>
        <v>March-2026</v>
      </c>
    </row>
    <row r="407" spans="1:8">
      <c r="A407" t="s">
        <v>57</v>
      </c>
      <c r="B407" t="s">
        <v>79</v>
      </c>
      <c r="C407" t="s">
        <v>80</v>
      </c>
      <c r="D407">
        <v>2026</v>
      </c>
      <c r="E407" t="str">
        <f t="shared" si="12"/>
        <v>Q2</v>
      </c>
      <c r="F407" t="s">
        <v>719</v>
      </c>
      <c r="G407">
        <v>0</v>
      </c>
      <c r="H407" t="str">
        <f t="shared" si="13"/>
        <v>April-2026</v>
      </c>
    </row>
    <row r="408" spans="1:8">
      <c r="A408" t="s">
        <v>57</v>
      </c>
      <c r="B408" t="s">
        <v>79</v>
      </c>
      <c r="C408" t="s">
        <v>80</v>
      </c>
      <c r="D408">
        <v>2026</v>
      </c>
      <c r="E408" t="str">
        <f t="shared" si="12"/>
        <v>Q2</v>
      </c>
      <c r="F408" t="s">
        <v>720</v>
      </c>
      <c r="G408">
        <v>1</v>
      </c>
      <c r="H408" t="str">
        <f t="shared" si="13"/>
        <v>May-2026</v>
      </c>
    </row>
    <row r="409" spans="1:8">
      <c r="A409" t="s">
        <v>57</v>
      </c>
      <c r="B409" t="s">
        <v>79</v>
      </c>
      <c r="C409" t="s">
        <v>80</v>
      </c>
      <c r="D409">
        <v>2026</v>
      </c>
      <c r="E409" t="str">
        <f t="shared" si="12"/>
        <v>Q2</v>
      </c>
      <c r="F409" t="s">
        <v>721</v>
      </c>
      <c r="G409">
        <v>0</v>
      </c>
      <c r="H409" t="str">
        <f t="shared" si="13"/>
        <v>June-2026</v>
      </c>
    </row>
    <row r="410" spans="1:8">
      <c r="A410" t="s">
        <v>57</v>
      </c>
      <c r="B410" t="s">
        <v>113</v>
      </c>
      <c r="C410" t="s">
        <v>340</v>
      </c>
      <c r="D410">
        <v>2025</v>
      </c>
      <c r="E410" t="str">
        <f t="shared" si="12"/>
        <v>Q3</v>
      </c>
      <c r="F410" t="s">
        <v>710</v>
      </c>
      <c r="G410">
        <v>1</v>
      </c>
      <c r="H410" t="str">
        <f t="shared" si="13"/>
        <v>July-2025</v>
      </c>
    </row>
    <row r="411" spans="1:8">
      <c r="A411" t="s">
        <v>57</v>
      </c>
      <c r="B411" t="s">
        <v>113</v>
      </c>
      <c r="C411" t="s">
        <v>340</v>
      </c>
      <c r="D411">
        <v>2025</v>
      </c>
      <c r="E411" t="str">
        <f t="shared" si="12"/>
        <v>Q3</v>
      </c>
      <c r="F411" t="s">
        <v>711</v>
      </c>
      <c r="G411">
        <v>0</v>
      </c>
      <c r="H411" t="str">
        <f t="shared" si="13"/>
        <v>August-2025</v>
      </c>
    </row>
    <row r="412" spans="1:8">
      <c r="A412" t="s">
        <v>57</v>
      </c>
      <c r="B412" t="s">
        <v>113</v>
      </c>
      <c r="C412" t="s">
        <v>340</v>
      </c>
      <c r="D412">
        <v>2025</v>
      </c>
      <c r="E412" t="str">
        <f t="shared" si="12"/>
        <v>Q3</v>
      </c>
      <c r="F412" t="s">
        <v>712</v>
      </c>
      <c r="G412">
        <v>0</v>
      </c>
      <c r="H412" t="str">
        <f t="shared" si="13"/>
        <v>September-2025</v>
      </c>
    </row>
    <row r="413" spans="1:8">
      <c r="A413" t="s">
        <v>57</v>
      </c>
      <c r="B413" t="s">
        <v>113</v>
      </c>
      <c r="C413" t="s">
        <v>340</v>
      </c>
      <c r="D413">
        <v>2025</v>
      </c>
      <c r="E413" t="str">
        <f t="shared" si="12"/>
        <v>Q4</v>
      </c>
      <c r="F413" t="s">
        <v>713</v>
      </c>
      <c r="G413">
        <v>0</v>
      </c>
      <c r="H413" t="str">
        <f t="shared" si="13"/>
        <v>October-2025</v>
      </c>
    </row>
    <row r="414" spans="1:8">
      <c r="A414" t="s">
        <v>57</v>
      </c>
      <c r="B414" t="s">
        <v>113</v>
      </c>
      <c r="C414" t="s">
        <v>340</v>
      </c>
      <c r="D414">
        <v>2025</v>
      </c>
      <c r="E414" t="str">
        <f t="shared" si="12"/>
        <v>Q4</v>
      </c>
      <c r="F414" t="s">
        <v>714</v>
      </c>
      <c r="G414">
        <v>0</v>
      </c>
      <c r="H414" t="str">
        <f t="shared" si="13"/>
        <v>November-2025</v>
      </c>
    </row>
    <row r="415" spans="1:8">
      <c r="A415" t="s">
        <v>57</v>
      </c>
      <c r="B415" t="s">
        <v>113</v>
      </c>
      <c r="C415" t="s">
        <v>340</v>
      </c>
      <c r="D415">
        <v>2025</v>
      </c>
      <c r="E415" t="str">
        <f t="shared" si="12"/>
        <v>Q4</v>
      </c>
      <c r="F415" t="s">
        <v>715</v>
      </c>
      <c r="G415">
        <v>0</v>
      </c>
      <c r="H415" t="str">
        <f t="shared" si="13"/>
        <v>December-2025</v>
      </c>
    </row>
    <row r="416" spans="1:8">
      <c r="A416" t="s">
        <v>57</v>
      </c>
      <c r="B416" t="s">
        <v>113</v>
      </c>
      <c r="C416" t="s">
        <v>340</v>
      </c>
      <c r="D416">
        <v>2026</v>
      </c>
      <c r="E416" t="str">
        <f t="shared" si="12"/>
        <v>Q1</v>
      </c>
      <c r="F416" t="s">
        <v>716</v>
      </c>
      <c r="G416">
        <v>1</v>
      </c>
      <c r="H416" t="str">
        <f t="shared" si="13"/>
        <v>January-2026</v>
      </c>
    </row>
    <row r="417" spans="1:8">
      <c r="A417" t="s">
        <v>57</v>
      </c>
      <c r="B417" t="s">
        <v>113</v>
      </c>
      <c r="C417" t="s">
        <v>340</v>
      </c>
      <c r="D417">
        <v>2026</v>
      </c>
      <c r="E417" t="str">
        <f t="shared" si="12"/>
        <v>Q1</v>
      </c>
      <c r="F417" t="s">
        <v>717</v>
      </c>
      <c r="G417">
        <v>0</v>
      </c>
      <c r="H417" t="str">
        <f t="shared" si="13"/>
        <v>February-2026</v>
      </c>
    </row>
    <row r="418" spans="1:8">
      <c r="A418" t="s">
        <v>57</v>
      </c>
      <c r="B418" t="s">
        <v>113</v>
      </c>
      <c r="C418" t="s">
        <v>340</v>
      </c>
      <c r="D418">
        <v>2026</v>
      </c>
      <c r="E418" t="str">
        <f t="shared" si="12"/>
        <v>Q1</v>
      </c>
      <c r="F418" t="s">
        <v>718</v>
      </c>
      <c r="G418">
        <v>0</v>
      </c>
      <c r="H418" t="str">
        <f t="shared" si="13"/>
        <v>March-2026</v>
      </c>
    </row>
    <row r="419" spans="1:8">
      <c r="A419" t="s">
        <v>57</v>
      </c>
      <c r="B419" t="s">
        <v>113</v>
      </c>
      <c r="C419" t="s">
        <v>340</v>
      </c>
      <c r="D419">
        <v>2026</v>
      </c>
      <c r="E419" t="str">
        <f t="shared" si="12"/>
        <v>Q2</v>
      </c>
      <c r="F419" t="s">
        <v>719</v>
      </c>
      <c r="G419">
        <v>1</v>
      </c>
      <c r="H419" t="str">
        <f t="shared" si="13"/>
        <v>April-2026</v>
      </c>
    </row>
    <row r="420" spans="1:8">
      <c r="A420" t="s">
        <v>57</v>
      </c>
      <c r="B420" t="s">
        <v>113</v>
      </c>
      <c r="C420" t="s">
        <v>340</v>
      </c>
      <c r="D420">
        <v>2026</v>
      </c>
      <c r="E420" t="str">
        <f t="shared" si="12"/>
        <v>Q2</v>
      </c>
      <c r="F420" t="s">
        <v>720</v>
      </c>
      <c r="G420">
        <v>1</v>
      </c>
      <c r="H420" t="str">
        <f t="shared" si="13"/>
        <v>May-2026</v>
      </c>
    </row>
    <row r="421" spans="1:8">
      <c r="A421" t="s">
        <v>57</v>
      </c>
      <c r="B421" t="s">
        <v>113</v>
      </c>
      <c r="C421" t="s">
        <v>340</v>
      </c>
      <c r="D421">
        <v>2026</v>
      </c>
      <c r="E421" t="str">
        <f t="shared" si="12"/>
        <v>Q2</v>
      </c>
      <c r="F421" t="s">
        <v>721</v>
      </c>
      <c r="G421">
        <v>1</v>
      </c>
      <c r="H421" t="str">
        <f t="shared" si="13"/>
        <v>June-2026</v>
      </c>
    </row>
    <row r="422" spans="1:8">
      <c r="A422" t="s">
        <v>57</v>
      </c>
      <c r="B422" t="s">
        <v>113</v>
      </c>
      <c r="C422" t="s">
        <v>63</v>
      </c>
      <c r="D422">
        <v>2025</v>
      </c>
      <c r="E422" t="str">
        <f t="shared" si="12"/>
        <v>Q3</v>
      </c>
      <c r="F422" t="s">
        <v>710</v>
      </c>
      <c r="G422">
        <v>1</v>
      </c>
      <c r="H422" t="str">
        <f t="shared" si="13"/>
        <v>July-2025</v>
      </c>
    </row>
    <row r="423" spans="1:8">
      <c r="A423" t="s">
        <v>57</v>
      </c>
      <c r="B423" t="s">
        <v>113</v>
      </c>
      <c r="C423" t="s">
        <v>63</v>
      </c>
      <c r="D423">
        <v>2025</v>
      </c>
      <c r="E423" t="str">
        <f t="shared" si="12"/>
        <v>Q3</v>
      </c>
      <c r="F423" t="s">
        <v>711</v>
      </c>
      <c r="G423">
        <v>1</v>
      </c>
      <c r="H423" t="str">
        <f t="shared" si="13"/>
        <v>August-2025</v>
      </c>
    </row>
    <row r="424" spans="1:8">
      <c r="A424" t="s">
        <v>57</v>
      </c>
      <c r="B424" t="s">
        <v>113</v>
      </c>
      <c r="C424" t="s">
        <v>63</v>
      </c>
      <c r="D424">
        <v>2025</v>
      </c>
      <c r="E424" t="str">
        <f t="shared" si="12"/>
        <v>Q3</v>
      </c>
      <c r="F424" t="s">
        <v>712</v>
      </c>
      <c r="G424">
        <v>0</v>
      </c>
      <c r="H424" t="str">
        <f t="shared" si="13"/>
        <v>September-2025</v>
      </c>
    </row>
    <row r="425" spans="1:8">
      <c r="A425" t="s">
        <v>57</v>
      </c>
      <c r="B425" t="s">
        <v>113</v>
      </c>
      <c r="C425" t="s">
        <v>63</v>
      </c>
      <c r="D425">
        <v>2025</v>
      </c>
      <c r="E425" t="str">
        <f t="shared" si="12"/>
        <v>Q4</v>
      </c>
      <c r="F425" t="s">
        <v>713</v>
      </c>
      <c r="G425">
        <v>0</v>
      </c>
      <c r="H425" t="str">
        <f t="shared" si="13"/>
        <v>October-2025</v>
      </c>
    </row>
    <row r="426" spans="1:8">
      <c r="A426" t="s">
        <v>57</v>
      </c>
      <c r="B426" t="s">
        <v>113</v>
      </c>
      <c r="C426" t="s">
        <v>63</v>
      </c>
      <c r="D426">
        <v>2025</v>
      </c>
      <c r="E426" t="str">
        <f t="shared" si="12"/>
        <v>Q4</v>
      </c>
      <c r="F426" t="s">
        <v>714</v>
      </c>
      <c r="G426">
        <v>0</v>
      </c>
      <c r="H426" t="str">
        <f t="shared" si="13"/>
        <v>November-2025</v>
      </c>
    </row>
    <row r="427" spans="1:8">
      <c r="A427" t="s">
        <v>57</v>
      </c>
      <c r="B427" t="s">
        <v>113</v>
      </c>
      <c r="C427" t="s">
        <v>63</v>
      </c>
      <c r="D427">
        <v>2025</v>
      </c>
      <c r="E427" t="str">
        <f t="shared" si="12"/>
        <v>Q4</v>
      </c>
      <c r="F427" t="s">
        <v>715</v>
      </c>
      <c r="G427">
        <v>0</v>
      </c>
      <c r="H427" t="str">
        <f t="shared" si="13"/>
        <v>December-2025</v>
      </c>
    </row>
    <row r="428" spans="1:8">
      <c r="A428" t="s">
        <v>57</v>
      </c>
      <c r="B428" t="s">
        <v>113</v>
      </c>
      <c r="C428" t="s">
        <v>63</v>
      </c>
      <c r="D428">
        <v>2026</v>
      </c>
      <c r="E428" t="str">
        <f t="shared" si="12"/>
        <v>Q1</v>
      </c>
      <c r="F428" t="s">
        <v>716</v>
      </c>
      <c r="G428">
        <v>1</v>
      </c>
      <c r="H428" t="str">
        <f t="shared" si="13"/>
        <v>January-2026</v>
      </c>
    </row>
    <row r="429" spans="1:8">
      <c r="A429" t="s">
        <v>57</v>
      </c>
      <c r="B429" t="s">
        <v>113</v>
      </c>
      <c r="C429" t="s">
        <v>63</v>
      </c>
      <c r="D429">
        <v>2026</v>
      </c>
      <c r="E429" t="str">
        <f t="shared" si="12"/>
        <v>Q1</v>
      </c>
      <c r="F429" t="s">
        <v>717</v>
      </c>
      <c r="G429">
        <v>1</v>
      </c>
      <c r="H429" t="str">
        <f t="shared" si="13"/>
        <v>February-2026</v>
      </c>
    </row>
    <row r="430" spans="1:8">
      <c r="A430" t="s">
        <v>57</v>
      </c>
      <c r="B430" t="s">
        <v>113</v>
      </c>
      <c r="C430" t="s">
        <v>63</v>
      </c>
      <c r="D430">
        <v>2026</v>
      </c>
      <c r="E430" t="str">
        <f t="shared" si="12"/>
        <v>Q1</v>
      </c>
      <c r="F430" t="s">
        <v>718</v>
      </c>
      <c r="G430">
        <v>1</v>
      </c>
      <c r="H430" t="str">
        <f t="shared" si="13"/>
        <v>March-2026</v>
      </c>
    </row>
    <row r="431" spans="1:8">
      <c r="A431" t="s">
        <v>57</v>
      </c>
      <c r="B431" t="s">
        <v>113</v>
      </c>
      <c r="C431" t="s">
        <v>63</v>
      </c>
      <c r="D431">
        <v>2026</v>
      </c>
      <c r="E431" t="str">
        <f t="shared" si="12"/>
        <v>Q2</v>
      </c>
      <c r="F431" t="s">
        <v>719</v>
      </c>
      <c r="G431">
        <v>2</v>
      </c>
      <c r="H431" t="str">
        <f t="shared" si="13"/>
        <v>April-2026</v>
      </c>
    </row>
    <row r="432" spans="1:8">
      <c r="A432" t="s">
        <v>57</v>
      </c>
      <c r="B432" t="s">
        <v>113</v>
      </c>
      <c r="C432" t="s">
        <v>63</v>
      </c>
      <c r="D432">
        <v>2026</v>
      </c>
      <c r="E432" t="str">
        <f t="shared" si="12"/>
        <v>Q2</v>
      </c>
      <c r="F432" t="s">
        <v>720</v>
      </c>
      <c r="G432">
        <v>0</v>
      </c>
      <c r="H432" t="str">
        <f t="shared" si="13"/>
        <v>May-2026</v>
      </c>
    </row>
    <row r="433" spans="1:8">
      <c r="A433" t="s">
        <v>57</v>
      </c>
      <c r="B433" t="s">
        <v>113</v>
      </c>
      <c r="C433" t="s">
        <v>63</v>
      </c>
      <c r="D433">
        <v>2026</v>
      </c>
      <c r="E433" t="str">
        <f t="shared" si="12"/>
        <v>Q2</v>
      </c>
      <c r="F433" t="s">
        <v>721</v>
      </c>
      <c r="G433">
        <v>0</v>
      </c>
      <c r="H433" t="str">
        <f t="shared" si="13"/>
        <v>June-2026</v>
      </c>
    </row>
    <row r="434" spans="1:8">
      <c r="A434" t="s">
        <v>57</v>
      </c>
      <c r="B434" t="s">
        <v>113</v>
      </c>
      <c r="C434" t="s">
        <v>59</v>
      </c>
      <c r="D434">
        <v>2025</v>
      </c>
      <c r="E434" t="str">
        <f t="shared" si="12"/>
        <v>Q3</v>
      </c>
      <c r="F434" t="s">
        <v>710</v>
      </c>
      <c r="G434">
        <v>1</v>
      </c>
      <c r="H434" t="str">
        <f t="shared" si="13"/>
        <v>July-2025</v>
      </c>
    </row>
    <row r="435" spans="1:8">
      <c r="A435" t="s">
        <v>57</v>
      </c>
      <c r="B435" t="s">
        <v>113</v>
      </c>
      <c r="C435" t="s">
        <v>59</v>
      </c>
      <c r="D435">
        <v>2025</v>
      </c>
      <c r="E435" t="str">
        <f t="shared" si="12"/>
        <v>Q3</v>
      </c>
      <c r="F435" t="s">
        <v>711</v>
      </c>
      <c r="G435">
        <v>1</v>
      </c>
      <c r="H435" t="str">
        <f t="shared" si="13"/>
        <v>August-2025</v>
      </c>
    </row>
    <row r="436" spans="1:8">
      <c r="A436" t="s">
        <v>57</v>
      </c>
      <c r="B436" t="s">
        <v>113</v>
      </c>
      <c r="C436" t="s">
        <v>59</v>
      </c>
      <c r="D436">
        <v>2025</v>
      </c>
      <c r="E436" t="str">
        <f t="shared" si="12"/>
        <v>Q3</v>
      </c>
      <c r="F436" t="s">
        <v>712</v>
      </c>
      <c r="G436">
        <v>1</v>
      </c>
      <c r="H436" t="str">
        <f t="shared" si="13"/>
        <v>September-2025</v>
      </c>
    </row>
    <row r="437" spans="1:8">
      <c r="A437" t="s">
        <v>57</v>
      </c>
      <c r="B437" t="s">
        <v>113</v>
      </c>
      <c r="C437" t="s">
        <v>59</v>
      </c>
      <c r="D437">
        <v>2025</v>
      </c>
      <c r="E437" t="str">
        <f t="shared" si="12"/>
        <v>Q4</v>
      </c>
      <c r="F437" t="s">
        <v>713</v>
      </c>
      <c r="G437">
        <v>1</v>
      </c>
      <c r="H437" t="str">
        <f t="shared" si="13"/>
        <v>October-2025</v>
      </c>
    </row>
    <row r="438" spans="1:8">
      <c r="A438" t="s">
        <v>57</v>
      </c>
      <c r="B438" t="s">
        <v>113</v>
      </c>
      <c r="C438" t="s">
        <v>59</v>
      </c>
      <c r="D438">
        <v>2025</v>
      </c>
      <c r="E438" t="str">
        <f t="shared" si="12"/>
        <v>Q4</v>
      </c>
      <c r="F438" t="s">
        <v>714</v>
      </c>
      <c r="G438">
        <v>1</v>
      </c>
      <c r="H438" t="str">
        <f t="shared" si="13"/>
        <v>November-2025</v>
      </c>
    </row>
    <row r="439" spans="1:8">
      <c r="A439" t="s">
        <v>57</v>
      </c>
      <c r="B439" t="s">
        <v>113</v>
      </c>
      <c r="C439" t="s">
        <v>59</v>
      </c>
      <c r="D439">
        <v>2025</v>
      </c>
      <c r="E439" t="str">
        <f t="shared" si="12"/>
        <v>Q4</v>
      </c>
      <c r="F439" t="s">
        <v>715</v>
      </c>
      <c r="G439">
        <v>0</v>
      </c>
      <c r="H439" t="str">
        <f t="shared" si="13"/>
        <v>December-2025</v>
      </c>
    </row>
    <row r="440" spans="1:8">
      <c r="A440" t="s">
        <v>57</v>
      </c>
      <c r="B440" t="s">
        <v>113</v>
      </c>
      <c r="C440" t="s">
        <v>59</v>
      </c>
      <c r="D440">
        <v>2026</v>
      </c>
      <c r="E440" t="str">
        <f t="shared" si="12"/>
        <v>Q1</v>
      </c>
      <c r="F440" t="s">
        <v>716</v>
      </c>
      <c r="G440">
        <v>0</v>
      </c>
      <c r="H440" t="str">
        <f t="shared" si="13"/>
        <v>January-2026</v>
      </c>
    </row>
    <row r="441" spans="1:8">
      <c r="A441" t="s">
        <v>57</v>
      </c>
      <c r="B441" t="s">
        <v>113</v>
      </c>
      <c r="C441" t="s">
        <v>59</v>
      </c>
      <c r="D441">
        <v>2026</v>
      </c>
      <c r="E441" t="str">
        <f t="shared" si="12"/>
        <v>Q1</v>
      </c>
      <c r="F441" t="s">
        <v>717</v>
      </c>
      <c r="G441">
        <v>1</v>
      </c>
      <c r="H441" t="str">
        <f t="shared" si="13"/>
        <v>February-2026</v>
      </c>
    </row>
    <row r="442" spans="1:8">
      <c r="A442" t="s">
        <v>57</v>
      </c>
      <c r="B442" t="s">
        <v>113</v>
      </c>
      <c r="C442" t="s">
        <v>59</v>
      </c>
      <c r="D442">
        <v>2026</v>
      </c>
      <c r="E442" t="str">
        <f t="shared" si="12"/>
        <v>Q1</v>
      </c>
      <c r="F442" t="s">
        <v>718</v>
      </c>
      <c r="G442">
        <v>0</v>
      </c>
      <c r="H442" t="str">
        <f t="shared" si="13"/>
        <v>March-2026</v>
      </c>
    </row>
    <row r="443" spans="1:8">
      <c r="A443" t="s">
        <v>57</v>
      </c>
      <c r="B443" t="s">
        <v>113</v>
      </c>
      <c r="C443" t="s">
        <v>59</v>
      </c>
      <c r="D443">
        <v>2026</v>
      </c>
      <c r="E443" t="str">
        <f t="shared" si="12"/>
        <v>Q2</v>
      </c>
      <c r="F443" t="s">
        <v>719</v>
      </c>
      <c r="G443">
        <v>0</v>
      </c>
      <c r="H443" t="str">
        <f t="shared" si="13"/>
        <v>April-2026</v>
      </c>
    </row>
    <row r="444" spans="1:8">
      <c r="A444" t="s">
        <v>57</v>
      </c>
      <c r="B444" t="s">
        <v>113</v>
      </c>
      <c r="C444" t="s">
        <v>59</v>
      </c>
      <c r="D444">
        <v>2026</v>
      </c>
      <c r="E444" t="str">
        <f t="shared" si="12"/>
        <v>Q2</v>
      </c>
      <c r="F444" t="s">
        <v>720</v>
      </c>
      <c r="G444">
        <v>0</v>
      </c>
      <c r="H444" t="str">
        <f t="shared" si="13"/>
        <v>May-2026</v>
      </c>
    </row>
    <row r="445" spans="1:8">
      <c r="A445" t="s">
        <v>57</v>
      </c>
      <c r="B445" t="s">
        <v>113</v>
      </c>
      <c r="C445" t="s">
        <v>59</v>
      </c>
      <c r="D445">
        <v>2026</v>
      </c>
      <c r="E445" t="str">
        <f t="shared" si="12"/>
        <v>Q2</v>
      </c>
      <c r="F445" t="s">
        <v>721</v>
      </c>
      <c r="G445">
        <v>0</v>
      </c>
      <c r="H445" t="str">
        <f t="shared" si="13"/>
        <v>June-2026</v>
      </c>
    </row>
    <row r="446" spans="1:8">
      <c r="A446" t="s">
        <v>57</v>
      </c>
      <c r="B446" t="s">
        <v>113</v>
      </c>
      <c r="C446" t="s">
        <v>114</v>
      </c>
      <c r="D446">
        <v>2025</v>
      </c>
      <c r="E446" t="str">
        <f t="shared" si="12"/>
        <v>Q3</v>
      </c>
      <c r="F446" t="s">
        <v>710</v>
      </c>
      <c r="G446">
        <v>1</v>
      </c>
      <c r="H446" t="str">
        <f t="shared" si="13"/>
        <v>July-2025</v>
      </c>
    </row>
    <row r="447" spans="1:8">
      <c r="A447" t="s">
        <v>57</v>
      </c>
      <c r="B447" t="s">
        <v>113</v>
      </c>
      <c r="C447" t="s">
        <v>114</v>
      </c>
      <c r="D447">
        <v>2025</v>
      </c>
      <c r="E447" t="str">
        <f t="shared" si="12"/>
        <v>Q3</v>
      </c>
      <c r="F447" t="s">
        <v>711</v>
      </c>
      <c r="G447">
        <v>1</v>
      </c>
      <c r="H447" t="str">
        <f t="shared" si="13"/>
        <v>August-2025</v>
      </c>
    </row>
    <row r="448" spans="1:8">
      <c r="A448" t="s">
        <v>57</v>
      </c>
      <c r="B448" t="s">
        <v>113</v>
      </c>
      <c r="C448" t="s">
        <v>114</v>
      </c>
      <c r="D448">
        <v>2025</v>
      </c>
      <c r="E448" t="str">
        <f t="shared" si="12"/>
        <v>Q3</v>
      </c>
      <c r="F448" t="s">
        <v>712</v>
      </c>
      <c r="G448">
        <v>1</v>
      </c>
      <c r="H448" t="str">
        <f t="shared" si="13"/>
        <v>September-2025</v>
      </c>
    </row>
    <row r="449" spans="1:8">
      <c r="A449" t="s">
        <v>57</v>
      </c>
      <c r="B449" t="s">
        <v>113</v>
      </c>
      <c r="C449" t="s">
        <v>114</v>
      </c>
      <c r="D449">
        <v>2025</v>
      </c>
      <c r="E449" t="str">
        <f t="shared" si="12"/>
        <v>Q4</v>
      </c>
      <c r="F449" t="s">
        <v>713</v>
      </c>
      <c r="G449">
        <v>1</v>
      </c>
      <c r="H449" t="str">
        <f t="shared" si="13"/>
        <v>October-2025</v>
      </c>
    </row>
    <row r="450" spans="1:8">
      <c r="A450" t="s">
        <v>57</v>
      </c>
      <c r="B450" t="s">
        <v>113</v>
      </c>
      <c r="C450" t="s">
        <v>114</v>
      </c>
      <c r="D450">
        <v>2025</v>
      </c>
      <c r="E450" t="str">
        <f t="shared" si="12"/>
        <v>Q4</v>
      </c>
      <c r="F450" t="s">
        <v>714</v>
      </c>
      <c r="G450">
        <v>1</v>
      </c>
      <c r="H450" t="str">
        <f t="shared" si="13"/>
        <v>November-2025</v>
      </c>
    </row>
    <row r="451" spans="1:8">
      <c r="A451" t="s">
        <v>57</v>
      </c>
      <c r="B451" t="s">
        <v>113</v>
      </c>
      <c r="C451" t="s">
        <v>114</v>
      </c>
      <c r="D451">
        <v>2025</v>
      </c>
      <c r="E451" t="str">
        <f t="shared" ref="E451:E514" si="14">"Q"&amp;ROUNDUP(MONTH(DATEVALUE(F451&amp;" 1"))/3,0)</f>
        <v>Q4</v>
      </c>
      <c r="F451" t="s">
        <v>715</v>
      </c>
      <c r="G451">
        <v>1</v>
      </c>
      <c r="H451" t="str">
        <f t="shared" ref="H451:H514" si="15">_xlfn.CONCAT(F451,"-",D451)</f>
        <v>December-2025</v>
      </c>
    </row>
    <row r="452" spans="1:8">
      <c r="A452" t="s">
        <v>57</v>
      </c>
      <c r="B452" t="s">
        <v>113</v>
      </c>
      <c r="C452" t="s">
        <v>114</v>
      </c>
      <c r="D452">
        <v>2026</v>
      </c>
      <c r="E452" t="str">
        <f t="shared" si="14"/>
        <v>Q1</v>
      </c>
      <c r="F452" t="s">
        <v>716</v>
      </c>
      <c r="G452">
        <v>1</v>
      </c>
      <c r="H452" t="str">
        <f t="shared" si="15"/>
        <v>January-2026</v>
      </c>
    </row>
    <row r="453" spans="1:8">
      <c r="A453" t="s">
        <v>57</v>
      </c>
      <c r="B453" t="s">
        <v>113</v>
      </c>
      <c r="C453" t="s">
        <v>114</v>
      </c>
      <c r="D453">
        <v>2026</v>
      </c>
      <c r="E453" t="str">
        <f t="shared" si="14"/>
        <v>Q1</v>
      </c>
      <c r="F453" t="s">
        <v>717</v>
      </c>
      <c r="G453">
        <v>1</v>
      </c>
      <c r="H453" t="str">
        <f t="shared" si="15"/>
        <v>February-2026</v>
      </c>
    </row>
    <row r="454" spans="1:8">
      <c r="A454" t="s">
        <v>57</v>
      </c>
      <c r="B454" t="s">
        <v>113</v>
      </c>
      <c r="C454" t="s">
        <v>114</v>
      </c>
      <c r="D454">
        <v>2026</v>
      </c>
      <c r="E454" t="str">
        <f t="shared" si="14"/>
        <v>Q1</v>
      </c>
      <c r="F454" t="s">
        <v>718</v>
      </c>
      <c r="G454">
        <v>1</v>
      </c>
      <c r="H454" t="str">
        <f t="shared" si="15"/>
        <v>March-2026</v>
      </c>
    </row>
    <row r="455" spans="1:8">
      <c r="A455" t="s">
        <v>57</v>
      </c>
      <c r="B455" t="s">
        <v>113</v>
      </c>
      <c r="C455" t="s">
        <v>114</v>
      </c>
      <c r="D455">
        <v>2026</v>
      </c>
      <c r="E455" t="str">
        <f t="shared" si="14"/>
        <v>Q2</v>
      </c>
      <c r="F455" t="s">
        <v>719</v>
      </c>
      <c r="G455">
        <v>1</v>
      </c>
      <c r="H455" t="str">
        <f t="shared" si="15"/>
        <v>April-2026</v>
      </c>
    </row>
    <row r="456" spans="1:8">
      <c r="A456" t="s">
        <v>57</v>
      </c>
      <c r="B456" t="s">
        <v>113</v>
      </c>
      <c r="C456" t="s">
        <v>114</v>
      </c>
      <c r="D456">
        <v>2026</v>
      </c>
      <c r="E456" t="str">
        <f t="shared" si="14"/>
        <v>Q2</v>
      </c>
      <c r="F456" t="s">
        <v>720</v>
      </c>
      <c r="G456">
        <v>0</v>
      </c>
      <c r="H456" t="str">
        <f t="shared" si="15"/>
        <v>May-2026</v>
      </c>
    </row>
    <row r="457" spans="1:8">
      <c r="A457" t="s">
        <v>57</v>
      </c>
      <c r="B457" t="s">
        <v>113</v>
      </c>
      <c r="C457" t="s">
        <v>114</v>
      </c>
      <c r="D457">
        <v>2026</v>
      </c>
      <c r="E457" t="str">
        <f t="shared" si="14"/>
        <v>Q2</v>
      </c>
      <c r="F457" t="s">
        <v>721</v>
      </c>
      <c r="G457">
        <v>0</v>
      </c>
      <c r="H457" t="str">
        <f t="shared" si="15"/>
        <v>June-2026</v>
      </c>
    </row>
    <row r="458" spans="1:8">
      <c r="A458" t="s">
        <v>57</v>
      </c>
      <c r="B458" t="s">
        <v>133</v>
      </c>
      <c r="C458" t="s">
        <v>134</v>
      </c>
      <c r="D458">
        <v>2025</v>
      </c>
      <c r="E458" t="str">
        <f t="shared" si="14"/>
        <v>Q3</v>
      </c>
      <c r="F458" t="s">
        <v>710</v>
      </c>
      <c r="G458">
        <v>1</v>
      </c>
      <c r="H458" t="str">
        <f t="shared" si="15"/>
        <v>July-2025</v>
      </c>
    </row>
    <row r="459" spans="1:8">
      <c r="A459" t="s">
        <v>57</v>
      </c>
      <c r="B459" t="s">
        <v>133</v>
      </c>
      <c r="C459" t="s">
        <v>134</v>
      </c>
      <c r="D459">
        <v>2025</v>
      </c>
      <c r="E459" t="str">
        <f t="shared" si="14"/>
        <v>Q3</v>
      </c>
      <c r="F459" t="s">
        <v>711</v>
      </c>
      <c r="G459">
        <v>0</v>
      </c>
      <c r="H459" t="str">
        <f t="shared" si="15"/>
        <v>August-2025</v>
      </c>
    </row>
    <row r="460" spans="1:8">
      <c r="A460" t="s">
        <v>57</v>
      </c>
      <c r="B460" t="s">
        <v>133</v>
      </c>
      <c r="C460" t="s">
        <v>134</v>
      </c>
      <c r="D460">
        <v>2025</v>
      </c>
      <c r="E460" t="str">
        <f t="shared" si="14"/>
        <v>Q3</v>
      </c>
      <c r="F460" t="s">
        <v>712</v>
      </c>
      <c r="G460">
        <v>0</v>
      </c>
      <c r="H460" t="str">
        <f t="shared" si="15"/>
        <v>September-2025</v>
      </c>
    </row>
    <row r="461" spans="1:8">
      <c r="A461" t="s">
        <v>57</v>
      </c>
      <c r="B461" t="s">
        <v>133</v>
      </c>
      <c r="C461" t="s">
        <v>134</v>
      </c>
      <c r="D461">
        <v>2025</v>
      </c>
      <c r="E461" t="str">
        <f t="shared" si="14"/>
        <v>Q4</v>
      </c>
      <c r="F461" t="s">
        <v>713</v>
      </c>
      <c r="G461">
        <v>0</v>
      </c>
      <c r="H461" t="str">
        <f t="shared" si="15"/>
        <v>October-2025</v>
      </c>
    </row>
    <row r="462" spans="1:8">
      <c r="A462" t="s">
        <v>57</v>
      </c>
      <c r="B462" t="s">
        <v>133</v>
      </c>
      <c r="C462" t="s">
        <v>134</v>
      </c>
      <c r="D462">
        <v>2025</v>
      </c>
      <c r="E462" t="str">
        <f t="shared" si="14"/>
        <v>Q4</v>
      </c>
      <c r="F462" t="s">
        <v>714</v>
      </c>
      <c r="G462">
        <v>0</v>
      </c>
      <c r="H462" t="str">
        <f t="shared" si="15"/>
        <v>November-2025</v>
      </c>
    </row>
    <row r="463" spans="1:8">
      <c r="A463" t="s">
        <v>57</v>
      </c>
      <c r="B463" t="s">
        <v>133</v>
      </c>
      <c r="C463" t="s">
        <v>134</v>
      </c>
      <c r="D463">
        <v>2025</v>
      </c>
      <c r="E463" t="str">
        <f t="shared" si="14"/>
        <v>Q4</v>
      </c>
      <c r="F463" t="s">
        <v>715</v>
      </c>
      <c r="G463">
        <v>0</v>
      </c>
      <c r="H463" t="str">
        <f t="shared" si="15"/>
        <v>December-2025</v>
      </c>
    </row>
    <row r="464" spans="1:8">
      <c r="A464" t="s">
        <v>57</v>
      </c>
      <c r="B464" t="s">
        <v>133</v>
      </c>
      <c r="C464" t="s">
        <v>134</v>
      </c>
      <c r="D464">
        <v>2026</v>
      </c>
      <c r="E464" t="str">
        <f t="shared" si="14"/>
        <v>Q1</v>
      </c>
      <c r="F464" t="s">
        <v>716</v>
      </c>
      <c r="G464">
        <v>0</v>
      </c>
      <c r="H464" t="str">
        <f t="shared" si="15"/>
        <v>January-2026</v>
      </c>
    </row>
    <row r="465" spans="1:8">
      <c r="A465" t="s">
        <v>57</v>
      </c>
      <c r="B465" t="s">
        <v>133</v>
      </c>
      <c r="C465" t="s">
        <v>134</v>
      </c>
      <c r="D465">
        <v>2026</v>
      </c>
      <c r="E465" t="str">
        <f t="shared" si="14"/>
        <v>Q1</v>
      </c>
      <c r="F465" t="s">
        <v>717</v>
      </c>
      <c r="G465">
        <v>0</v>
      </c>
      <c r="H465" t="str">
        <f t="shared" si="15"/>
        <v>February-2026</v>
      </c>
    </row>
    <row r="466" spans="1:8">
      <c r="A466" t="s">
        <v>57</v>
      </c>
      <c r="B466" t="s">
        <v>133</v>
      </c>
      <c r="C466" t="s">
        <v>134</v>
      </c>
      <c r="D466">
        <v>2026</v>
      </c>
      <c r="E466" t="str">
        <f t="shared" si="14"/>
        <v>Q1</v>
      </c>
      <c r="F466" t="s">
        <v>718</v>
      </c>
      <c r="G466">
        <v>0</v>
      </c>
      <c r="H466" t="str">
        <f t="shared" si="15"/>
        <v>March-2026</v>
      </c>
    </row>
    <row r="467" spans="1:8">
      <c r="A467" t="s">
        <v>57</v>
      </c>
      <c r="B467" t="s">
        <v>133</v>
      </c>
      <c r="C467" t="s">
        <v>134</v>
      </c>
      <c r="D467">
        <v>2026</v>
      </c>
      <c r="E467" t="str">
        <f t="shared" si="14"/>
        <v>Q2</v>
      </c>
      <c r="F467" t="s">
        <v>719</v>
      </c>
      <c r="G467">
        <v>0</v>
      </c>
      <c r="H467" t="str">
        <f t="shared" si="15"/>
        <v>April-2026</v>
      </c>
    </row>
    <row r="468" spans="1:8">
      <c r="A468" t="s">
        <v>57</v>
      </c>
      <c r="B468" t="s">
        <v>133</v>
      </c>
      <c r="C468" t="s">
        <v>134</v>
      </c>
      <c r="D468">
        <v>2026</v>
      </c>
      <c r="E468" t="str">
        <f t="shared" si="14"/>
        <v>Q2</v>
      </c>
      <c r="F468" t="s">
        <v>720</v>
      </c>
      <c r="G468">
        <v>1</v>
      </c>
      <c r="H468" t="str">
        <f t="shared" si="15"/>
        <v>May-2026</v>
      </c>
    </row>
    <row r="469" spans="1:8">
      <c r="A469" t="s">
        <v>57</v>
      </c>
      <c r="B469" t="s">
        <v>133</v>
      </c>
      <c r="C469" t="s">
        <v>134</v>
      </c>
      <c r="D469">
        <v>2026</v>
      </c>
      <c r="E469" t="str">
        <f t="shared" si="14"/>
        <v>Q2</v>
      </c>
      <c r="F469" t="s">
        <v>721</v>
      </c>
      <c r="G469">
        <v>1</v>
      </c>
      <c r="H469" t="str">
        <f t="shared" si="15"/>
        <v>June-2026</v>
      </c>
    </row>
    <row r="470" spans="1:8">
      <c r="A470" t="s">
        <v>57</v>
      </c>
      <c r="B470" t="s">
        <v>133</v>
      </c>
      <c r="C470" t="s">
        <v>80</v>
      </c>
      <c r="D470">
        <v>2025</v>
      </c>
      <c r="E470" t="str">
        <f t="shared" si="14"/>
        <v>Q3</v>
      </c>
      <c r="F470" t="s">
        <v>710</v>
      </c>
      <c r="G470">
        <v>0</v>
      </c>
      <c r="H470" t="str">
        <f t="shared" si="15"/>
        <v>July-2025</v>
      </c>
    </row>
    <row r="471" spans="1:8">
      <c r="A471" t="s">
        <v>57</v>
      </c>
      <c r="B471" t="s">
        <v>133</v>
      </c>
      <c r="C471" t="s">
        <v>80</v>
      </c>
      <c r="D471">
        <v>2025</v>
      </c>
      <c r="E471" t="str">
        <f t="shared" si="14"/>
        <v>Q3</v>
      </c>
      <c r="F471" t="s">
        <v>711</v>
      </c>
      <c r="G471">
        <v>0</v>
      </c>
      <c r="H471" t="str">
        <f t="shared" si="15"/>
        <v>August-2025</v>
      </c>
    </row>
    <row r="472" spans="1:8">
      <c r="A472" t="s">
        <v>57</v>
      </c>
      <c r="B472" t="s">
        <v>133</v>
      </c>
      <c r="C472" t="s">
        <v>80</v>
      </c>
      <c r="D472">
        <v>2025</v>
      </c>
      <c r="E472" t="str">
        <f t="shared" si="14"/>
        <v>Q3</v>
      </c>
      <c r="F472" t="s">
        <v>712</v>
      </c>
      <c r="G472">
        <v>0</v>
      </c>
      <c r="H472" t="str">
        <f t="shared" si="15"/>
        <v>September-2025</v>
      </c>
    </row>
    <row r="473" spans="1:8">
      <c r="A473" t="s">
        <v>57</v>
      </c>
      <c r="B473" t="s">
        <v>133</v>
      </c>
      <c r="C473" t="s">
        <v>80</v>
      </c>
      <c r="D473">
        <v>2025</v>
      </c>
      <c r="E473" t="str">
        <f t="shared" si="14"/>
        <v>Q4</v>
      </c>
      <c r="F473" t="s">
        <v>713</v>
      </c>
      <c r="G473">
        <v>0</v>
      </c>
      <c r="H473" t="str">
        <f t="shared" si="15"/>
        <v>October-2025</v>
      </c>
    </row>
    <row r="474" spans="1:8">
      <c r="A474" t="s">
        <v>57</v>
      </c>
      <c r="B474" t="s">
        <v>133</v>
      </c>
      <c r="C474" t="s">
        <v>80</v>
      </c>
      <c r="D474">
        <v>2025</v>
      </c>
      <c r="E474" t="str">
        <f t="shared" si="14"/>
        <v>Q4</v>
      </c>
      <c r="F474" t="s">
        <v>714</v>
      </c>
      <c r="G474">
        <v>0</v>
      </c>
      <c r="H474" t="str">
        <f t="shared" si="15"/>
        <v>November-2025</v>
      </c>
    </row>
    <row r="475" spans="1:8">
      <c r="A475" t="s">
        <v>57</v>
      </c>
      <c r="B475" t="s">
        <v>133</v>
      </c>
      <c r="C475" t="s">
        <v>80</v>
      </c>
      <c r="D475">
        <v>2025</v>
      </c>
      <c r="E475" t="str">
        <f t="shared" si="14"/>
        <v>Q4</v>
      </c>
      <c r="F475" t="s">
        <v>715</v>
      </c>
      <c r="G475">
        <v>0</v>
      </c>
      <c r="H475" t="str">
        <f t="shared" si="15"/>
        <v>December-2025</v>
      </c>
    </row>
    <row r="476" spans="1:8">
      <c r="A476" t="s">
        <v>57</v>
      </c>
      <c r="B476" t="s">
        <v>133</v>
      </c>
      <c r="C476" t="s">
        <v>80</v>
      </c>
      <c r="D476">
        <v>2026</v>
      </c>
      <c r="E476" t="str">
        <f t="shared" si="14"/>
        <v>Q1</v>
      </c>
      <c r="F476" t="s">
        <v>716</v>
      </c>
      <c r="G476">
        <v>1</v>
      </c>
      <c r="H476" t="str">
        <f t="shared" si="15"/>
        <v>January-2026</v>
      </c>
    </row>
    <row r="477" spans="1:8">
      <c r="A477" t="s">
        <v>57</v>
      </c>
      <c r="B477" t="s">
        <v>133</v>
      </c>
      <c r="C477" t="s">
        <v>80</v>
      </c>
      <c r="D477">
        <v>2026</v>
      </c>
      <c r="E477" t="str">
        <f t="shared" si="14"/>
        <v>Q1</v>
      </c>
      <c r="F477" t="s">
        <v>717</v>
      </c>
      <c r="G477">
        <v>1</v>
      </c>
      <c r="H477" t="str">
        <f t="shared" si="15"/>
        <v>February-2026</v>
      </c>
    </row>
    <row r="478" spans="1:8">
      <c r="A478" t="s">
        <v>57</v>
      </c>
      <c r="B478" t="s">
        <v>133</v>
      </c>
      <c r="C478" t="s">
        <v>80</v>
      </c>
      <c r="D478">
        <v>2026</v>
      </c>
      <c r="E478" t="str">
        <f t="shared" si="14"/>
        <v>Q1</v>
      </c>
      <c r="F478" t="s">
        <v>718</v>
      </c>
      <c r="G478">
        <v>1</v>
      </c>
      <c r="H478" t="str">
        <f t="shared" si="15"/>
        <v>March-2026</v>
      </c>
    </row>
    <row r="479" spans="1:8">
      <c r="A479" t="s">
        <v>57</v>
      </c>
      <c r="B479" t="s">
        <v>133</v>
      </c>
      <c r="C479" t="s">
        <v>80</v>
      </c>
      <c r="D479">
        <v>2026</v>
      </c>
      <c r="E479" t="str">
        <f t="shared" si="14"/>
        <v>Q2</v>
      </c>
      <c r="F479" t="s">
        <v>719</v>
      </c>
      <c r="G479">
        <v>1</v>
      </c>
      <c r="H479" t="str">
        <f t="shared" si="15"/>
        <v>April-2026</v>
      </c>
    </row>
    <row r="480" spans="1:8">
      <c r="A480" t="s">
        <v>57</v>
      </c>
      <c r="B480" t="s">
        <v>133</v>
      </c>
      <c r="C480" t="s">
        <v>80</v>
      </c>
      <c r="D480">
        <v>2026</v>
      </c>
      <c r="E480" t="str">
        <f t="shared" si="14"/>
        <v>Q2</v>
      </c>
      <c r="F480" t="s">
        <v>720</v>
      </c>
      <c r="G480">
        <v>1</v>
      </c>
      <c r="H480" t="str">
        <f t="shared" si="15"/>
        <v>May-2026</v>
      </c>
    </row>
    <row r="481" spans="1:8">
      <c r="A481" t="s">
        <v>57</v>
      </c>
      <c r="B481" t="s">
        <v>133</v>
      </c>
      <c r="C481" t="s">
        <v>80</v>
      </c>
      <c r="D481">
        <v>2026</v>
      </c>
      <c r="E481" t="str">
        <f t="shared" si="14"/>
        <v>Q2</v>
      </c>
      <c r="F481" t="s">
        <v>721</v>
      </c>
      <c r="G481">
        <v>1</v>
      </c>
      <c r="H481" t="str">
        <f t="shared" si="15"/>
        <v>June-2026</v>
      </c>
    </row>
    <row r="482" spans="1:8">
      <c r="A482" t="s">
        <v>57</v>
      </c>
      <c r="B482" t="s">
        <v>133</v>
      </c>
      <c r="C482" t="s">
        <v>59</v>
      </c>
      <c r="D482">
        <v>2025</v>
      </c>
      <c r="E482" t="str">
        <f t="shared" si="14"/>
        <v>Q3</v>
      </c>
      <c r="F482" t="s">
        <v>710</v>
      </c>
      <c r="G482">
        <v>0</v>
      </c>
      <c r="H482" t="str">
        <f t="shared" si="15"/>
        <v>July-2025</v>
      </c>
    </row>
    <row r="483" spans="1:8">
      <c r="A483" t="s">
        <v>57</v>
      </c>
      <c r="B483" t="s">
        <v>133</v>
      </c>
      <c r="C483" t="s">
        <v>59</v>
      </c>
      <c r="D483">
        <v>2025</v>
      </c>
      <c r="E483" t="str">
        <f t="shared" si="14"/>
        <v>Q3</v>
      </c>
      <c r="F483" t="s">
        <v>711</v>
      </c>
      <c r="G483">
        <v>0</v>
      </c>
      <c r="H483" t="str">
        <f t="shared" si="15"/>
        <v>August-2025</v>
      </c>
    </row>
    <row r="484" spans="1:8">
      <c r="A484" t="s">
        <v>57</v>
      </c>
      <c r="B484" t="s">
        <v>133</v>
      </c>
      <c r="C484" t="s">
        <v>59</v>
      </c>
      <c r="D484">
        <v>2025</v>
      </c>
      <c r="E484" t="str">
        <f t="shared" si="14"/>
        <v>Q3</v>
      </c>
      <c r="F484" t="s">
        <v>712</v>
      </c>
      <c r="G484">
        <v>0</v>
      </c>
      <c r="H484" t="str">
        <f t="shared" si="15"/>
        <v>September-2025</v>
      </c>
    </row>
    <row r="485" spans="1:8">
      <c r="A485" t="s">
        <v>57</v>
      </c>
      <c r="B485" t="s">
        <v>133</v>
      </c>
      <c r="C485" t="s">
        <v>59</v>
      </c>
      <c r="D485">
        <v>2025</v>
      </c>
      <c r="E485" t="str">
        <f t="shared" si="14"/>
        <v>Q4</v>
      </c>
      <c r="F485" t="s">
        <v>713</v>
      </c>
      <c r="G485">
        <v>0</v>
      </c>
      <c r="H485" t="str">
        <f t="shared" si="15"/>
        <v>October-2025</v>
      </c>
    </row>
    <row r="486" spans="1:8">
      <c r="A486" t="s">
        <v>57</v>
      </c>
      <c r="B486" t="s">
        <v>133</v>
      </c>
      <c r="C486" t="s">
        <v>59</v>
      </c>
      <c r="D486">
        <v>2025</v>
      </c>
      <c r="E486" t="str">
        <f t="shared" si="14"/>
        <v>Q4</v>
      </c>
      <c r="F486" t="s">
        <v>714</v>
      </c>
      <c r="G486">
        <v>0</v>
      </c>
      <c r="H486" t="str">
        <f t="shared" si="15"/>
        <v>November-2025</v>
      </c>
    </row>
    <row r="487" spans="1:8">
      <c r="A487" t="s">
        <v>57</v>
      </c>
      <c r="B487" t="s">
        <v>133</v>
      </c>
      <c r="C487" t="s">
        <v>59</v>
      </c>
      <c r="D487">
        <v>2025</v>
      </c>
      <c r="E487" t="str">
        <f t="shared" si="14"/>
        <v>Q4</v>
      </c>
      <c r="F487" t="s">
        <v>715</v>
      </c>
      <c r="G487">
        <v>0</v>
      </c>
      <c r="H487" t="str">
        <f t="shared" si="15"/>
        <v>December-2025</v>
      </c>
    </row>
    <row r="488" spans="1:8">
      <c r="A488" t="s">
        <v>57</v>
      </c>
      <c r="B488" t="s">
        <v>133</v>
      </c>
      <c r="C488" t="s">
        <v>59</v>
      </c>
      <c r="D488">
        <v>2026</v>
      </c>
      <c r="E488" t="str">
        <f t="shared" si="14"/>
        <v>Q1</v>
      </c>
      <c r="F488" t="s">
        <v>716</v>
      </c>
      <c r="G488">
        <v>0</v>
      </c>
      <c r="H488" t="str">
        <f t="shared" si="15"/>
        <v>January-2026</v>
      </c>
    </row>
    <row r="489" spans="1:8">
      <c r="A489" t="s">
        <v>57</v>
      </c>
      <c r="B489" t="s">
        <v>133</v>
      </c>
      <c r="C489" t="s">
        <v>59</v>
      </c>
      <c r="D489">
        <v>2026</v>
      </c>
      <c r="E489" t="str">
        <f t="shared" si="14"/>
        <v>Q1</v>
      </c>
      <c r="F489" t="s">
        <v>717</v>
      </c>
      <c r="G489">
        <v>0</v>
      </c>
      <c r="H489" t="str">
        <f t="shared" si="15"/>
        <v>February-2026</v>
      </c>
    </row>
    <row r="490" spans="1:8">
      <c r="A490" t="s">
        <v>57</v>
      </c>
      <c r="B490" t="s">
        <v>133</v>
      </c>
      <c r="C490" t="s">
        <v>59</v>
      </c>
      <c r="D490">
        <v>2026</v>
      </c>
      <c r="E490" t="str">
        <f t="shared" si="14"/>
        <v>Q1</v>
      </c>
      <c r="F490" t="s">
        <v>718</v>
      </c>
      <c r="G490">
        <v>1</v>
      </c>
      <c r="H490" t="str">
        <f t="shared" si="15"/>
        <v>March-2026</v>
      </c>
    </row>
    <row r="491" spans="1:8">
      <c r="A491" t="s">
        <v>57</v>
      </c>
      <c r="B491" t="s">
        <v>133</v>
      </c>
      <c r="C491" t="s">
        <v>59</v>
      </c>
      <c r="D491">
        <v>2026</v>
      </c>
      <c r="E491" t="str">
        <f t="shared" si="14"/>
        <v>Q2</v>
      </c>
      <c r="F491" t="s">
        <v>719</v>
      </c>
      <c r="G491">
        <v>1</v>
      </c>
      <c r="H491" t="str">
        <f t="shared" si="15"/>
        <v>April-2026</v>
      </c>
    </row>
    <row r="492" spans="1:8">
      <c r="A492" t="s">
        <v>57</v>
      </c>
      <c r="B492" t="s">
        <v>133</v>
      </c>
      <c r="C492" t="s">
        <v>59</v>
      </c>
      <c r="D492">
        <v>2026</v>
      </c>
      <c r="E492" t="str">
        <f t="shared" si="14"/>
        <v>Q2</v>
      </c>
      <c r="F492" t="s">
        <v>720</v>
      </c>
      <c r="G492">
        <v>1</v>
      </c>
      <c r="H492" t="str">
        <f t="shared" si="15"/>
        <v>May-2026</v>
      </c>
    </row>
    <row r="493" spans="1:8">
      <c r="A493" t="s">
        <v>57</v>
      </c>
      <c r="B493" t="s">
        <v>133</v>
      </c>
      <c r="C493" t="s">
        <v>59</v>
      </c>
      <c r="D493">
        <v>2026</v>
      </c>
      <c r="E493" t="str">
        <f t="shared" si="14"/>
        <v>Q2</v>
      </c>
      <c r="F493" t="s">
        <v>721</v>
      </c>
      <c r="G493">
        <v>1</v>
      </c>
      <c r="H493" t="str">
        <f t="shared" si="15"/>
        <v>June-2026</v>
      </c>
    </row>
    <row r="494" spans="1:8">
      <c r="A494" t="s">
        <v>57</v>
      </c>
      <c r="B494" t="s">
        <v>58</v>
      </c>
      <c r="C494" t="s">
        <v>161</v>
      </c>
      <c r="D494">
        <v>2025</v>
      </c>
      <c r="E494" t="str">
        <f t="shared" si="14"/>
        <v>Q3</v>
      </c>
      <c r="F494" t="s">
        <v>710</v>
      </c>
      <c r="G494">
        <v>1</v>
      </c>
      <c r="H494" t="str">
        <f t="shared" si="15"/>
        <v>July-2025</v>
      </c>
    </row>
    <row r="495" spans="1:8">
      <c r="A495" t="s">
        <v>57</v>
      </c>
      <c r="B495" t="s">
        <v>58</v>
      </c>
      <c r="C495" t="s">
        <v>161</v>
      </c>
      <c r="D495">
        <v>2025</v>
      </c>
      <c r="E495" t="str">
        <f t="shared" si="14"/>
        <v>Q3</v>
      </c>
      <c r="F495" t="s">
        <v>711</v>
      </c>
      <c r="G495">
        <v>1</v>
      </c>
      <c r="H495" t="str">
        <f t="shared" si="15"/>
        <v>August-2025</v>
      </c>
    </row>
    <row r="496" spans="1:8">
      <c r="A496" t="s">
        <v>57</v>
      </c>
      <c r="B496" t="s">
        <v>58</v>
      </c>
      <c r="C496" t="s">
        <v>161</v>
      </c>
      <c r="D496">
        <v>2025</v>
      </c>
      <c r="E496" t="str">
        <f t="shared" si="14"/>
        <v>Q3</v>
      </c>
      <c r="F496" t="s">
        <v>712</v>
      </c>
      <c r="G496">
        <v>1</v>
      </c>
      <c r="H496" t="str">
        <f t="shared" si="15"/>
        <v>September-2025</v>
      </c>
    </row>
    <row r="497" spans="1:8">
      <c r="A497" t="s">
        <v>57</v>
      </c>
      <c r="B497" t="s">
        <v>58</v>
      </c>
      <c r="C497" t="s">
        <v>161</v>
      </c>
      <c r="D497">
        <v>2025</v>
      </c>
      <c r="E497" t="str">
        <f t="shared" si="14"/>
        <v>Q4</v>
      </c>
      <c r="F497" t="s">
        <v>713</v>
      </c>
      <c r="G497">
        <v>1</v>
      </c>
      <c r="H497" t="str">
        <f t="shared" si="15"/>
        <v>October-2025</v>
      </c>
    </row>
    <row r="498" spans="1:8">
      <c r="A498" t="s">
        <v>57</v>
      </c>
      <c r="B498" t="s">
        <v>58</v>
      </c>
      <c r="C498" t="s">
        <v>161</v>
      </c>
      <c r="D498">
        <v>2025</v>
      </c>
      <c r="E498" t="str">
        <f t="shared" si="14"/>
        <v>Q4</v>
      </c>
      <c r="F498" t="s">
        <v>714</v>
      </c>
      <c r="G498">
        <v>1</v>
      </c>
      <c r="H498" t="str">
        <f t="shared" si="15"/>
        <v>November-2025</v>
      </c>
    </row>
    <row r="499" spans="1:8">
      <c r="A499" t="s">
        <v>57</v>
      </c>
      <c r="B499" t="s">
        <v>58</v>
      </c>
      <c r="C499" t="s">
        <v>161</v>
      </c>
      <c r="D499">
        <v>2025</v>
      </c>
      <c r="E499" t="str">
        <f t="shared" si="14"/>
        <v>Q4</v>
      </c>
      <c r="F499" t="s">
        <v>715</v>
      </c>
      <c r="G499">
        <v>1</v>
      </c>
      <c r="H499" t="str">
        <f t="shared" si="15"/>
        <v>December-2025</v>
      </c>
    </row>
    <row r="500" spans="1:8">
      <c r="A500" t="s">
        <v>57</v>
      </c>
      <c r="B500" t="s">
        <v>58</v>
      </c>
      <c r="C500" t="s">
        <v>161</v>
      </c>
      <c r="D500">
        <v>2026</v>
      </c>
      <c r="E500" t="str">
        <f t="shared" si="14"/>
        <v>Q1</v>
      </c>
      <c r="F500" t="s">
        <v>716</v>
      </c>
      <c r="G500">
        <v>1</v>
      </c>
      <c r="H500" t="str">
        <f t="shared" si="15"/>
        <v>January-2026</v>
      </c>
    </row>
    <row r="501" spans="1:8">
      <c r="A501" t="s">
        <v>57</v>
      </c>
      <c r="B501" t="s">
        <v>58</v>
      </c>
      <c r="C501" t="s">
        <v>161</v>
      </c>
      <c r="D501">
        <v>2026</v>
      </c>
      <c r="E501" t="str">
        <f t="shared" si="14"/>
        <v>Q1</v>
      </c>
      <c r="F501" t="s">
        <v>717</v>
      </c>
      <c r="G501">
        <v>0</v>
      </c>
      <c r="H501" t="str">
        <f t="shared" si="15"/>
        <v>February-2026</v>
      </c>
    </row>
    <row r="502" spans="1:8">
      <c r="A502" t="s">
        <v>57</v>
      </c>
      <c r="B502" t="s">
        <v>58</v>
      </c>
      <c r="C502" t="s">
        <v>161</v>
      </c>
      <c r="D502">
        <v>2026</v>
      </c>
      <c r="E502" t="str">
        <f t="shared" si="14"/>
        <v>Q1</v>
      </c>
      <c r="F502" t="s">
        <v>718</v>
      </c>
      <c r="G502">
        <v>0</v>
      </c>
      <c r="H502" t="str">
        <f t="shared" si="15"/>
        <v>March-2026</v>
      </c>
    </row>
    <row r="503" spans="1:8">
      <c r="A503" t="s">
        <v>57</v>
      </c>
      <c r="B503" t="s">
        <v>58</v>
      </c>
      <c r="C503" t="s">
        <v>161</v>
      </c>
      <c r="D503">
        <v>2026</v>
      </c>
      <c r="E503" t="str">
        <f t="shared" si="14"/>
        <v>Q2</v>
      </c>
      <c r="F503" t="s">
        <v>719</v>
      </c>
      <c r="G503">
        <v>0</v>
      </c>
      <c r="H503" t="str">
        <f t="shared" si="15"/>
        <v>April-2026</v>
      </c>
    </row>
    <row r="504" spans="1:8">
      <c r="A504" t="s">
        <v>57</v>
      </c>
      <c r="B504" t="s">
        <v>58</v>
      </c>
      <c r="C504" t="s">
        <v>161</v>
      </c>
      <c r="D504">
        <v>2026</v>
      </c>
      <c r="E504" t="str">
        <f t="shared" si="14"/>
        <v>Q2</v>
      </c>
      <c r="F504" t="s">
        <v>720</v>
      </c>
      <c r="G504">
        <v>0</v>
      </c>
      <c r="H504" t="str">
        <f t="shared" si="15"/>
        <v>May-2026</v>
      </c>
    </row>
    <row r="505" spans="1:8">
      <c r="A505" t="s">
        <v>57</v>
      </c>
      <c r="B505" t="s">
        <v>58</v>
      </c>
      <c r="C505" t="s">
        <v>161</v>
      </c>
      <c r="D505">
        <v>2026</v>
      </c>
      <c r="E505" t="str">
        <f t="shared" si="14"/>
        <v>Q2</v>
      </c>
      <c r="F505" t="s">
        <v>721</v>
      </c>
      <c r="G505">
        <v>0</v>
      </c>
      <c r="H505" t="str">
        <f t="shared" si="15"/>
        <v>June-2026</v>
      </c>
    </row>
    <row r="506" spans="1:8">
      <c r="A506" t="s">
        <v>57</v>
      </c>
      <c r="B506" t="s">
        <v>58</v>
      </c>
      <c r="C506" t="s">
        <v>340</v>
      </c>
      <c r="D506">
        <v>2025</v>
      </c>
      <c r="E506" t="str">
        <f t="shared" si="14"/>
        <v>Q3</v>
      </c>
      <c r="F506" t="s">
        <v>710</v>
      </c>
      <c r="G506">
        <v>0</v>
      </c>
      <c r="H506" t="str">
        <f t="shared" si="15"/>
        <v>July-2025</v>
      </c>
    </row>
    <row r="507" spans="1:8">
      <c r="A507" t="s">
        <v>57</v>
      </c>
      <c r="B507" t="s">
        <v>58</v>
      </c>
      <c r="C507" t="s">
        <v>340</v>
      </c>
      <c r="D507">
        <v>2025</v>
      </c>
      <c r="E507" t="str">
        <f t="shared" si="14"/>
        <v>Q3</v>
      </c>
      <c r="F507" t="s">
        <v>711</v>
      </c>
      <c r="G507">
        <v>0</v>
      </c>
      <c r="H507" t="str">
        <f t="shared" si="15"/>
        <v>August-2025</v>
      </c>
    </row>
    <row r="508" spans="1:8">
      <c r="A508" t="s">
        <v>57</v>
      </c>
      <c r="B508" t="s">
        <v>58</v>
      </c>
      <c r="C508" t="s">
        <v>340</v>
      </c>
      <c r="D508">
        <v>2025</v>
      </c>
      <c r="E508" t="str">
        <f t="shared" si="14"/>
        <v>Q3</v>
      </c>
      <c r="F508" t="s">
        <v>712</v>
      </c>
      <c r="G508">
        <v>0</v>
      </c>
      <c r="H508" t="str">
        <f t="shared" si="15"/>
        <v>September-2025</v>
      </c>
    </row>
    <row r="509" spans="1:8">
      <c r="A509" t="s">
        <v>57</v>
      </c>
      <c r="B509" t="s">
        <v>58</v>
      </c>
      <c r="C509" t="s">
        <v>340</v>
      </c>
      <c r="D509">
        <v>2025</v>
      </c>
      <c r="E509" t="str">
        <f t="shared" si="14"/>
        <v>Q4</v>
      </c>
      <c r="F509" t="s">
        <v>713</v>
      </c>
      <c r="G509">
        <v>0</v>
      </c>
      <c r="H509" t="str">
        <f t="shared" si="15"/>
        <v>October-2025</v>
      </c>
    </row>
    <row r="510" spans="1:8">
      <c r="A510" t="s">
        <v>57</v>
      </c>
      <c r="B510" t="s">
        <v>58</v>
      </c>
      <c r="C510" t="s">
        <v>340</v>
      </c>
      <c r="D510">
        <v>2025</v>
      </c>
      <c r="E510" t="str">
        <f t="shared" si="14"/>
        <v>Q4</v>
      </c>
      <c r="F510" t="s">
        <v>714</v>
      </c>
      <c r="G510">
        <v>0</v>
      </c>
      <c r="H510" t="str">
        <f t="shared" si="15"/>
        <v>November-2025</v>
      </c>
    </row>
    <row r="511" spans="1:8">
      <c r="A511" t="s">
        <v>57</v>
      </c>
      <c r="B511" t="s">
        <v>58</v>
      </c>
      <c r="C511" t="s">
        <v>340</v>
      </c>
      <c r="D511">
        <v>2025</v>
      </c>
      <c r="E511" t="str">
        <f t="shared" si="14"/>
        <v>Q4</v>
      </c>
      <c r="F511" t="s">
        <v>715</v>
      </c>
      <c r="G511">
        <v>0</v>
      </c>
      <c r="H511" t="str">
        <f t="shared" si="15"/>
        <v>December-2025</v>
      </c>
    </row>
    <row r="512" spans="1:8">
      <c r="A512" t="s">
        <v>57</v>
      </c>
      <c r="B512" t="s">
        <v>58</v>
      </c>
      <c r="C512" t="s">
        <v>340</v>
      </c>
      <c r="D512">
        <v>2026</v>
      </c>
      <c r="E512" t="str">
        <f t="shared" si="14"/>
        <v>Q1</v>
      </c>
      <c r="F512" t="s">
        <v>716</v>
      </c>
      <c r="G512">
        <v>0</v>
      </c>
      <c r="H512" t="str">
        <f t="shared" si="15"/>
        <v>January-2026</v>
      </c>
    </row>
    <row r="513" spans="1:8">
      <c r="A513" t="s">
        <v>57</v>
      </c>
      <c r="B513" t="s">
        <v>58</v>
      </c>
      <c r="C513" t="s">
        <v>340</v>
      </c>
      <c r="D513">
        <v>2026</v>
      </c>
      <c r="E513" t="str">
        <f t="shared" si="14"/>
        <v>Q1</v>
      </c>
      <c r="F513" t="s">
        <v>717</v>
      </c>
      <c r="G513">
        <v>0</v>
      </c>
      <c r="H513" t="str">
        <f t="shared" si="15"/>
        <v>February-2026</v>
      </c>
    </row>
    <row r="514" spans="1:8">
      <c r="A514" t="s">
        <v>57</v>
      </c>
      <c r="B514" t="s">
        <v>58</v>
      </c>
      <c r="C514" t="s">
        <v>340</v>
      </c>
      <c r="D514">
        <v>2026</v>
      </c>
      <c r="E514" t="str">
        <f t="shared" si="14"/>
        <v>Q1</v>
      </c>
      <c r="F514" t="s">
        <v>718</v>
      </c>
      <c r="G514">
        <v>0</v>
      </c>
      <c r="H514" t="str">
        <f t="shared" si="15"/>
        <v>March-2026</v>
      </c>
    </row>
    <row r="515" spans="1:8">
      <c r="A515" t="s">
        <v>57</v>
      </c>
      <c r="B515" t="s">
        <v>58</v>
      </c>
      <c r="C515" t="s">
        <v>340</v>
      </c>
      <c r="D515">
        <v>2026</v>
      </c>
      <c r="E515" t="str">
        <f t="shared" ref="E515:E578" si="16">"Q"&amp;ROUNDUP(MONTH(DATEVALUE(F515&amp;" 1"))/3,0)</f>
        <v>Q2</v>
      </c>
      <c r="F515" t="s">
        <v>719</v>
      </c>
      <c r="G515">
        <v>0</v>
      </c>
      <c r="H515" t="str">
        <f t="shared" ref="H515:H578" si="17">_xlfn.CONCAT(F515,"-",D515)</f>
        <v>April-2026</v>
      </c>
    </row>
    <row r="516" spans="1:8">
      <c r="A516" t="s">
        <v>57</v>
      </c>
      <c r="B516" t="s">
        <v>58</v>
      </c>
      <c r="C516" t="s">
        <v>340</v>
      </c>
      <c r="D516">
        <v>2026</v>
      </c>
      <c r="E516" t="str">
        <f t="shared" si="16"/>
        <v>Q2</v>
      </c>
      <c r="F516" t="s">
        <v>720</v>
      </c>
      <c r="G516">
        <v>0</v>
      </c>
      <c r="H516" t="str">
        <f t="shared" si="17"/>
        <v>May-2026</v>
      </c>
    </row>
    <row r="517" spans="1:8">
      <c r="A517" t="s">
        <v>57</v>
      </c>
      <c r="B517" t="s">
        <v>58</v>
      </c>
      <c r="C517" t="s">
        <v>340</v>
      </c>
      <c r="D517">
        <v>2026</v>
      </c>
      <c r="E517" t="str">
        <f t="shared" si="16"/>
        <v>Q2</v>
      </c>
      <c r="F517" t="s">
        <v>721</v>
      </c>
      <c r="G517">
        <v>0</v>
      </c>
      <c r="H517" t="str">
        <f t="shared" si="17"/>
        <v>June-2026</v>
      </c>
    </row>
    <row r="518" spans="1:8">
      <c r="A518" t="s">
        <v>57</v>
      </c>
      <c r="B518" t="s">
        <v>58</v>
      </c>
      <c r="C518" t="s">
        <v>59</v>
      </c>
      <c r="D518">
        <v>2025</v>
      </c>
      <c r="E518" t="str">
        <f t="shared" si="16"/>
        <v>Q3</v>
      </c>
      <c r="F518" t="s">
        <v>710</v>
      </c>
      <c r="G518">
        <v>1</v>
      </c>
      <c r="H518" t="str">
        <f t="shared" si="17"/>
        <v>July-2025</v>
      </c>
    </row>
    <row r="519" spans="1:8">
      <c r="A519" t="s">
        <v>57</v>
      </c>
      <c r="B519" t="s">
        <v>58</v>
      </c>
      <c r="C519" t="s">
        <v>59</v>
      </c>
      <c r="D519">
        <v>2025</v>
      </c>
      <c r="E519" t="str">
        <f t="shared" si="16"/>
        <v>Q3</v>
      </c>
      <c r="F519" t="s">
        <v>711</v>
      </c>
      <c r="G519">
        <v>0</v>
      </c>
      <c r="H519" t="str">
        <f t="shared" si="17"/>
        <v>August-2025</v>
      </c>
    </row>
    <row r="520" spans="1:8">
      <c r="A520" t="s">
        <v>57</v>
      </c>
      <c r="B520" t="s">
        <v>58</v>
      </c>
      <c r="C520" t="s">
        <v>59</v>
      </c>
      <c r="D520">
        <v>2025</v>
      </c>
      <c r="E520" t="str">
        <f t="shared" si="16"/>
        <v>Q3</v>
      </c>
      <c r="F520" t="s">
        <v>712</v>
      </c>
      <c r="G520">
        <v>0</v>
      </c>
      <c r="H520" t="str">
        <f t="shared" si="17"/>
        <v>September-2025</v>
      </c>
    </row>
    <row r="521" spans="1:8">
      <c r="A521" t="s">
        <v>57</v>
      </c>
      <c r="B521" t="s">
        <v>58</v>
      </c>
      <c r="C521" t="s">
        <v>59</v>
      </c>
      <c r="D521">
        <v>2025</v>
      </c>
      <c r="E521" t="str">
        <f t="shared" si="16"/>
        <v>Q4</v>
      </c>
      <c r="F521" t="s">
        <v>713</v>
      </c>
      <c r="G521">
        <v>0</v>
      </c>
      <c r="H521" t="str">
        <f t="shared" si="17"/>
        <v>October-2025</v>
      </c>
    </row>
    <row r="522" spans="1:8">
      <c r="A522" t="s">
        <v>57</v>
      </c>
      <c r="B522" t="s">
        <v>58</v>
      </c>
      <c r="C522" t="s">
        <v>59</v>
      </c>
      <c r="D522">
        <v>2025</v>
      </c>
      <c r="E522" t="str">
        <f t="shared" si="16"/>
        <v>Q4</v>
      </c>
      <c r="F522" t="s">
        <v>714</v>
      </c>
      <c r="G522">
        <v>0</v>
      </c>
      <c r="H522" t="str">
        <f t="shared" si="17"/>
        <v>November-2025</v>
      </c>
    </row>
    <row r="523" spans="1:8">
      <c r="A523" t="s">
        <v>57</v>
      </c>
      <c r="B523" t="s">
        <v>58</v>
      </c>
      <c r="C523" t="s">
        <v>59</v>
      </c>
      <c r="D523">
        <v>2025</v>
      </c>
      <c r="E523" t="str">
        <f t="shared" si="16"/>
        <v>Q4</v>
      </c>
      <c r="F523" t="s">
        <v>715</v>
      </c>
      <c r="G523">
        <v>0</v>
      </c>
      <c r="H523" t="str">
        <f t="shared" si="17"/>
        <v>December-2025</v>
      </c>
    </row>
    <row r="524" spans="1:8">
      <c r="A524" t="s">
        <v>57</v>
      </c>
      <c r="B524" t="s">
        <v>58</v>
      </c>
      <c r="C524" t="s">
        <v>59</v>
      </c>
      <c r="D524">
        <v>2026</v>
      </c>
      <c r="E524" t="str">
        <f t="shared" si="16"/>
        <v>Q1</v>
      </c>
      <c r="F524" t="s">
        <v>716</v>
      </c>
      <c r="G524">
        <v>0</v>
      </c>
      <c r="H524" t="str">
        <f t="shared" si="17"/>
        <v>January-2026</v>
      </c>
    </row>
    <row r="525" spans="1:8">
      <c r="A525" t="s">
        <v>57</v>
      </c>
      <c r="B525" t="s">
        <v>58</v>
      </c>
      <c r="C525" t="s">
        <v>59</v>
      </c>
      <c r="D525">
        <v>2026</v>
      </c>
      <c r="E525" t="str">
        <f t="shared" si="16"/>
        <v>Q1</v>
      </c>
      <c r="F525" t="s">
        <v>717</v>
      </c>
      <c r="G525">
        <v>0</v>
      </c>
      <c r="H525" t="str">
        <f t="shared" si="17"/>
        <v>February-2026</v>
      </c>
    </row>
    <row r="526" spans="1:8">
      <c r="A526" t="s">
        <v>57</v>
      </c>
      <c r="B526" t="s">
        <v>58</v>
      </c>
      <c r="C526" t="s">
        <v>59</v>
      </c>
      <c r="D526">
        <v>2026</v>
      </c>
      <c r="E526" t="str">
        <f t="shared" si="16"/>
        <v>Q1</v>
      </c>
      <c r="F526" t="s">
        <v>718</v>
      </c>
      <c r="G526">
        <v>0</v>
      </c>
      <c r="H526" t="str">
        <f t="shared" si="17"/>
        <v>March-2026</v>
      </c>
    </row>
    <row r="527" spans="1:8">
      <c r="A527" t="s">
        <v>57</v>
      </c>
      <c r="B527" t="s">
        <v>58</v>
      </c>
      <c r="C527" t="s">
        <v>59</v>
      </c>
      <c r="D527">
        <v>2026</v>
      </c>
      <c r="E527" t="str">
        <f t="shared" si="16"/>
        <v>Q2</v>
      </c>
      <c r="F527" t="s">
        <v>719</v>
      </c>
      <c r="G527">
        <v>0</v>
      </c>
      <c r="H527" t="str">
        <f t="shared" si="17"/>
        <v>April-2026</v>
      </c>
    </row>
    <row r="528" spans="1:8">
      <c r="A528" t="s">
        <v>57</v>
      </c>
      <c r="B528" t="s">
        <v>58</v>
      </c>
      <c r="C528" t="s">
        <v>59</v>
      </c>
      <c r="D528">
        <v>2026</v>
      </c>
      <c r="E528" t="str">
        <f t="shared" si="16"/>
        <v>Q2</v>
      </c>
      <c r="F528" t="s">
        <v>720</v>
      </c>
      <c r="G528">
        <v>0</v>
      </c>
      <c r="H528" t="str">
        <f t="shared" si="17"/>
        <v>May-2026</v>
      </c>
    </row>
    <row r="529" spans="1:8">
      <c r="A529" t="s">
        <v>57</v>
      </c>
      <c r="B529" t="s">
        <v>58</v>
      </c>
      <c r="C529" t="s">
        <v>59</v>
      </c>
      <c r="D529">
        <v>2026</v>
      </c>
      <c r="E529" t="str">
        <f t="shared" si="16"/>
        <v>Q2</v>
      </c>
      <c r="F529" t="s">
        <v>721</v>
      </c>
      <c r="G529">
        <v>0</v>
      </c>
      <c r="H529" t="str">
        <f t="shared" si="17"/>
        <v>June-2026</v>
      </c>
    </row>
    <row r="530" spans="1:8">
      <c r="A530" t="s">
        <v>57</v>
      </c>
      <c r="B530" t="s">
        <v>95</v>
      </c>
      <c r="C530" t="s">
        <v>200</v>
      </c>
      <c r="D530">
        <v>2025</v>
      </c>
      <c r="E530" t="str">
        <f t="shared" si="16"/>
        <v>Q3</v>
      </c>
      <c r="F530" t="s">
        <v>710</v>
      </c>
      <c r="G530">
        <v>1</v>
      </c>
      <c r="H530" t="str">
        <f t="shared" si="17"/>
        <v>July-2025</v>
      </c>
    </row>
    <row r="531" spans="1:8">
      <c r="A531" t="s">
        <v>57</v>
      </c>
      <c r="B531" t="s">
        <v>95</v>
      </c>
      <c r="C531" t="s">
        <v>200</v>
      </c>
      <c r="D531">
        <v>2025</v>
      </c>
      <c r="E531" t="str">
        <f t="shared" si="16"/>
        <v>Q3</v>
      </c>
      <c r="F531" t="s">
        <v>711</v>
      </c>
      <c r="G531">
        <v>1</v>
      </c>
      <c r="H531" t="str">
        <f t="shared" si="17"/>
        <v>August-2025</v>
      </c>
    </row>
    <row r="532" spans="1:8">
      <c r="A532" t="s">
        <v>57</v>
      </c>
      <c r="B532" t="s">
        <v>95</v>
      </c>
      <c r="C532" t="s">
        <v>200</v>
      </c>
      <c r="D532">
        <v>2025</v>
      </c>
      <c r="E532" t="str">
        <f t="shared" si="16"/>
        <v>Q3</v>
      </c>
      <c r="F532" t="s">
        <v>712</v>
      </c>
      <c r="G532">
        <v>1</v>
      </c>
      <c r="H532" t="str">
        <f t="shared" si="17"/>
        <v>September-2025</v>
      </c>
    </row>
    <row r="533" spans="1:8">
      <c r="A533" t="s">
        <v>57</v>
      </c>
      <c r="B533" t="s">
        <v>95</v>
      </c>
      <c r="C533" t="s">
        <v>200</v>
      </c>
      <c r="D533">
        <v>2025</v>
      </c>
      <c r="E533" t="str">
        <f t="shared" si="16"/>
        <v>Q4</v>
      </c>
      <c r="F533" t="s">
        <v>713</v>
      </c>
      <c r="G533">
        <v>1</v>
      </c>
      <c r="H533" t="str">
        <f t="shared" si="17"/>
        <v>October-2025</v>
      </c>
    </row>
    <row r="534" spans="1:8">
      <c r="A534" t="s">
        <v>57</v>
      </c>
      <c r="B534" t="s">
        <v>95</v>
      </c>
      <c r="C534" t="s">
        <v>200</v>
      </c>
      <c r="D534">
        <v>2025</v>
      </c>
      <c r="E534" t="str">
        <f t="shared" si="16"/>
        <v>Q4</v>
      </c>
      <c r="F534" t="s">
        <v>714</v>
      </c>
      <c r="G534">
        <v>1</v>
      </c>
      <c r="H534" t="str">
        <f t="shared" si="17"/>
        <v>November-2025</v>
      </c>
    </row>
    <row r="535" spans="1:8">
      <c r="A535" t="s">
        <v>57</v>
      </c>
      <c r="B535" t="s">
        <v>95</v>
      </c>
      <c r="C535" t="s">
        <v>200</v>
      </c>
      <c r="D535">
        <v>2025</v>
      </c>
      <c r="E535" t="str">
        <f t="shared" si="16"/>
        <v>Q4</v>
      </c>
      <c r="F535" t="s">
        <v>715</v>
      </c>
      <c r="G535">
        <v>1</v>
      </c>
      <c r="H535" t="str">
        <f t="shared" si="17"/>
        <v>December-2025</v>
      </c>
    </row>
    <row r="536" spans="1:8">
      <c r="A536" t="s">
        <v>57</v>
      </c>
      <c r="B536" t="s">
        <v>95</v>
      </c>
      <c r="C536" t="s">
        <v>200</v>
      </c>
      <c r="D536">
        <v>2026</v>
      </c>
      <c r="E536" t="str">
        <f t="shared" si="16"/>
        <v>Q1</v>
      </c>
      <c r="F536" t="s">
        <v>716</v>
      </c>
      <c r="G536">
        <v>0</v>
      </c>
      <c r="H536" t="str">
        <f t="shared" si="17"/>
        <v>January-2026</v>
      </c>
    </row>
    <row r="537" spans="1:8">
      <c r="A537" t="s">
        <v>57</v>
      </c>
      <c r="B537" t="s">
        <v>95</v>
      </c>
      <c r="C537" t="s">
        <v>200</v>
      </c>
      <c r="D537">
        <v>2026</v>
      </c>
      <c r="E537" t="str">
        <f t="shared" si="16"/>
        <v>Q1</v>
      </c>
      <c r="F537" t="s">
        <v>717</v>
      </c>
      <c r="G537">
        <v>1</v>
      </c>
      <c r="H537" t="str">
        <f t="shared" si="17"/>
        <v>February-2026</v>
      </c>
    </row>
    <row r="538" spans="1:8">
      <c r="A538" t="s">
        <v>57</v>
      </c>
      <c r="B538" t="s">
        <v>95</v>
      </c>
      <c r="C538" t="s">
        <v>200</v>
      </c>
      <c r="D538">
        <v>2026</v>
      </c>
      <c r="E538" t="str">
        <f t="shared" si="16"/>
        <v>Q1</v>
      </c>
      <c r="F538" t="s">
        <v>718</v>
      </c>
      <c r="G538">
        <v>1</v>
      </c>
      <c r="H538" t="str">
        <f t="shared" si="17"/>
        <v>March-2026</v>
      </c>
    </row>
    <row r="539" spans="1:8">
      <c r="A539" t="s">
        <v>57</v>
      </c>
      <c r="B539" t="s">
        <v>95</v>
      </c>
      <c r="C539" t="s">
        <v>200</v>
      </c>
      <c r="D539">
        <v>2026</v>
      </c>
      <c r="E539" t="str">
        <f t="shared" si="16"/>
        <v>Q2</v>
      </c>
      <c r="F539" t="s">
        <v>719</v>
      </c>
      <c r="G539">
        <v>1</v>
      </c>
      <c r="H539" t="str">
        <f t="shared" si="17"/>
        <v>April-2026</v>
      </c>
    </row>
    <row r="540" spans="1:8">
      <c r="A540" t="s">
        <v>57</v>
      </c>
      <c r="B540" t="s">
        <v>95</v>
      </c>
      <c r="C540" t="s">
        <v>200</v>
      </c>
      <c r="D540">
        <v>2026</v>
      </c>
      <c r="E540" t="str">
        <f t="shared" si="16"/>
        <v>Q2</v>
      </c>
      <c r="F540" t="s">
        <v>720</v>
      </c>
      <c r="G540">
        <v>0</v>
      </c>
      <c r="H540" t="str">
        <f t="shared" si="17"/>
        <v>May-2026</v>
      </c>
    </row>
    <row r="541" spans="1:8">
      <c r="A541" t="s">
        <v>57</v>
      </c>
      <c r="B541" t="s">
        <v>95</v>
      </c>
      <c r="C541" t="s">
        <v>200</v>
      </c>
      <c r="D541">
        <v>2026</v>
      </c>
      <c r="E541" t="str">
        <f t="shared" si="16"/>
        <v>Q2</v>
      </c>
      <c r="F541" t="s">
        <v>721</v>
      </c>
      <c r="G541">
        <v>0</v>
      </c>
      <c r="H541" t="str">
        <f t="shared" si="17"/>
        <v>June-2026</v>
      </c>
    </row>
    <row r="542" spans="1:8">
      <c r="A542" t="s">
        <v>57</v>
      </c>
      <c r="B542" t="s">
        <v>95</v>
      </c>
      <c r="C542" t="s">
        <v>239</v>
      </c>
      <c r="D542">
        <v>2025</v>
      </c>
      <c r="E542" t="str">
        <f t="shared" si="16"/>
        <v>Q3</v>
      </c>
      <c r="F542" t="s">
        <v>710</v>
      </c>
      <c r="G542">
        <v>0</v>
      </c>
      <c r="H542" t="str">
        <f t="shared" si="17"/>
        <v>July-2025</v>
      </c>
    </row>
    <row r="543" spans="1:8">
      <c r="A543" t="s">
        <v>57</v>
      </c>
      <c r="B543" t="s">
        <v>95</v>
      </c>
      <c r="C543" t="s">
        <v>239</v>
      </c>
      <c r="D543">
        <v>2025</v>
      </c>
      <c r="E543" t="str">
        <f t="shared" si="16"/>
        <v>Q3</v>
      </c>
      <c r="F543" t="s">
        <v>711</v>
      </c>
      <c r="G543">
        <v>0</v>
      </c>
      <c r="H543" t="str">
        <f t="shared" si="17"/>
        <v>August-2025</v>
      </c>
    </row>
    <row r="544" spans="1:8">
      <c r="A544" t="s">
        <v>57</v>
      </c>
      <c r="B544" t="s">
        <v>95</v>
      </c>
      <c r="C544" t="s">
        <v>239</v>
      </c>
      <c r="D544">
        <v>2025</v>
      </c>
      <c r="E544" t="str">
        <f t="shared" si="16"/>
        <v>Q3</v>
      </c>
      <c r="F544" t="s">
        <v>712</v>
      </c>
      <c r="G544">
        <v>0</v>
      </c>
      <c r="H544" t="str">
        <f t="shared" si="17"/>
        <v>September-2025</v>
      </c>
    </row>
    <row r="545" spans="1:8">
      <c r="A545" t="s">
        <v>57</v>
      </c>
      <c r="B545" t="s">
        <v>95</v>
      </c>
      <c r="C545" t="s">
        <v>239</v>
      </c>
      <c r="D545">
        <v>2025</v>
      </c>
      <c r="E545" t="str">
        <f t="shared" si="16"/>
        <v>Q4</v>
      </c>
      <c r="F545" t="s">
        <v>713</v>
      </c>
      <c r="G545">
        <v>0</v>
      </c>
      <c r="H545" t="str">
        <f t="shared" si="17"/>
        <v>October-2025</v>
      </c>
    </row>
    <row r="546" spans="1:8">
      <c r="A546" t="s">
        <v>57</v>
      </c>
      <c r="B546" t="s">
        <v>95</v>
      </c>
      <c r="C546" t="s">
        <v>239</v>
      </c>
      <c r="D546">
        <v>2025</v>
      </c>
      <c r="E546" t="str">
        <f t="shared" si="16"/>
        <v>Q4</v>
      </c>
      <c r="F546" t="s">
        <v>714</v>
      </c>
      <c r="G546">
        <v>0</v>
      </c>
      <c r="H546" t="str">
        <f t="shared" si="17"/>
        <v>November-2025</v>
      </c>
    </row>
    <row r="547" spans="1:8">
      <c r="A547" t="s">
        <v>57</v>
      </c>
      <c r="B547" t="s">
        <v>95</v>
      </c>
      <c r="C547" t="s">
        <v>239</v>
      </c>
      <c r="D547">
        <v>2025</v>
      </c>
      <c r="E547" t="str">
        <f t="shared" si="16"/>
        <v>Q4</v>
      </c>
      <c r="F547" t="s">
        <v>715</v>
      </c>
      <c r="G547">
        <v>0</v>
      </c>
      <c r="H547" t="str">
        <f t="shared" si="17"/>
        <v>December-2025</v>
      </c>
    </row>
    <row r="548" spans="1:8">
      <c r="A548" t="s">
        <v>57</v>
      </c>
      <c r="B548" t="s">
        <v>95</v>
      </c>
      <c r="C548" t="s">
        <v>239</v>
      </c>
      <c r="D548">
        <v>2026</v>
      </c>
      <c r="E548" t="str">
        <f t="shared" si="16"/>
        <v>Q1</v>
      </c>
      <c r="F548" t="s">
        <v>716</v>
      </c>
      <c r="G548">
        <v>0</v>
      </c>
      <c r="H548" t="str">
        <f t="shared" si="17"/>
        <v>January-2026</v>
      </c>
    </row>
    <row r="549" spans="1:8">
      <c r="A549" t="s">
        <v>57</v>
      </c>
      <c r="B549" t="s">
        <v>95</v>
      </c>
      <c r="C549" t="s">
        <v>239</v>
      </c>
      <c r="D549">
        <v>2026</v>
      </c>
      <c r="E549" t="str">
        <f t="shared" si="16"/>
        <v>Q1</v>
      </c>
      <c r="F549" t="s">
        <v>717</v>
      </c>
      <c r="G549">
        <v>0</v>
      </c>
      <c r="H549" t="str">
        <f t="shared" si="17"/>
        <v>February-2026</v>
      </c>
    </row>
    <row r="550" spans="1:8">
      <c r="A550" t="s">
        <v>57</v>
      </c>
      <c r="B550" t="s">
        <v>95</v>
      </c>
      <c r="C550" t="s">
        <v>239</v>
      </c>
      <c r="D550">
        <v>2026</v>
      </c>
      <c r="E550" t="str">
        <f t="shared" si="16"/>
        <v>Q1</v>
      </c>
      <c r="F550" t="s">
        <v>718</v>
      </c>
      <c r="G550">
        <v>1</v>
      </c>
      <c r="H550" t="str">
        <f t="shared" si="17"/>
        <v>March-2026</v>
      </c>
    </row>
    <row r="551" spans="1:8">
      <c r="A551" t="s">
        <v>57</v>
      </c>
      <c r="B551" t="s">
        <v>95</v>
      </c>
      <c r="C551" t="s">
        <v>239</v>
      </c>
      <c r="D551">
        <v>2026</v>
      </c>
      <c r="E551" t="str">
        <f t="shared" si="16"/>
        <v>Q2</v>
      </c>
      <c r="F551" t="s">
        <v>719</v>
      </c>
      <c r="G551">
        <v>1</v>
      </c>
      <c r="H551" t="str">
        <f t="shared" si="17"/>
        <v>April-2026</v>
      </c>
    </row>
    <row r="552" spans="1:8">
      <c r="A552" t="s">
        <v>57</v>
      </c>
      <c r="B552" t="s">
        <v>95</v>
      </c>
      <c r="C552" t="s">
        <v>239</v>
      </c>
      <c r="D552">
        <v>2026</v>
      </c>
      <c r="E552" t="str">
        <f t="shared" si="16"/>
        <v>Q2</v>
      </c>
      <c r="F552" t="s">
        <v>720</v>
      </c>
      <c r="G552">
        <v>1</v>
      </c>
      <c r="H552" t="str">
        <f t="shared" si="17"/>
        <v>May-2026</v>
      </c>
    </row>
    <row r="553" spans="1:8">
      <c r="A553" t="s">
        <v>57</v>
      </c>
      <c r="B553" t="s">
        <v>95</v>
      </c>
      <c r="C553" t="s">
        <v>239</v>
      </c>
      <c r="D553">
        <v>2026</v>
      </c>
      <c r="E553" t="str">
        <f t="shared" si="16"/>
        <v>Q2</v>
      </c>
      <c r="F553" t="s">
        <v>721</v>
      </c>
      <c r="G553">
        <v>1</v>
      </c>
      <c r="H553" t="str">
        <f t="shared" si="17"/>
        <v>June-2026</v>
      </c>
    </row>
    <row r="554" spans="1:8">
      <c r="A554" t="s">
        <v>57</v>
      </c>
      <c r="B554" t="s">
        <v>95</v>
      </c>
      <c r="C554" t="s">
        <v>80</v>
      </c>
      <c r="D554">
        <v>2025</v>
      </c>
      <c r="E554" t="str">
        <f t="shared" si="16"/>
        <v>Q3</v>
      </c>
      <c r="F554" t="s">
        <v>710</v>
      </c>
      <c r="G554">
        <v>1</v>
      </c>
      <c r="H554" t="str">
        <f t="shared" si="17"/>
        <v>July-2025</v>
      </c>
    </row>
    <row r="555" spans="1:8">
      <c r="A555" t="s">
        <v>57</v>
      </c>
      <c r="B555" t="s">
        <v>95</v>
      </c>
      <c r="C555" t="s">
        <v>80</v>
      </c>
      <c r="D555">
        <v>2025</v>
      </c>
      <c r="E555" t="str">
        <f t="shared" si="16"/>
        <v>Q3</v>
      </c>
      <c r="F555" t="s">
        <v>711</v>
      </c>
      <c r="G555">
        <v>1</v>
      </c>
      <c r="H555" t="str">
        <f t="shared" si="17"/>
        <v>August-2025</v>
      </c>
    </row>
    <row r="556" spans="1:8">
      <c r="A556" t="s">
        <v>57</v>
      </c>
      <c r="B556" t="s">
        <v>95</v>
      </c>
      <c r="C556" t="s">
        <v>80</v>
      </c>
      <c r="D556">
        <v>2025</v>
      </c>
      <c r="E556" t="str">
        <f t="shared" si="16"/>
        <v>Q3</v>
      </c>
      <c r="F556" t="s">
        <v>712</v>
      </c>
      <c r="G556">
        <v>1</v>
      </c>
      <c r="H556" t="str">
        <f t="shared" si="17"/>
        <v>September-2025</v>
      </c>
    </row>
    <row r="557" spans="1:8">
      <c r="A557" t="s">
        <v>57</v>
      </c>
      <c r="B557" t="s">
        <v>95</v>
      </c>
      <c r="C557" t="s">
        <v>80</v>
      </c>
      <c r="D557">
        <v>2025</v>
      </c>
      <c r="E557" t="str">
        <f t="shared" si="16"/>
        <v>Q4</v>
      </c>
      <c r="F557" t="s">
        <v>713</v>
      </c>
      <c r="G557">
        <v>1</v>
      </c>
      <c r="H557" t="str">
        <f t="shared" si="17"/>
        <v>October-2025</v>
      </c>
    </row>
    <row r="558" spans="1:8">
      <c r="A558" t="s">
        <v>57</v>
      </c>
      <c r="B558" t="s">
        <v>95</v>
      </c>
      <c r="C558" t="s">
        <v>80</v>
      </c>
      <c r="D558">
        <v>2025</v>
      </c>
      <c r="E558" t="str">
        <f t="shared" si="16"/>
        <v>Q4</v>
      </c>
      <c r="F558" t="s">
        <v>714</v>
      </c>
      <c r="G558">
        <v>0</v>
      </c>
      <c r="H558" t="str">
        <f t="shared" si="17"/>
        <v>November-2025</v>
      </c>
    </row>
    <row r="559" spans="1:8">
      <c r="A559" t="s">
        <v>57</v>
      </c>
      <c r="B559" t="s">
        <v>95</v>
      </c>
      <c r="C559" t="s">
        <v>80</v>
      </c>
      <c r="D559">
        <v>2025</v>
      </c>
      <c r="E559" t="str">
        <f t="shared" si="16"/>
        <v>Q4</v>
      </c>
      <c r="F559" t="s">
        <v>715</v>
      </c>
      <c r="G559">
        <v>0</v>
      </c>
      <c r="H559" t="str">
        <f t="shared" si="17"/>
        <v>December-2025</v>
      </c>
    </row>
    <row r="560" spans="1:8">
      <c r="A560" t="s">
        <v>57</v>
      </c>
      <c r="B560" t="s">
        <v>95</v>
      </c>
      <c r="C560" t="s">
        <v>80</v>
      </c>
      <c r="D560">
        <v>2026</v>
      </c>
      <c r="E560" t="str">
        <f t="shared" si="16"/>
        <v>Q1</v>
      </c>
      <c r="F560" t="s">
        <v>716</v>
      </c>
      <c r="G560">
        <v>1</v>
      </c>
      <c r="H560" t="str">
        <f t="shared" si="17"/>
        <v>January-2026</v>
      </c>
    </row>
    <row r="561" spans="1:8">
      <c r="A561" t="s">
        <v>57</v>
      </c>
      <c r="B561" t="s">
        <v>95</v>
      </c>
      <c r="C561" t="s">
        <v>80</v>
      </c>
      <c r="D561">
        <v>2026</v>
      </c>
      <c r="E561" t="str">
        <f t="shared" si="16"/>
        <v>Q1</v>
      </c>
      <c r="F561" t="s">
        <v>717</v>
      </c>
      <c r="G561">
        <v>0</v>
      </c>
      <c r="H561" t="str">
        <f t="shared" si="17"/>
        <v>February-2026</v>
      </c>
    </row>
    <row r="562" spans="1:8">
      <c r="A562" t="s">
        <v>57</v>
      </c>
      <c r="B562" t="s">
        <v>95</v>
      </c>
      <c r="C562" t="s">
        <v>80</v>
      </c>
      <c r="D562">
        <v>2026</v>
      </c>
      <c r="E562" t="str">
        <f t="shared" si="16"/>
        <v>Q1</v>
      </c>
      <c r="F562" t="s">
        <v>718</v>
      </c>
      <c r="G562">
        <v>0</v>
      </c>
      <c r="H562" t="str">
        <f t="shared" si="17"/>
        <v>March-2026</v>
      </c>
    </row>
    <row r="563" spans="1:8">
      <c r="A563" t="s">
        <v>57</v>
      </c>
      <c r="B563" t="s">
        <v>95</v>
      </c>
      <c r="C563" t="s">
        <v>80</v>
      </c>
      <c r="D563">
        <v>2026</v>
      </c>
      <c r="E563" t="str">
        <f t="shared" si="16"/>
        <v>Q2</v>
      </c>
      <c r="F563" t="s">
        <v>719</v>
      </c>
      <c r="G563">
        <v>0</v>
      </c>
      <c r="H563" t="str">
        <f t="shared" si="17"/>
        <v>April-2026</v>
      </c>
    </row>
    <row r="564" spans="1:8">
      <c r="A564" t="s">
        <v>57</v>
      </c>
      <c r="B564" t="s">
        <v>95</v>
      </c>
      <c r="C564" t="s">
        <v>80</v>
      </c>
      <c r="D564">
        <v>2026</v>
      </c>
      <c r="E564" t="str">
        <f t="shared" si="16"/>
        <v>Q2</v>
      </c>
      <c r="F564" t="s">
        <v>720</v>
      </c>
      <c r="G564">
        <v>0</v>
      </c>
      <c r="H564" t="str">
        <f t="shared" si="17"/>
        <v>May-2026</v>
      </c>
    </row>
    <row r="565" spans="1:8">
      <c r="A565" t="s">
        <v>57</v>
      </c>
      <c r="B565" t="s">
        <v>95</v>
      </c>
      <c r="C565" t="s">
        <v>80</v>
      </c>
      <c r="D565">
        <v>2026</v>
      </c>
      <c r="E565" t="str">
        <f t="shared" si="16"/>
        <v>Q2</v>
      </c>
      <c r="F565" t="s">
        <v>721</v>
      </c>
      <c r="G565">
        <v>0</v>
      </c>
      <c r="H565" t="str">
        <f t="shared" si="17"/>
        <v>June-2026</v>
      </c>
    </row>
    <row r="566" spans="1:8">
      <c r="A566" t="s">
        <v>57</v>
      </c>
      <c r="B566" t="s">
        <v>158</v>
      </c>
      <c r="C566" t="s">
        <v>161</v>
      </c>
      <c r="D566">
        <v>2025</v>
      </c>
      <c r="E566" t="str">
        <f t="shared" si="16"/>
        <v>Q3</v>
      </c>
      <c r="F566" t="s">
        <v>710</v>
      </c>
      <c r="G566">
        <v>0</v>
      </c>
      <c r="H566" t="str">
        <f t="shared" si="17"/>
        <v>July-2025</v>
      </c>
    </row>
    <row r="567" spans="1:8">
      <c r="A567" t="s">
        <v>57</v>
      </c>
      <c r="B567" t="s">
        <v>158</v>
      </c>
      <c r="C567" t="s">
        <v>161</v>
      </c>
      <c r="D567">
        <v>2025</v>
      </c>
      <c r="E567" t="str">
        <f t="shared" si="16"/>
        <v>Q3</v>
      </c>
      <c r="F567" t="s">
        <v>711</v>
      </c>
      <c r="G567">
        <v>0</v>
      </c>
      <c r="H567" t="str">
        <f t="shared" si="17"/>
        <v>August-2025</v>
      </c>
    </row>
    <row r="568" spans="1:8">
      <c r="A568" t="s">
        <v>57</v>
      </c>
      <c r="B568" t="s">
        <v>158</v>
      </c>
      <c r="C568" t="s">
        <v>161</v>
      </c>
      <c r="D568">
        <v>2025</v>
      </c>
      <c r="E568" t="str">
        <f t="shared" si="16"/>
        <v>Q3</v>
      </c>
      <c r="F568" t="s">
        <v>712</v>
      </c>
      <c r="G568">
        <v>0</v>
      </c>
      <c r="H568" t="str">
        <f t="shared" si="17"/>
        <v>September-2025</v>
      </c>
    </row>
    <row r="569" spans="1:8">
      <c r="A569" t="s">
        <v>57</v>
      </c>
      <c r="B569" t="s">
        <v>158</v>
      </c>
      <c r="C569" t="s">
        <v>161</v>
      </c>
      <c r="D569">
        <v>2025</v>
      </c>
      <c r="E569" t="str">
        <f t="shared" si="16"/>
        <v>Q4</v>
      </c>
      <c r="F569" t="s">
        <v>713</v>
      </c>
      <c r="G569">
        <v>0</v>
      </c>
      <c r="H569" t="str">
        <f t="shared" si="17"/>
        <v>October-2025</v>
      </c>
    </row>
    <row r="570" spans="1:8">
      <c r="A570" t="s">
        <v>57</v>
      </c>
      <c r="B570" t="s">
        <v>158</v>
      </c>
      <c r="C570" t="s">
        <v>161</v>
      </c>
      <c r="D570">
        <v>2025</v>
      </c>
      <c r="E570" t="str">
        <f t="shared" si="16"/>
        <v>Q4</v>
      </c>
      <c r="F570" t="s">
        <v>714</v>
      </c>
      <c r="G570">
        <v>0</v>
      </c>
      <c r="H570" t="str">
        <f t="shared" si="17"/>
        <v>November-2025</v>
      </c>
    </row>
    <row r="571" spans="1:8">
      <c r="A571" t="s">
        <v>57</v>
      </c>
      <c r="B571" t="s">
        <v>158</v>
      </c>
      <c r="C571" t="s">
        <v>161</v>
      </c>
      <c r="D571">
        <v>2025</v>
      </c>
      <c r="E571" t="str">
        <f t="shared" si="16"/>
        <v>Q4</v>
      </c>
      <c r="F571" t="s">
        <v>715</v>
      </c>
      <c r="G571">
        <v>0</v>
      </c>
      <c r="H571" t="str">
        <f t="shared" si="17"/>
        <v>December-2025</v>
      </c>
    </row>
    <row r="572" spans="1:8">
      <c r="A572" t="s">
        <v>57</v>
      </c>
      <c r="B572" t="s">
        <v>158</v>
      </c>
      <c r="C572" t="s">
        <v>161</v>
      </c>
      <c r="D572">
        <v>2026</v>
      </c>
      <c r="E572" t="str">
        <f t="shared" si="16"/>
        <v>Q1</v>
      </c>
      <c r="F572" t="s">
        <v>716</v>
      </c>
      <c r="G572">
        <v>0</v>
      </c>
      <c r="H572" t="str">
        <f t="shared" si="17"/>
        <v>January-2026</v>
      </c>
    </row>
    <row r="573" spans="1:8">
      <c r="A573" t="s">
        <v>57</v>
      </c>
      <c r="B573" t="s">
        <v>158</v>
      </c>
      <c r="C573" t="s">
        <v>161</v>
      </c>
      <c r="D573">
        <v>2026</v>
      </c>
      <c r="E573" t="str">
        <f t="shared" si="16"/>
        <v>Q1</v>
      </c>
      <c r="F573" t="s">
        <v>717</v>
      </c>
      <c r="G573">
        <v>0</v>
      </c>
      <c r="H573" t="str">
        <f t="shared" si="17"/>
        <v>February-2026</v>
      </c>
    </row>
    <row r="574" spans="1:8">
      <c r="A574" t="s">
        <v>57</v>
      </c>
      <c r="B574" t="s">
        <v>158</v>
      </c>
      <c r="C574" t="s">
        <v>161</v>
      </c>
      <c r="D574">
        <v>2026</v>
      </c>
      <c r="E574" t="str">
        <f t="shared" si="16"/>
        <v>Q1</v>
      </c>
      <c r="F574" t="s">
        <v>718</v>
      </c>
      <c r="G574">
        <v>0</v>
      </c>
      <c r="H574" t="str">
        <f t="shared" si="17"/>
        <v>March-2026</v>
      </c>
    </row>
    <row r="575" spans="1:8">
      <c r="A575" t="s">
        <v>57</v>
      </c>
      <c r="B575" t="s">
        <v>158</v>
      </c>
      <c r="C575" t="s">
        <v>161</v>
      </c>
      <c r="D575">
        <v>2026</v>
      </c>
      <c r="E575" t="str">
        <f t="shared" si="16"/>
        <v>Q2</v>
      </c>
      <c r="F575" t="s">
        <v>719</v>
      </c>
      <c r="G575">
        <v>0</v>
      </c>
      <c r="H575" t="str">
        <f t="shared" si="17"/>
        <v>April-2026</v>
      </c>
    </row>
    <row r="576" spans="1:8">
      <c r="A576" t="s">
        <v>57</v>
      </c>
      <c r="B576" t="s">
        <v>158</v>
      </c>
      <c r="C576" t="s">
        <v>161</v>
      </c>
      <c r="D576">
        <v>2026</v>
      </c>
      <c r="E576" t="str">
        <f t="shared" si="16"/>
        <v>Q2</v>
      </c>
      <c r="F576" t="s">
        <v>720</v>
      </c>
      <c r="G576">
        <v>0</v>
      </c>
      <c r="H576" t="str">
        <f t="shared" si="17"/>
        <v>May-2026</v>
      </c>
    </row>
    <row r="577" spans="1:8">
      <c r="A577" t="s">
        <v>57</v>
      </c>
      <c r="B577" t="s">
        <v>158</v>
      </c>
      <c r="C577" t="s">
        <v>161</v>
      </c>
      <c r="D577">
        <v>2026</v>
      </c>
      <c r="E577" t="str">
        <f t="shared" si="16"/>
        <v>Q2</v>
      </c>
      <c r="F577" t="s">
        <v>721</v>
      </c>
      <c r="G577">
        <v>0</v>
      </c>
      <c r="H577" t="str">
        <f t="shared" si="17"/>
        <v>June-2026</v>
      </c>
    </row>
    <row r="578" spans="1:8">
      <c r="A578" t="s">
        <v>57</v>
      </c>
      <c r="B578" t="s">
        <v>158</v>
      </c>
      <c r="C578" t="s">
        <v>273</v>
      </c>
      <c r="D578">
        <v>2025</v>
      </c>
      <c r="E578" t="str">
        <f t="shared" si="16"/>
        <v>Q3</v>
      </c>
      <c r="F578" t="s">
        <v>710</v>
      </c>
      <c r="G578">
        <v>0</v>
      </c>
      <c r="H578" t="str">
        <f t="shared" si="17"/>
        <v>July-2025</v>
      </c>
    </row>
    <row r="579" spans="1:8">
      <c r="A579" t="s">
        <v>57</v>
      </c>
      <c r="B579" t="s">
        <v>158</v>
      </c>
      <c r="C579" t="s">
        <v>273</v>
      </c>
      <c r="D579">
        <v>2025</v>
      </c>
      <c r="E579" t="str">
        <f t="shared" ref="E579:E642" si="18">"Q"&amp;ROUNDUP(MONTH(DATEVALUE(F579&amp;" 1"))/3,0)</f>
        <v>Q3</v>
      </c>
      <c r="F579" t="s">
        <v>711</v>
      </c>
      <c r="G579">
        <v>0</v>
      </c>
      <c r="H579" t="str">
        <f t="shared" ref="H579:H642" si="19">_xlfn.CONCAT(F579,"-",D579)</f>
        <v>August-2025</v>
      </c>
    </row>
    <row r="580" spans="1:8">
      <c r="A580" t="s">
        <v>57</v>
      </c>
      <c r="B580" t="s">
        <v>158</v>
      </c>
      <c r="C580" t="s">
        <v>273</v>
      </c>
      <c r="D580">
        <v>2025</v>
      </c>
      <c r="E580" t="str">
        <f t="shared" si="18"/>
        <v>Q3</v>
      </c>
      <c r="F580" t="s">
        <v>712</v>
      </c>
      <c r="G580">
        <v>0</v>
      </c>
      <c r="H580" t="str">
        <f t="shared" si="19"/>
        <v>September-2025</v>
      </c>
    </row>
    <row r="581" spans="1:8">
      <c r="A581" t="s">
        <v>57</v>
      </c>
      <c r="B581" t="s">
        <v>158</v>
      </c>
      <c r="C581" t="s">
        <v>273</v>
      </c>
      <c r="D581">
        <v>2025</v>
      </c>
      <c r="E581" t="str">
        <f t="shared" si="18"/>
        <v>Q4</v>
      </c>
      <c r="F581" t="s">
        <v>713</v>
      </c>
      <c r="G581">
        <v>0</v>
      </c>
      <c r="H581" t="str">
        <f t="shared" si="19"/>
        <v>October-2025</v>
      </c>
    </row>
    <row r="582" spans="1:8">
      <c r="A582" t="s">
        <v>57</v>
      </c>
      <c r="B582" t="s">
        <v>158</v>
      </c>
      <c r="C582" t="s">
        <v>273</v>
      </c>
      <c r="D582">
        <v>2025</v>
      </c>
      <c r="E582" t="str">
        <f t="shared" si="18"/>
        <v>Q4</v>
      </c>
      <c r="F582" t="s">
        <v>714</v>
      </c>
      <c r="G582">
        <v>0</v>
      </c>
      <c r="H582" t="str">
        <f t="shared" si="19"/>
        <v>November-2025</v>
      </c>
    </row>
    <row r="583" spans="1:8">
      <c r="A583" t="s">
        <v>57</v>
      </c>
      <c r="B583" t="s">
        <v>158</v>
      </c>
      <c r="C583" t="s">
        <v>273</v>
      </c>
      <c r="D583">
        <v>2025</v>
      </c>
      <c r="E583" t="str">
        <f t="shared" si="18"/>
        <v>Q4</v>
      </c>
      <c r="F583" t="s">
        <v>715</v>
      </c>
      <c r="G583">
        <v>0</v>
      </c>
      <c r="H583" t="str">
        <f t="shared" si="19"/>
        <v>December-2025</v>
      </c>
    </row>
    <row r="584" spans="1:8">
      <c r="A584" t="s">
        <v>57</v>
      </c>
      <c r="B584" t="s">
        <v>158</v>
      </c>
      <c r="C584" t="s">
        <v>273</v>
      </c>
      <c r="D584">
        <v>2026</v>
      </c>
      <c r="E584" t="str">
        <f t="shared" si="18"/>
        <v>Q1</v>
      </c>
      <c r="F584" t="s">
        <v>716</v>
      </c>
      <c r="G584">
        <v>0</v>
      </c>
      <c r="H584" t="str">
        <f t="shared" si="19"/>
        <v>January-2026</v>
      </c>
    </row>
    <row r="585" spans="1:8">
      <c r="A585" t="s">
        <v>57</v>
      </c>
      <c r="B585" t="s">
        <v>158</v>
      </c>
      <c r="C585" t="s">
        <v>273</v>
      </c>
      <c r="D585">
        <v>2026</v>
      </c>
      <c r="E585" t="str">
        <f t="shared" si="18"/>
        <v>Q1</v>
      </c>
      <c r="F585" t="s">
        <v>717</v>
      </c>
      <c r="G585">
        <v>0</v>
      </c>
      <c r="H585" t="str">
        <f t="shared" si="19"/>
        <v>February-2026</v>
      </c>
    </row>
    <row r="586" spans="1:8">
      <c r="A586" t="s">
        <v>57</v>
      </c>
      <c r="B586" t="s">
        <v>158</v>
      </c>
      <c r="C586" t="s">
        <v>273</v>
      </c>
      <c r="D586">
        <v>2026</v>
      </c>
      <c r="E586" t="str">
        <f t="shared" si="18"/>
        <v>Q1</v>
      </c>
      <c r="F586" t="s">
        <v>718</v>
      </c>
      <c r="G586">
        <v>0</v>
      </c>
      <c r="H586" t="str">
        <f t="shared" si="19"/>
        <v>March-2026</v>
      </c>
    </row>
    <row r="587" spans="1:8">
      <c r="A587" t="s">
        <v>57</v>
      </c>
      <c r="B587" t="s">
        <v>158</v>
      </c>
      <c r="C587" t="s">
        <v>273</v>
      </c>
      <c r="D587">
        <v>2026</v>
      </c>
      <c r="E587" t="str">
        <f t="shared" si="18"/>
        <v>Q2</v>
      </c>
      <c r="F587" t="s">
        <v>719</v>
      </c>
      <c r="G587">
        <v>1</v>
      </c>
      <c r="H587" t="str">
        <f t="shared" si="19"/>
        <v>April-2026</v>
      </c>
    </row>
    <row r="588" spans="1:8">
      <c r="A588" t="s">
        <v>57</v>
      </c>
      <c r="B588" t="s">
        <v>158</v>
      </c>
      <c r="C588" t="s">
        <v>273</v>
      </c>
      <c r="D588">
        <v>2026</v>
      </c>
      <c r="E588" t="str">
        <f t="shared" si="18"/>
        <v>Q2</v>
      </c>
      <c r="F588" t="s">
        <v>720</v>
      </c>
      <c r="G588">
        <v>1</v>
      </c>
      <c r="H588" t="str">
        <f t="shared" si="19"/>
        <v>May-2026</v>
      </c>
    </row>
    <row r="589" spans="1:8">
      <c r="A589" t="s">
        <v>57</v>
      </c>
      <c r="B589" t="s">
        <v>158</v>
      </c>
      <c r="C589" t="s">
        <v>273</v>
      </c>
      <c r="D589">
        <v>2026</v>
      </c>
      <c r="E589" t="str">
        <f t="shared" si="18"/>
        <v>Q2</v>
      </c>
      <c r="F589" t="s">
        <v>721</v>
      </c>
      <c r="G589">
        <v>1</v>
      </c>
      <c r="H589" t="str">
        <f t="shared" si="19"/>
        <v>June-2026</v>
      </c>
    </row>
    <row r="590" spans="1:8">
      <c r="A590" t="s">
        <v>57</v>
      </c>
      <c r="B590" t="s">
        <v>158</v>
      </c>
      <c r="C590" t="s">
        <v>114</v>
      </c>
      <c r="D590">
        <v>2025</v>
      </c>
      <c r="E590" t="str">
        <f t="shared" si="18"/>
        <v>Q3</v>
      </c>
      <c r="F590" t="s">
        <v>710</v>
      </c>
      <c r="G590">
        <v>1</v>
      </c>
      <c r="H590" t="str">
        <f t="shared" si="19"/>
        <v>July-2025</v>
      </c>
    </row>
    <row r="591" spans="1:8">
      <c r="A591" t="s">
        <v>57</v>
      </c>
      <c r="B591" t="s">
        <v>158</v>
      </c>
      <c r="C591" t="s">
        <v>114</v>
      </c>
      <c r="D591">
        <v>2025</v>
      </c>
      <c r="E591" t="str">
        <f t="shared" si="18"/>
        <v>Q3</v>
      </c>
      <c r="F591" t="s">
        <v>711</v>
      </c>
      <c r="G591">
        <v>0</v>
      </c>
      <c r="H591" t="str">
        <f t="shared" si="19"/>
        <v>August-2025</v>
      </c>
    </row>
    <row r="592" spans="1:8">
      <c r="A592" t="s">
        <v>57</v>
      </c>
      <c r="B592" t="s">
        <v>158</v>
      </c>
      <c r="C592" t="s">
        <v>114</v>
      </c>
      <c r="D592">
        <v>2025</v>
      </c>
      <c r="E592" t="str">
        <f t="shared" si="18"/>
        <v>Q3</v>
      </c>
      <c r="F592" t="s">
        <v>712</v>
      </c>
      <c r="G592">
        <v>0</v>
      </c>
      <c r="H592" t="str">
        <f t="shared" si="19"/>
        <v>September-2025</v>
      </c>
    </row>
    <row r="593" spans="1:8">
      <c r="A593" t="s">
        <v>57</v>
      </c>
      <c r="B593" t="s">
        <v>158</v>
      </c>
      <c r="C593" t="s">
        <v>114</v>
      </c>
      <c r="D593">
        <v>2025</v>
      </c>
      <c r="E593" t="str">
        <f t="shared" si="18"/>
        <v>Q4</v>
      </c>
      <c r="F593" t="s">
        <v>713</v>
      </c>
      <c r="G593">
        <v>0</v>
      </c>
      <c r="H593" t="str">
        <f t="shared" si="19"/>
        <v>October-2025</v>
      </c>
    </row>
    <row r="594" spans="1:8">
      <c r="A594" t="s">
        <v>57</v>
      </c>
      <c r="B594" t="s">
        <v>158</v>
      </c>
      <c r="C594" t="s">
        <v>114</v>
      </c>
      <c r="D594">
        <v>2025</v>
      </c>
      <c r="E594" t="str">
        <f t="shared" si="18"/>
        <v>Q4</v>
      </c>
      <c r="F594" t="s">
        <v>714</v>
      </c>
      <c r="G594">
        <v>0</v>
      </c>
      <c r="H594" t="str">
        <f t="shared" si="19"/>
        <v>November-2025</v>
      </c>
    </row>
    <row r="595" spans="1:8">
      <c r="A595" t="s">
        <v>57</v>
      </c>
      <c r="B595" t="s">
        <v>158</v>
      </c>
      <c r="C595" t="s">
        <v>114</v>
      </c>
      <c r="D595">
        <v>2025</v>
      </c>
      <c r="E595" t="str">
        <f t="shared" si="18"/>
        <v>Q4</v>
      </c>
      <c r="F595" t="s">
        <v>715</v>
      </c>
      <c r="G595">
        <v>0</v>
      </c>
      <c r="H595" t="str">
        <f t="shared" si="19"/>
        <v>December-2025</v>
      </c>
    </row>
    <row r="596" spans="1:8">
      <c r="A596" t="s">
        <v>57</v>
      </c>
      <c r="B596" t="s">
        <v>158</v>
      </c>
      <c r="C596" t="s">
        <v>114</v>
      </c>
      <c r="D596">
        <v>2026</v>
      </c>
      <c r="E596" t="str">
        <f t="shared" si="18"/>
        <v>Q1</v>
      </c>
      <c r="F596" t="s">
        <v>716</v>
      </c>
      <c r="G596">
        <v>1</v>
      </c>
      <c r="H596" t="str">
        <f t="shared" si="19"/>
        <v>January-2026</v>
      </c>
    </row>
    <row r="597" spans="1:8">
      <c r="A597" t="s">
        <v>57</v>
      </c>
      <c r="B597" t="s">
        <v>158</v>
      </c>
      <c r="C597" t="s">
        <v>114</v>
      </c>
      <c r="D597">
        <v>2026</v>
      </c>
      <c r="E597" t="str">
        <f t="shared" si="18"/>
        <v>Q1</v>
      </c>
      <c r="F597" t="s">
        <v>717</v>
      </c>
      <c r="G597">
        <v>1</v>
      </c>
      <c r="H597" t="str">
        <f t="shared" si="19"/>
        <v>February-2026</v>
      </c>
    </row>
    <row r="598" spans="1:8">
      <c r="A598" t="s">
        <v>57</v>
      </c>
      <c r="B598" t="s">
        <v>158</v>
      </c>
      <c r="C598" t="s">
        <v>114</v>
      </c>
      <c r="D598">
        <v>2026</v>
      </c>
      <c r="E598" t="str">
        <f t="shared" si="18"/>
        <v>Q1</v>
      </c>
      <c r="F598" t="s">
        <v>718</v>
      </c>
      <c r="G598">
        <v>1</v>
      </c>
      <c r="H598" t="str">
        <f t="shared" si="19"/>
        <v>March-2026</v>
      </c>
    </row>
    <row r="599" spans="1:8">
      <c r="A599" t="s">
        <v>57</v>
      </c>
      <c r="B599" t="s">
        <v>158</v>
      </c>
      <c r="C599" t="s">
        <v>114</v>
      </c>
      <c r="D599">
        <v>2026</v>
      </c>
      <c r="E599" t="str">
        <f t="shared" si="18"/>
        <v>Q2</v>
      </c>
      <c r="F599" t="s">
        <v>719</v>
      </c>
      <c r="G599">
        <v>0</v>
      </c>
      <c r="H599" t="str">
        <f t="shared" si="19"/>
        <v>April-2026</v>
      </c>
    </row>
    <row r="600" spans="1:8">
      <c r="A600" t="s">
        <v>57</v>
      </c>
      <c r="B600" t="s">
        <v>158</v>
      </c>
      <c r="C600" t="s">
        <v>114</v>
      </c>
      <c r="D600">
        <v>2026</v>
      </c>
      <c r="E600" t="str">
        <f t="shared" si="18"/>
        <v>Q2</v>
      </c>
      <c r="F600" t="s">
        <v>720</v>
      </c>
      <c r="G600">
        <v>0</v>
      </c>
      <c r="H600" t="str">
        <f t="shared" si="19"/>
        <v>May-2026</v>
      </c>
    </row>
    <row r="601" spans="1:8">
      <c r="A601" t="s">
        <v>57</v>
      </c>
      <c r="B601" t="s">
        <v>158</v>
      </c>
      <c r="C601" t="s">
        <v>114</v>
      </c>
      <c r="D601">
        <v>2026</v>
      </c>
      <c r="E601" t="str">
        <f t="shared" si="18"/>
        <v>Q2</v>
      </c>
      <c r="F601" t="s">
        <v>721</v>
      </c>
      <c r="G601">
        <v>0</v>
      </c>
      <c r="H601" t="str">
        <f t="shared" si="19"/>
        <v>June-2026</v>
      </c>
    </row>
    <row r="602" spans="1:8">
      <c r="A602" t="s">
        <v>57</v>
      </c>
      <c r="B602" t="s">
        <v>182</v>
      </c>
      <c r="C602" t="s">
        <v>340</v>
      </c>
      <c r="D602">
        <v>2025</v>
      </c>
      <c r="E602" t="str">
        <f t="shared" si="18"/>
        <v>Q3</v>
      </c>
      <c r="F602" t="s">
        <v>710</v>
      </c>
      <c r="G602">
        <v>0</v>
      </c>
      <c r="H602" t="str">
        <f t="shared" si="19"/>
        <v>July-2025</v>
      </c>
    </row>
    <row r="603" spans="1:8">
      <c r="A603" t="s">
        <v>57</v>
      </c>
      <c r="B603" t="s">
        <v>182</v>
      </c>
      <c r="C603" t="s">
        <v>340</v>
      </c>
      <c r="D603">
        <v>2025</v>
      </c>
      <c r="E603" t="str">
        <f t="shared" si="18"/>
        <v>Q3</v>
      </c>
      <c r="F603" t="s">
        <v>711</v>
      </c>
      <c r="G603">
        <v>0</v>
      </c>
      <c r="H603" t="str">
        <f t="shared" si="19"/>
        <v>August-2025</v>
      </c>
    </row>
    <row r="604" spans="1:8">
      <c r="A604" t="s">
        <v>57</v>
      </c>
      <c r="B604" t="s">
        <v>182</v>
      </c>
      <c r="C604" t="s">
        <v>340</v>
      </c>
      <c r="D604">
        <v>2025</v>
      </c>
      <c r="E604" t="str">
        <f t="shared" si="18"/>
        <v>Q3</v>
      </c>
      <c r="F604" t="s">
        <v>712</v>
      </c>
      <c r="G604">
        <v>0</v>
      </c>
      <c r="H604" t="str">
        <f t="shared" si="19"/>
        <v>September-2025</v>
      </c>
    </row>
    <row r="605" spans="1:8">
      <c r="A605" t="s">
        <v>57</v>
      </c>
      <c r="B605" t="s">
        <v>182</v>
      </c>
      <c r="C605" t="s">
        <v>340</v>
      </c>
      <c r="D605">
        <v>2025</v>
      </c>
      <c r="E605" t="str">
        <f t="shared" si="18"/>
        <v>Q4</v>
      </c>
      <c r="F605" t="s">
        <v>713</v>
      </c>
      <c r="G605">
        <v>0</v>
      </c>
      <c r="H605" t="str">
        <f t="shared" si="19"/>
        <v>October-2025</v>
      </c>
    </row>
    <row r="606" spans="1:8">
      <c r="A606" t="s">
        <v>57</v>
      </c>
      <c r="B606" t="s">
        <v>182</v>
      </c>
      <c r="C606" t="s">
        <v>340</v>
      </c>
      <c r="D606">
        <v>2025</v>
      </c>
      <c r="E606" t="str">
        <f t="shared" si="18"/>
        <v>Q4</v>
      </c>
      <c r="F606" t="s">
        <v>714</v>
      </c>
      <c r="G606">
        <v>0</v>
      </c>
      <c r="H606" t="str">
        <f t="shared" si="19"/>
        <v>November-2025</v>
      </c>
    </row>
    <row r="607" spans="1:8">
      <c r="A607" t="s">
        <v>57</v>
      </c>
      <c r="B607" t="s">
        <v>182</v>
      </c>
      <c r="C607" t="s">
        <v>340</v>
      </c>
      <c r="D607">
        <v>2025</v>
      </c>
      <c r="E607" t="str">
        <f t="shared" si="18"/>
        <v>Q4</v>
      </c>
      <c r="F607" t="s">
        <v>715</v>
      </c>
      <c r="G607">
        <v>0</v>
      </c>
      <c r="H607" t="str">
        <f t="shared" si="19"/>
        <v>December-2025</v>
      </c>
    </row>
    <row r="608" spans="1:8">
      <c r="A608" t="s">
        <v>57</v>
      </c>
      <c r="B608" t="s">
        <v>182</v>
      </c>
      <c r="C608" t="s">
        <v>340</v>
      </c>
      <c r="D608">
        <v>2026</v>
      </c>
      <c r="E608" t="str">
        <f t="shared" si="18"/>
        <v>Q1</v>
      </c>
      <c r="F608" t="s">
        <v>716</v>
      </c>
      <c r="G608">
        <v>0</v>
      </c>
      <c r="H608" t="str">
        <f t="shared" si="19"/>
        <v>January-2026</v>
      </c>
    </row>
    <row r="609" spans="1:8">
      <c r="A609" t="s">
        <v>57</v>
      </c>
      <c r="B609" t="s">
        <v>182</v>
      </c>
      <c r="C609" t="s">
        <v>340</v>
      </c>
      <c r="D609">
        <v>2026</v>
      </c>
      <c r="E609" t="str">
        <f t="shared" si="18"/>
        <v>Q1</v>
      </c>
      <c r="F609" t="s">
        <v>717</v>
      </c>
      <c r="G609">
        <v>2</v>
      </c>
      <c r="H609" t="str">
        <f t="shared" si="19"/>
        <v>February-2026</v>
      </c>
    </row>
    <row r="610" spans="1:8">
      <c r="A610" t="s">
        <v>57</v>
      </c>
      <c r="B610" t="s">
        <v>182</v>
      </c>
      <c r="C610" t="s">
        <v>340</v>
      </c>
      <c r="D610">
        <v>2026</v>
      </c>
      <c r="E610" t="str">
        <f t="shared" si="18"/>
        <v>Q1</v>
      </c>
      <c r="F610" t="s">
        <v>718</v>
      </c>
      <c r="G610">
        <v>0</v>
      </c>
      <c r="H610" t="str">
        <f t="shared" si="19"/>
        <v>March-2026</v>
      </c>
    </row>
    <row r="611" spans="1:8">
      <c r="A611" t="s">
        <v>57</v>
      </c>
      <c r="B611" t="s">
        <v>182</v>
      </c>
      <c r="C611" t="s">
        <v>340</v>
      </c>
      <c r="D611">
        <v>2026</v>
      </c>
      <c r="E611" t="str">
        <f t="shared" si="18"/>
        <v>Q2</v>
      </c>
      <c r="F611" t="s">
        <v>719</v>
      </c>
      <c r="G611">
        <v>1</v>
      </c>
      <c r="H611" t="str">
        <f t="shared" si="19"/>
        <v>April-2026</v>
      </c>
    </row>
    <row r="612" spans="1:8">
      <c r="A612" t="s">
        <v>57</v>
      </c>
      <c r="B612" t="s">
        <v>182</v>
      </c>
      <c r="C612" t="s">
        <v>340</v>
      </c>
      <c r="D612">
        <v>2026</v>
      </c>
      <c r="E612" t="str">
        <f t="shared" si="18"/>
        <v>Q2</v>
      </c>
      <c r="F612" t="s">
        <v>720</v>
      </c>
      <c r="G612">
        <v>1</v>
      </c>
      <c r="H612" t="str">
        <f t="shared" si="19"/>
        <v>May-2026</v>
      </c>
    </row>
    <row r="613" spans="1:8">
      <c r="A613" t="s">
        <v>57</v>
      </c>
      <c r="B613" t="s">
        <v>182</v>
      </c>
      <c r="C613" t="s">
        <v>340</v>
      </c>
      <c r="D613">
        <v>2026</v>
      </c>
      <c r="E613" t="str">
        <f t="shared" si="18"/>
        <v>Q2</v>
      </c>
      <c r="F613" t="s">
        <v>721</v>
      </c>
      <c r="G613">
        <v>1</v>
      </c>
      <c r="H613" t="str">
        <f t="shared" si="19"/>
        <v>June-2026</v>
      </c>
    </row>
    <row r="614" spans="1:8">
      <c r="A614" t="s">
        <v>57</v>
      </c>
      <c r="B614" t="s">
        <v>182</v>
      </c>
      <c r="C614" t="s">
        <v>114</v>
      </c>
      <c r="D614">
        <v>2025</v>
      </c>
      <c r="E614" t="str">
        <f t="shared" si="18"/>
        <v>Q3</v>
      </c>
      <c r="F614" t="s">
        <v>710</v>
      </c>
      <c r="G614">
        <v>1</v>
      </c>
      <c r="H614" t="str">
        <f t="shared" si="19"/>
        <v>July-2025</v>
      </c>
    </row>
    <row r="615" spans="1:8">
      <c r="A615" t="s">
        <v>57</v>
      </c>
      <c r="B615" t="s">
        <v>182</v>
      </c>
      <c r="C615" t="s">
        <v>114</v>
      </c>
      <c r="D615">
        <v>2025</v>
      </c>
      <c r="E615" t="str">
        <f t="shared" si="18"/>
        <v>Q3</v>
      </c>
      <c r="F615" t="s">
        <v>711</v>
      </c>
      <c r="G615">
        <v>0</v>
      </c>
      <c r="H615" t="str">
        <f t="shared" si="19"/>
        <v>August-2025</v>
      </c>
    </row>
    <row r="616" spans="1:8">
      <c r="A616" t="s">
        <v>57</v>
      </c>
      <c r="B616" t="s">
        <v>182</v>
      </c>
      <c r="C616" t="s">
        <v>114</v>
      </c>
      <c r="D616">
        <v>2025</v>
      </c>
      <c r="E616" t="str">
        <f t="shared" si="18"/>
        <v>Q3</v>
      </c>
      <c r="F616" t="s">
        <v>712</v>
      </c>
      <c r="G616">
        <v>0</v>
      </c>
      <c r="H616" t="str">
        <f t="shared" si="19"/>
        <v>September-2025</v>
      </c>
    </row>
    <row r="617" spans="1:8">
      <c r="A617" t="s">
        <v>57</v>
      </c>
      <c r="B617" t="s">
        <v>182</v>
      </c>
      <c r="C617" t="s">
        <v>114</v>
      </c>
      <c r="D617">
        <v>2025</v>
      </c>
      <c r="E617" t="str">
        <f t="shared" si="18"/>
        <v>Q4</v>
      </c>
      <c r="F617" t="s">
        <v>713</v>
      </c>
      <c r="G617">
        <v>0</v>
      </c>
      <c r="H617" t="str">
        <f t="shared" si="19"/>
        <v>October-2025</v>
      </c>
    </row>
    <row r="618" spans="1:8">
      <c r="A618" t="s">
        <v>57</v>
      </c>
      <c r="B618" t="s">
        <v>182</v>
      </c>
      <c r="C618" t="s">
        <v>114</v>
      </c>
      <c r="D618">
        <v>2025</v>
      </c>
      <c r="E618" t="str">
        <f t="shared" si="18"/>
        <v>Q4</v>
      </c>
      <c r="F618" t="s">
        <v>714</v>
      </c>
      <c r="G618">
        <v>0</v>
      </c>
      <c r="H618" t="str">
        <f t="shared" si="19"/>
        <v>November-2025</v>
      </c>
    </row>
    <row r="619" spans="1:8">
      <c r="A619" t="s">
        <v>57</v>
      </c>
      <c r="B619" t="s">
        <v>182</v>
      </c>
      <c r="C619" t="s">
        <v>114</v>
      </c>
      <c r="D619">
        <v>2025</v>
      </c>
      <c r="E619" t="str">
        <f t="shared" si="18"/>
        <v>Q4</v>
      </c>
      <c r="F619" t="s">
        <v>715</v>
      </c>
      <c r="G619">
        <v>0</v>
      </c>
      <c r="H619" t="str">
        <f t="shared" si="19"/>
        <v>December-2025</v>
      </c>
    </row>
    <row r="620" spans="1:8">
      <c r="A620" t="s">
        <v>57</v>
      </c>
      <c r="B620" t="s">
        <v>182</v>
      </c>
      <c r="C620" t="s">
        <v>114</v>
      </c>
      <c r="D620">
        <v>2026</v>
      </c>
      <c r="E620" t="str">
        <f t="shared" si="18"/>
        <v>Q1</v>
      </c>
      <c r="F620" t="s">
        <v>716</v>
      </c>
      <c r="G620">
        <v>1</v>
      </c>
      <c r="H620" t="str">
        <f t="shared" si="19"/>
        <v>January-2026</v>
      </c>
    </row>
    <row r="621" spans="1:8">
      <c r="A621" t="s">
        <v>57</v>
      </c>
      <c r="B621" t="s">
        <v>182</v>
      </c>
      <c r="C621" t="s">
        <v>114</v>
      </c>
      <c r="D621">
        <v>2026</v>
      </c>
      <c r="E621" t="str">
        <f t="shared" si="18"/>
        <v>Q1</v>
      </c>
      <c r="F621" t="s">
        <v>717</v>
      </c>
      <c r="G621">
        <v>2</v>
      </c>
      <c r="H621" t="str">
        <f t="shared" si="19"/>
        <v>February-2026</v>
      </c>
    </row>
    <row r="622" spans="1:8">
      <c r="A622" t="s">
        <v>57</v>
      </c>
      <c r="B622" t="s">
        <v>182</v>
      </c>
      <c r="C622" t="s">
        <v>114</v>
      </c>
      <c r="D622">
        <v>2026</v>
      </c>
      <c r="E622" t="str">
        <f t="shared" si="18"/>
        <v>Q1</v>
      </c>
      <c r="F622" t="s">
        <v>718</v>
      </c>
      <c r="G622">
        <v>1</v>
      </c>
      <c r="H622" t="str">
        <f t="shared" si="19"/>
        <v>March-2026</v>
      </c>
    </row>
    <row r="623" spans="1:8">
      <c r="A623" t="s">
        <v>57</v>
      </c>
      <c r="B623" t="s">
        <v>182</v>
      </c>
      <c r="C623" t="s">
        <v>114</v>
      </c>
      <c r="D623">
        <v>2026</v>
      </c>
      <c r="E623" t="str">
        <f t="shared" si="18"/>
        <v>Q2</v>
      </c>
      <c r="F623" t="s">
        <v>719</v>
      </c>
      <c r="G623">
        <v>0</v>
      </c>
      <c r="H623" t="str">
        <f t="shared" si="19"/>
        <v>April-2026</v>
      </c>
    </row>
    <row r="624" spans="1:8">
      <c r="A624" t="s">
        <v>57</v>
      </c>
      <c r="B624" t="s">
        <v>182</v>
      </c>
      <c r="C624" t="s">
        <v>114</v>
      </c>
      <c r="D624">
        <v>2026</v>
      </c>
      <c r="E624" t="str">
        <f t="shared" si="18"/>
        <v>Q2</v>
      </c>
      <c r="F624" t="s">
        <v>720</v>
      </c>
      <c r="G624">
        <v>1</v>
      </c>
      <c r="H624" t="str">
        <f t="shared" si="19"/>
        <v>May-2026</v>
      </c>
    </row>
    <row r="625" spans="1:8">
      <c r="A625" t="s">
        <v>57</v>
      </c>
      <c r="B625" t="s">
        <v>182</v>
      </c>
      <c r="C625" t="s">
        <v>114</v>
      </c>
      <c r="D625">
        <v>2026</v>
      </c>
      <c r="E625" t="str">
        <f t="shared" si="18"/>
        <v>Q2</v>
      </c>
      <c r="F625" t="s">
        <v>721</v>
      </c>
      <c r="G625">
        <v>1</v>
      </c>
      <c r="H625" t="str">
        <f t="shared" si="19"/>
        <v>June-2026</v>
      </c>
    </row>
    <row r="626" spans="1:8">
      <c r="A626" t="s">
        <v>57</v>
      </c>
      <c r="B626" t="s">
        <v>110</v>
      </c>
      <c r="C626" t="s">
        <v>114</v>
      </c>
      <c r="D626">
        <v>2025</v>
      </c>
      <c r="E626" t="str">
        <f t="shared" si="18"/>
        <v>Q3</v>
      </c>
      <c r="F626" t="s">
        <v>710</v>
      </c>
      <c r="G626">
        <v>1</v>
      </c>
      <c r="H626" t="str">
        <f t="shared" si="19"/>
        <v>July-2025</v>
      </c>
    </row>
    <row r="627" spans="1:8">
      <c r="A627" t="s">
        <v>57</v>
      </c>
      <c r="B627" t="s">
        <v>110</v>
      </c>
      <c r="C627" t="s">
        <v>114</v>
      </c>
      <c r="D627">
        <v>2025</v>
      </c>
      <c r="E627" t="str">
        <f t="shared" si="18"/>
        <v>Q3</v>
      </c>
      <c r="F627" t="s">
        <v>711</v>
      </c>
      <c r="G627">
        <v>0</v>
      </c>
      <c r="H627" t="str">
        <f t="shared" si="19"/>
        <v>August-2025</v>
      </c>
    </row>
    <row r="628" spans="1:8">
      <c r="A628" t="s">
        <v>57</v>
      </c>
      <c r="B628" t="s">
        <v>110</v>
      </c>
      <c r="C628" t="s">
        <v>114</v>
      </c>
      <c r="D628">
        <v>2025</v>
      </c>
      <c r="E628" t="str">
        <f t="shared" si="18"/>
        <v>Q3</v>
      </c>
      <c r="F628" t="s">
        <v>712</v>
      </c>
      <c r="G628">
        <v>0</v>
      </c>
      <c r="H628" t="str">
        <f t="shared" si="19"/>
        <v>September-2025</v>
      </c>
    </row>
    <row r="629" spans="1:8">
      <c r="A629" t="s">
        <v>57</v>
      </c>
      <c r="B629" t="s">
        <v>110</v>
      </c>
      <c r="C629" t="s">
        <v>114</v>
      </c>
      <c r="D629">
        <v>2025</v>
      </c>
      <c r="E629" t="str">
        <f t="shared" si="18"/>
        <v>Q4</v>
      </c>
      <c r="F629" t="s">
        <v>713</v>
      </c>
      <c r="G629">
        <v>0</v>
      </c>
      <c r="H629" t="str">
        <f t="shared" si="19"/>
        <v>October-2025</v>
      </c>
    </row>
    <row r="630" spans="1:8">
      <c r="A630" t="s">
        <v>57</v>
      </c>
      <c r="B630" t="s">
        <v>110</v>
      </c>
      <c r="C630" t="s">
        <v>114</v>
      </c>
      <c r="D630">
        <v>2025</v>
      </c>
      <c r="E630" t="str">
        <f t="shared" si="18"/>
        <v>Q4</v>
      </c>
      <c r="F630" t="s">
        <v>714</v>
      </c>
      <c r="G630">
        <v>0</v>
      </c>
      <c r="H630" t="str">
        <f t="shared" si="19"/>
        <v>November-2025</v>
      </c>
    </row>
    <row r="631" spans="1:8">
      <c r="A631" t="s">
        <v>57</v>
      </c>
      <c r="B631" t="s">
        <v>110</v>
      </c>
      <c r="C631" t="s">
        <v>114</v>
      </c>
      <c r="D631">
        <v>2025</v>
      </c>
      <c r="E631" t="str">
        <f t="shared" si="18"/>
        <v>Q4</v>
      </c>
      <c r="F631" t="s">
        <v>715</v>
      </c>
      <c r="G631">
        <v>0</v>
      </c>
      <c r="H631" t="str">
        <f t="shared" si="19"/>
        <v>December-2025</v>
      </c>
    </row>
    <row r="632" spans="1:8">
      <c r="A632" t="s">
        <v>57</v>
      </c>
      <c r="B632" t="s">
        <v>110</v>
      </c>
      <c r="C632" t="s">
        <v>114</v>
      </c>
      <c r="D632">
        <v>2026</v>
      </c>
      <c r="E632" t="str">
        <f t="shared" si="18"/>
        <v>Q1</v>
      </c>
      <c r="F632" t="s">
        <v>716</v>
      </c>
      <c r="G632">
        <v>0</v>
      </c>
      <c r="H632" t="str">
        <f t="shared" si="19"/>
        <v>January-2026</v>
      </c>
    </row>
    <row r="633" spans="1:8">
      <c r="A633" t="s">
        <v>57</v>
      </c>
      <c r="B633" t="s">
        <v>110</v>
      </c>
      <c r="C633" t="s">
        <v>114</v>
      </c>
      <c r="D633">
        <v>2026</v>
      </c>
      <c r="E633" t="str">
        <f t="shared" si="18"/>
        <v>Q1</v>
      </c>
      <c r="F633" t="s">
        <v>717</v>
      </c>
      <c r="G633">
        <v>0</v>
      </c>
      <c r="H633" t="str">
        <f t="shared" si="19"/>
        <v>February-2026</v>
      </c>
    </row>
    <row r="634" spans="1:8">
      <c r="A634" t="s">
        <v>57</v>
      </c>
      <c r="B634" t="s">
        <v>110</v>
      </c>
      <c r="C634" t="s">
        <v>114</v>
      </c>
      <c r="D634">
        <v>2026</v>
      </c>
      <c r="E634" t="str">
        <f t="shared" si="18"/>
        <v>Q1</v>
      </c>
      <c r="F634" t="s">
        <v>718</v>
      </c>
      <c r="G634">
        <v>0</v>
      </c>
      <c r="H634" t="str">
        <f t="shared" si="19"/>
        <v>March-2026</v>
      </c>
    </row>
    <row r="635" spans="1:8">
      <c r="A635" t="s">
        <v>57</v>
      </c>
      <c r="B635" t="s">
        <v>110</v>
      </c>
      <c r="C635" t="s">
        <v>114</v>
      </c>
      <c r="D635">
        <v>2026</v>
      </c>
      <c r="E635" t="str">
        <f t="shared" si="18"/>
        <v>Q2</v>
      </c>
      <c r="F635" t="s">
        <v>719</v>
      </c>
      <c r="G635">
        <v>0</v>
      </c>
      <c r="H635" t="str">
        <f t="shared" si="19"/>
        <v>April-2026</v>
      </c>
    </row>
    <row r="636" spans="1:8">
      <c r="A636" t="s">
        <v>57</v>
      </c>
      <c r="B636" t="s">
        <v>110</v>
      </c>
      <c r="C636" t="s">
        <v>114</v>
      </c>
      <c r="D636">
        <v>2026</v>
      </c>
      <c r="E636" t="str">
        <f t="shared" si="18"/>
        <v>Q2</v>
      </c>
      <c r="F636" t="s">
        <v>720</v>
      </c>
      <c r="G636">
        <v>0</v>
      </c>
      <c r="H636" t="str">
        <f t="shared" si="19"/>
        <v>May-2026</v>
      </c>
    </row>
    <row r="637" spans="1:8">
      <c r="A637" t="s">
        <v>57</v>
      </c>
      <c r="B637" t="s">
        <v>110</v>
      </c>
      <c r="C637" t="s">
        <v>114</v>
      </c>
      <c r="D637">
        <v>2026</v>
      </c>
      <c r="E637" t="str">
        <f t="shared" si="18"/>
        <v>Q2</v>
      </c>
      <c r="F637" t="s">
        <v>721</v>
      </c>
      <c r="G637">
        <v>0</v>
      </c>
      <c r="H637" t="str">
        <f t="shared" si="19"/>
        <v>June-2026</v>
      </c>
    </row>
    <row r="638" spans="1:8">
      <c r="A638" t="s">
        <v>103</v>
      </c>
      <c r="B638" t="s">
        <v>314</v>
      </c>
      <c r="C638" t="s">
        <v>261</v>
      </c>
      <c r="D638">
        <v>2025</v>
      </c>
      <c r="E638" t="str">
        <f t="shared" si="18"/>
        <v>Q3</v>
      </c>
      <c r="F638" t="s">
        <v>710</v>
      </c>
      <c r="G638">
        <v>1</v>
      </c>
      <c r="H638" t="str">
        <f t="shared" si="19"/>
        <v>July-2025</v>
      </c>
    </row>
    <row r="639" spans="1:8">
      <c r="A639" t="s">
        <v>103</v>
      </c>
      <c r="B639" t="s">
        <v>314</v>
      </c>
      <c r="C639" t="s">
        <v>261</v>
      </c>
      <c r="D639">
        <v>2025</v>
      </c>
      <c r="E639" t="str">
        <f t="shared" si="18"/>
        <v>Q3</v>
      </c>
      <c r="F639" t="s">
        <v>711</v>
      </c>
      <c r="G639">
        <v>0</v>
      </c>
      <c r="H639" t="str">
        <f t="shared" si="19"/>
        <v>August-2025</v>
      </c>
    </row>
    <row r="640" spans="1:8">
      <c r="A640" t="s">
        <v>103</v>
      </c>
      <c r="B640" t="s">
        <v>314</v>
      </c>
      <c r="C640" t="s">
        <v>261</v>
      </c>
      <c r="D640">
        <v>2025</v>
      </c>
      <c r="E640" t="str">
        <f t="shared" si="18"/>
        <v>Q3</v>
      </c>
      <c r="F640" t="s">
        <v>712</v>
      </c>
      <c r="G640">
        <v>0</v>
      </c>
      <c r="H640" t="str">
        <f t="shared" si="19"/>
        <v>September-2025</v>
      </c>
    </row>
    <row r="641" spans="1:8">
      <c r="A641" t="s">
        <v>103</v>
      </c>
      <c r="B641" t="s">
        <v>314</v>
      </c>
      <c r="C641" t="s">
        <v>261</v>
      </c>
      <c r="D641">
        <v>2025</v>
      </c>
      <c r="E641" t="str">
        <f t="shared" si="18"/>
        <v>Q4</v>
      </c>
      <c r="F641" t="s">
        <v>713</v>
      </c>
      <c r="G641">
        <v>0</v>
      </c>
      <c r="H641" t="str">
        <f t="shared" si="19"/>
        <v>October-2025</v>
      </c>
    </row>
    <row r="642" spans="1:8">
      <c r="A642" t="s">
        <v>103</v>
      </c>
      <c r="B642" t="s">
        <v>314</v>
      </c>
      <c r="C642" t="s">
        <v>261</v>
      </c>
      <c r="D642">
        <v>2025</v>
      </c>
      <c r="E642" t="str">
        <f t="shared" si="18"/>
        <v>Q4</v>
      </c>
      <c r="F642" t="s">
        <v>714</v>
      </c>
      <c r="G642">
        <v>0</v>
      </c>
      <c r="H642" t="str">
        <f t="shared" si="19"/>
        <v>November-2025</v>
      </c>
    </row>
    <row r="643" spans="1:8">
      <c r="A643" t="s">
        <v>103</v>
      </c>
      <c r="B643" t="s">
        <v>314</v>
      </c>
      <c r="C643" t="s">
        <v>261</v>
      </c>
      <c r="D643">
        <v>2025</v>
      </c>
      <c r="E643" t="str">
        <f t="shared" ref="E643:E706" si="20">"Q"&amp;ROUNDUP(MONTH(DATEVALUE(F643&amp;" 1"))/3,0)</f>
        <v>Q4</v>
      </c>
      <c r="F643" t="s">
        <v>715</v>
      </c>
      <c r="G643">
        <v>0</v>
      </c>
      <c r="H643" t="str">
        <f t="shared" ref="H643:H706" si="21">_xlfn.CONCAT(F643,"-",D643)</f>
        <v>December-2025</v>
      </c>
    </row>
    <row r="644" spans="1:8">
      <c r="A644" t="s">
        <v>103</v>
      </c>
      <c r="B644" t="s">
        <v>314</v>
      </c>
      <c r="C644" t="s">
        <v>261</v>
      </c>
      <c r="D644">
        <v>2026</v>
      </c>
      <c r="E644" t="str">
        <f t="shared" si="20"/>
        <v>Q1</v>
      </c>
      <c r="F644" t="s">
        <v>716</v>
      </c>
      <c r="G644">
        <v>0</v>
      </c>
      <c r="H644" t="str">
        <f t="shared" si="21"/>
        <v>January-2026</v>
      </c>
    </row>
    <row r="645" spans="1:8">
      <c r="A645" t="s">
        <v>103</v>
      </c>
      <c r="B645" t="s">
        <v>314</v>
      </c>
      <c r="C645" t="s">
        <v>261</v>
      </c>
      <c r="D645">
        <v>2026</v>
      </c>
      <c r="E645" t="str">
        <f t="shared" si="20"/>
        <v>Q1</v>
      </c>
      <c r="F645" t="s">
        <v>717</v>
      </c>
      <c r="G645">
        <v>0</v>
      </c>
      <c r="H645" t="str">
        <f t="shared" si="21"/>
        <v>February-2026</v>
      </c>
    </row>
    <row r="646" spans="1:8">
      <c r="A646" t="s">
        <v>103</v>
      </c>
      <c r="B646" t="s">
        <v>314</v>
      </c>
      <c r="C646" t="s">
        <v>261</v>
      </c>
      <c r="D646">
        <v>2026</v>
      </c>
      <c r="E646" t="str">
        <f t="shared" si="20"/>
        <v>Q1</v>
      </c>
      <c r="F646" t="s">
        <v>718</v>
      </c>
      <c r="G646">
        <v>0</v>
      </c>
      <c r="H646" t="str">
        <f t="shared" si="21"/>
        <v>March-2026</v>
      </c>
    </row>
    <row r="647" spans="1:8">
      <c r="A647" t="s">
        <v>103</v>
      </c>
      <c r="B647" t="s">
        <v>314</v>
      </c>
      <c r="C647" t="s">
        <v>261</v>
      </c>
      <c r="D647">
        <v>2026</v>
      </c>
      <c r="E647" t="str">
        <f t="shared" si="20"/>
        <v>Q2</v>
      </c>
      <c r="F647" t="s">
        <v>719</v>
      </c>
      <c r="G647">
        <v>1</v>
      </c>
      <c r="H647" t="str">
        <f t="shared" si="21"/>
        <v>April-2026</v>
      </c>
    </row>
    <row r="648" spans="1:8">
      <c r="A648" t="s">
        <v>103</v>
      </c>
      <c r="B648" t="s">
        <v>314</v>
      </c>
      <c r="C648" t="s">
        <v>261</v>
      </c>
      <c r="D648">
        <v>2026</v>
      </c>
      <c r="E648" t="str">
        <f t="shared" si="20"/>
        <v>Q2</v>
      </c>
      <c r="F648" t="s">
        <v>720</v>
      </c>
      <c r="G648">
        <v>1</v>
      </c>
      <c r="H648" t="str">
        <f t="shared" si="21"/>
        <v>May-2026</v>
      </c>
    </row>
    <row r="649" spans="1:8">
      <c r="A649" t="s">
        <v>103</v>
      </c>
      <c r="B649" t="s">
        <v>314</v>
      </c>
      <c r="C649" t="s">
        <v>261</v>
      </c>
      <c r="D649">
        <v>2026</v>
      </c>
      <c r="E649" t="str">
        <f t="shared" si="20"/>
        <v>Q2</v>
      </c>
      <c r="F649" t="s">
        <v>721</v>
      </c>
      <c r="G649">
        <v>0</v>
      </c>
      <c r="H649" t="str">
        <f t="shared" si="21"/>
        <v>June-2026</v>
      </c>
    </row>
    <row r="650" spans="1:8">
      <c r="A650" t="s">
        <v>103</v>
      </c>
      <c r="B650" t="s">
        <v>191</v>
      </c>
      <c r="C650" t="s">
        <v>192</v>
      </c>
      <c r="D650">
        <v>2025</v>
      </c>
      <c r="E650" t="str">
        <f t="shared" si="20"/>
        <v>Q3</v>
      </c>
      <c r="F650" t="s">
        <v>710</v>
      </c>
      <c r="G650">
        <v>0</v>
      </c>
      <c r="H650" t="str">
        <f t="shared" si="21"/>
        <v>July-2025</v>
      </c>
    </row>
    <row r="651" spans="1:8">
      <c r="A651" t="s">
        <v>103</v>
      </c>
      <c r="B651" t="s">
        <v>191</v>
      </c>
      <c r="C651" t="s">
        <v>192</v>
      </c>
      <c r="D651">
        <v>2025</v>
      </c>
      <c r="E651" t="str">
        <f t="shared" si="20"/>
        <v>Q3</v>
      </c>
      <c r="F651" t="s">
        <v>711</v>
      </c>
      <c r="G651">
        <v>0</v>
      </c>
      <c r="H651" t="str">
        <f t="shared" si="21"/>
        <v>August-2025</v>
      </c>
    </row>
    <row r="652" spans="1:8">
      <c r="A652" t="s">
        <v>103</v>
      </c>
      <c r="B652" t="s">
        <v>191</v>
      </c>
      <c r="C652" t="s">
        <v>192</v>
      </c>
      <c r="D652">
        <v>2025</v>
      </c>
      <c r="E652" t="str">
        <f t="shared" si="20"/>
        <v>Q3</v>
      </c>
      <c r="F652" t="s">
        <v>712</v>
      </c>
      <c r="G652">
        <v>0</v>
      </c>
      <c r="H652" t="str">
        <f t="shared" si="21"/>
        <v>September-2025</v>
      </c>
    </row>
    <row r="653" spans="1:8">
      <c r="A653" t="s">
        <v>103</v>
      </c>
      <c r="B653" t="s">
        <v>191</v>
      </c>
      <c r="C653" t="s">
        <v>192</v>
      </c>
      <c r="D653">
        <v>2025</v>
      </c>
      <c r="E653" t="str">
        <f t="shared" si="20"/>
        <v>Q4</v>
      </c>
      <c r="F653" t="s">
        <v>713</v>
      </c>
      <c r="G653">
        <v>0</v>
      </c>
      <c r="H653" t="str">
        <f t="shared" si="21"/>
        <v>October-2025</v>
      </c>
    </row>
    <row r="654" spans="1:8">
      <c r="A654" t="s">
        <v>103</v>
      </c>
      <c r="B654" t="s">
        <v>191</v>
      </c>
      <c r="C654" t="s">
        <v>192</v>
      </c>
      <c r="D654">
        <v>2025</v>
      </c>
      <c r="E654" t="str">
        <f t="shared" si="20"/>
        <v>Q4</v>
      </c>
      <c r="F654" t="s">
        <v>714</v>
      </c>
      <c r="G654">
        <v>0</v>
      </c>
      <c r="H654" t="str">
        <f t="shared" si="21"/>
        <v>November-2025</v>
      </c>
    </row>
    <row r="655" spans="1:8">
      <c r="A655" t="s">
        <v>103</v>
      </c>
      <c r="B655" t="s">
        <v>191</v>
      </c>
      <c r="C655" t="s">
        <v>192</v>
      </c>
      <c r="D655">
        <v>2025</v>
      </c>
      <c r="E655" t="str">
        <f t="shared" si="20"/>
        <v>Q4</v>
      </c>
      <c r="F655" t="s">
        <v>715</v>
      </c>
      <c r="G655">
        <v>0</v>
      </c>
      <c r="H655" t="str">
        <f t="shared" si="21"/>
        <v>December-2025</v>
      </c>
    </row>
    <row r="656" spans="1:8">
      <c r="A656" t="s">
        <v>103</v>
      </c>
      <c r="B656" t="s">
        <v>191</v>
      </c>
      <c r="C656" t="s">
        <v>192</v>
      </c>
      <c r="D656">
        <v>2026</v>
      </c>
      <c r="E656" t="str">
        <f t="shared" si="20"/>
        <v>Q1</v>
      </c>
      <c r="F656" t="s">
        <v>716</v>
      </c>
      <c r="G656">
        <v>0</v>
      </c>
      <c r="H656" t="str">
        <f t="shared" si="21"/>
        <v>January-2026</v>
      </c>
    </row>
    <row r="657" spans="1:8">
      <c r="A657" t="s">
        <v>103</v>
      </c>
      <c r="B657" t="s">
        <v>191</v>
      </c>
      <c r="C657" t="s">
        <v>192</v>
      </c>
      <c r="D657">
        <v>2026</v>
      </c>
      <c r="E657" t="str">
        <f t="shared" si="20"/>
        <v>Q1</v>
      </c>
      <c r="F657" t="s">
        <v>717</v>
      </c>
      <c r="G657">
        <v>0</v>
      </c>
      <c r="H657" t="str">
        <f t="shared" si="21"/>
        <v>February-2026</v>
      </c>
    </row>
    <row r="658" spans="1:8">
      <c r="A658" t="s">
        <v>103</v>
      </c>
      <c r="B658" t="s">
        <v>191</v>
      </c>
      <c r="C658" t="s">
        <v>192</v>
      </c>
      <c r="D658">
        <v>2026</v>
      </c>
      <c r="E658" t="str">
        <f t="shared" si="20"/>
        <v>Q1</v>
      </c>
      <c r="F658" t="s">
        <v>718</v>
      </c>
      <c r="G658">
        <v>0</v>
      </c>
      <c r="H658" t="str">
        <f t="shared" si="21"/>
        <v>March-2026</v>
      </c>
    </row>
    <row r="659" spans="1:8">
      <c r="A659" t="s">
        <v>103</v>
      </c>
      <c r="B659" t="s">
        <v>191</v>
      </c>
      <c r="C659" t="s">
        <v>192</v>
      </c>
      <c r="D659">
        <v>2026</v>
      </c>
      <c r="E659" t="str">
        <f t="shared" si="20"/>
        <v>Q2</v>
      </c>
      <c r="F659" t="s">
        <v>719</v>
      </c>
      <c r="G659">
        <v>0</v>
      </c>
      <c r="H659" t="str">
        <f t="shared" si="21"/>
        <v>April-2026</v>
      </c>
    </row>
    <row r="660" spans="1:8">
      <c r="A660" t="s">
        <v>103</v>
      </c>
      <c r="B660" t="s">
        <v>191</v>
      </c>
      <c r="C660" t="s">
        <v>192</v>
      </c>
      <c r="D660">
        <v>2026</v>
      </c>
      <c r="E660" t="str">
        <f t="shared" si="20"/>
        <v>Q2</v>
      </c>
      <c r="F660" t="s">
        <v>720</v>
      </c>
      <c r="G660">
        <v>0</v>
      </c>
      <c r="H660" t="str">
        <f t="shared" si="21"/>
        <v>May-2026</v>
      </c>
    </row>
    <row r="661" spans="1:8">
      <c r="A661" t="s">
        <v>103</v>
      </c>
      <c r="B661" t="s">
        <v>191</v>
      </c>
      <c r="C661" t="s">
        <v>192</v>
      </c>
      <c r="D661">
        <v>2026</v>
      </c>
      <c r="E661" t="str">
        <f t="shared" si="20"/>
        <v>Q2</v>
      </c>
      <c r="F661" t="s">
        <v>721</v>
      </c>
      <c r="G661">
        <v>0</v>
      </c>
      <c r="H661" t="str">
        <f t="shared" si="21"/>
        <v>June-2026</v>
      </c>
    </row>
    <row r="662" spans="1:8">
      <c r="A662" t="s">
        <v>103</v>
      </c>
      <c r="B662" t="s">
        <v>191</v>
      </c>
      <c r="C662" t="s">
        <v>228</v>
      </c>
      <c r="D662">
        <v>2025</v>
      </c>
      <c r="E662" t="str">
        <f t="shared" si="20"/>
        <v>Q3</v>
      </c>
      <c r="F662" t="s">
        <v>710</v>
      </c>
      <c r="G662">
        <v>1</v>
      </c>
      <c r="H662" t="str">
        <f t="shared" si="21"/>
        <v>July-2025</v>
      </c>
    </row>
    <row r="663" spans="1:8">
      <c r="A663" t="s">
        <v>103</v>
      </c>
      <c r="B663" t="s">
        <v>191</v>
      </c>
      <c r="C663" t="s">
        <v>228</v>
      </c>
      <c r="D663">
        <v>2025</v>
      </c>
      <c r="E663" t="str">
        <f t="shared" si="20"/>
        <v>Q3</v>
      </c>
      <c r="F663" t="s">
        <v>711</v>
      </c>
      <c r="G663">
        <v>1</v>
      </c>
      <c r="H663" t="str">
        <f t="shared" si="21"/>
        <v>August-2025</v>
      </c>
    </row>
    <row r="664" spans="1:8">
      <c r="A664" t="s">
        <v>103</v>
      </c>
      <c r="B664" t="s">
        <v>191</v>
      </c>
      <c r="C664" t="s">
        <v>228</v>
      </c>
      <c r="D664">
        <v>2025</v>
      </c>
      <c r="E664" t="str">
        <f t="shared" si="20"/>
        <v>Q3</v>
      </c>
      <c r="F664" t="s">
        <v>712</v>
      </c>
      <c r="G664">
        <v>1</v>
      </c>
      <c r="H664" t="str">
        <f t="shared" si="21"/>
        <v>September-2025</v>
      </c>
    </row>
    <row r="665" spans="1:8">
      <c r="A665" t="s">
        <v>103</v>
      </c>
      <c r="B665" t="s">
        <v>191</v>
      </c>
      <c r="C665" t="s">
        <v>228</v>
      </c>
      <c r="D665">
        <v>2025</v>
      </c>
      <c r="E665" t="str">
        <f t="shared" si="20"/>
        <v>Q4</v>
      </c>
      <c r="F665" t="s">
        <v>713</v>
      </c>
      <c r="G665">
        <v>1</v>
      </c>
      <c r="H665" t="str">
        <f t="shared" si="21"/>
        <v>October-2025</v>
      </c>
    </row>
    <row r="666" spans="1:8">
      <c r="A666" t="s">
        <v>103</v>
      </c>
      <c r="B666" t="s">
        <v>191</v>
      </c>
      <c r="C666" t="s">
        <v>228</v>
      </c>
      <c r="D666">
        <v>2025</v>
      </c>
      <c r="E666" t="str">
        <f t="shared" si="20"/>
        <v>Q4</v>
      </c>
      <c r="F666" t="s">
        <v>714</v>
      </c>
      <c r="G666">
        <v>0</v>
      </c>
      <c r="H666" t="str">
        <f t="shared" si="21"/>
        <v>November-2025</v>
      </c>
    </row>
    <row r="667" spans="1:8">
      <c r="A667" t="s">
        <v>103</v>
      </c>
      <c r="B667" t="s">
        <v>191</v>
      </c>
      <c r="C667" t="s">
        <v>228</v>
      </c>
      <c r="D667">
        <v>2025</v>
      </c>
      <c r="E667" t="str">
        <f t="shared" si="20"/>
        <v>Q4</v>
      </c>
      <c r="F667" t="s">
        <v>715</v>
      </c>
      <c r="G667">
        <v>0</v>
      </c>
      <c r="H667" t="str">
        <f t="shared" si="21"/>
        <v>December-2025</v>
      </c>
    </row>
    <row r="668" spans="1:8">
      <c r="A668" t="s">
        <v>103</v>
      </c>
      <c r="B668" t="s">
        <v>191</v>
      </c>
      <c r="C668" t="s">
        <v>228</v>
      </c>
      <c r="D668">
        <v>2026</v>
      </c>
      <c r="E668" t="str">
        <f t="shared" si="20"/>
        <v>Q1</v>
      </c>
      <c r="F668" t="s">
        <v>716</v>
      </c>
      <c r="G668">
        <v>0</v>
      </c>
      <c r="H668" t="str">
        <f t="shared" si="21"/>
        <v>January-2026</v>
      </c>
    </row>
    <row r="669" spans="1:8">
      <c r="A669" t="s">
        <v>103</v>
      </c>
      <c r="B669" t="s">
        <v>191</v>
      </c>
      <c r="C669" t="s">
        <v>228</v>
      </c>
      <c r="D669">
        <v>2026</v>
      </c>
      <c r="E669" t="str">
        <f t="shared" si="20"/>
        <v>Q1</v>
      </c>
      <c r="F669" t="s">
        <v>717</v>
      </c>
      <c r="G669">
        <v>1</v>
      </c>
      <c r="H669" t="str">
        <f t="shared" si="21"/>
        <v>February-2026</v>
      </c>
    </row>
    <row r="670" spans="1:8">
      <c r="A670" t="s">
        <v>103</v>
      </c>
      <c r="B670" t="s">
        <v>191</v>
      </c>
      <c r="C670" t="s">
        <v>228</v>
      </c>
      <c r="D670">
        <v>2026</v>
      </c>
      <c r="E670" t="str">
        <f t="shared" si="20"/>
        <v>Q1</v>
      </c>
      <c r="F670" t="s">
        <v>718</v>
      </c>
      <c r="G670">
        <v>0</v>
      </c>
      <c r="H670" t="str">
        <f t="shared" si="21"/>
        <v>March-2026</v>
      </c>
    </row>
    <row r="671" spans="1:8">
      <c r="A671" t="s">
        <v>103</v>
      </c>
      <c r="B671" t="s">
        <v>191</v>
      </c>
      <c r="C671" t="s">
        <v>228</v>
      </c>
      <c r="D671">
        <v>2026</v>
      </c>
      <c r="E671" t="str">
        <f t="shared" si="20"/>
        <v>Q2</v>
      </c>
      <c r="F671" t="s">
        <v>719</v>
      </c>
      <c r="G671">
        <v>0</v>
      </c>
      <c r="H671" t="str">
        <f t="shared" si="21"/>
        <v>April-2026</v>
      </c>
    </row>
    <row r="672" spans="1:8">
      <c r="A672" t="s">
        <v>103</v>
      </c>
      <c r="B672" t="s">
        <v>191</v>
      </c>
      <c r="C672" t="s">
        <v>228</v>
      </c>
      <c r="D672">
        <v>2026</v>
      </c>
      <c r="E672" t="str">
        <f t="shared" si="20"/>
        <v>Q2</v>
      </c>
      <c r="F672" t="s">
        <v>720</v>
      </c>
      <c r="G672">
        <v>0</v>
      </c>
      <c r="H672" t="str">
        <f t="shared" si="21"/>
        <v>May-2026</v>
      </c>
    </row>
    <row r="673" spans="1:8">
      <c r="A673" t="s">
        <v>103</v>
      </c>
      <c r="B673" t="s">
        <v>191</v>
      </c>
      <c r="C673" t="s">
        <v>228</v>
      </c>
      <c r="D673">
        <v>2026</v>
      </c>
      <c r="E673" t="str">
        <f t="shared" si="20"/>
        <v>Q2</v>
      </c>
      <c r="F673" t="s">
        <v>721</v>
      </c>
      <c r="G673">
        <v>1</v>
      </c>
      <c r="H673" t="str">
        <f t="shared" si="21"/>
        <v>June-2026</v>
      </c>
    </row>
    <row r="674" spans="1:8">
      <c r="A674" t="s">
        <v>103</v>
      </c>
      <c r="B674" t="s">
        <v>191</v>
      </c>
      <c r="C674" t="s">
        <v>206</v>
      </c>
      <c r="D674">
        <v>2025</v>
      </c>
      <c r="E674" t="str">
        <f t="shared" si="20"/>
        <v>Q3</v>
      </c>
      <c r="F674" t="s">
        <v>710</v>
      </c>
      <c r="G674">
        <v>1</v>
      </c>
      <c r="H674" t="str">
        <f t="shared" si="21"/>
        <v>July-2025</v>
      </c>
    </row>
    <row r="675" spans="1:8">
      <c r="A675" t="s">
        <v>103</v>
      </c>
      <c r="B675" t="s">
        <v>191</v>
      </c>
      <c r="C675" t="s">
        <v>206</v>
      </c>
      <c r="D675">
        <v>2025</v>
      </c>
      <c r="E675" t="str">
        <f t="shared" si="20"/>
        <v>Q3</v>
      </c>
      <c r="F675" t="s">
        <v>711</v>
      </c>
      <c r="G675">
        <v>1</v>
      </c>
      <c r="H675" t="str">
        <f t="shared" si="21"/>
        <v>August-2025</v>
      </c>
    </row>
    <row r="676" spans="1:8">
      <c r="A676" t="s">
        <v>103</v>
      </c>
      <c r="B676" t="s">
        <v>191</v>
      </c>
      <c r="C676" t="s">
        <v>206</v>
      </c>
      <c r="D676">
        <v>2025</v>
      </c>
      <c r="E676" t="str">
        <f t="shared" si="20"/>
        <v>Q3</v>
      </c>
      <c r="F676" t="s">
        <v>712</v>
      </c>
      <c r="G676">
        <v>1</v>
      </c>
      <c r="H676" t="str">
        <f t="shared" si="21"/>
        <v>September-2025</v>
      </c>
    </row>
    <row r="677" spans="1:8">
      <c r="A677" t="s">
        <v>103</v>
      </c>
      <c r="B677" t="s">
        <v>191</v>
      </c>
      <c r="C677" t="s">
        <v>206</v>
      </c>
      <c r="D677">
        <v>2025</v>
      </c>
      <c r="E677" t="str">
        <f t="shared" si="20"/>
        <v>Q4</v>
      </c>
      <c r="F677" t="s">
        <v>713</v>
      </c>
      <c r="G677">
        <v>1</v>
      </c>
      <c r="H677" t="str">
        <f t="shared" si="21"/>
        <v>October-2025</v>
      </c>
    </row>
    <row r="678" spans="1:8">
      <c r="A678" t="s">
        <v>103</v>
      </c>
      <c r="B678" t="s">
        <v>191</v>
      </c>
      <c r="C678" t="s">
        <v>206</v>
      </c>
      <c r="D678">
        <v>2025</v>
      </c>
      <c r="E678" t="str">
        <f t="shared" si="20"/>
        <v>Q4</v>
      </c>
      <c r="F678" t="s">
        <v>714</v>
      </c>
      <c r="G678">
        <v>1</v>
      </c>
      <c r="H678" t="str">
        <f t="shared" si="21"/>
        <v>November-2025</v>
      </c>
    </row>
    <row r="679" spans="1:8">
      <c r="A679" t="s">
        <v>103</v>
      </c>
      <c r="B679" t="s">
        <v>191</v>
      </c>
      <c r="C679" t="s">
        <v>206</v>
      </c>
      <c r="D679">
        <v>2025</v>
      </c>
      <c r="E679" t="str">
        <f t="shared" si="20"/>
        <v>Q4</v>
      </c>
      <c r="F679" t="s">
        <v>715</v>
      </c>
      <c r="G679">
        <v>1</v>
      </c>
      <c r="H679" t="str">
        <f t="shared" si="21"/>
        <v>December-2025</v>
      </c>
    </row>
    <row r="680" spans="1:8">
      <c r="A680" t="s">
        <v>103</v>
      </c>
      <c r="B680" t="s">
        <v>191</v>
      </c>
      <c r="C680" t="s">
        <v>206</v>
      </c>
      <c r="D680">
        <v>2026</v>
      </c>
      <c r="E680" t="str">
        <f t="shared" si="20"/>
        <v>Q1</v>
      </c>
      <c r="F680" t="s">
        <v>716</v>
      </c>
      <c r="G680">
        <v>1</v>
      </c>
      <c r="H680" t="str">
        <f t="shared" si="21"/>
        <v>January-2026</v>
      </c>
    </row>
    <row r="681" spans="1:8">
      <c r="A681" t="s">
        <v>103</v>
      </c>
      <c r="B681" t="s">
        <v>191</v>
      </c>
      <c r="C681" t="s">
        <v>206</v>
      </c>
      <c r="D681">
        <v>2026</v>
      </c>
      <c r="E681" t="str">
        <f t="shared" si="20"/>
        <v>Q1</v>
      </c>
      <c r="F681" t="s">
        <v>717</v>
      </c>
      <c r="G681">
        <v>1</v>
      </c>
      <c r="H681" t="str">
        <f t="shared" si="21"/>
        <v>February-2026</v>
      </c>
    </row>
    <row r="682" spans="1:8">
      <c r="A682" t="s">
        <v>103</v>
      </c>
      <c r="B682" t="s">
        <v>191</v>
      </c>
      <c r="C682" t="s">
        <v>206</v>
      </c>
      <c r="D682">
        <v>2026</v>
      </c>
      <c r="E682" t="str">
        <f t="shared" si="20"/>
        <v>Q1</v>
      </c>
      <c r="F682" t="s">
        <v>718</v>
      </c>
      <c r="G682">
        <v>1</v>
      </c>
      <c r="H682" t="str">
        <f t="shared" si="21"/>
        <v>March-2026</v>
      </c>
    </row>
    <row r="683" spans="1:8">
      <c r="A683" t="s">
        <v>103</v>
      </c>
      <c r="B683" t="s">
        <v>191</v>
      </c>
      <c r="C683" t="s">
        <v>206</v>
      </c>
      <c r="D683">
        <v>2026</v>
      </c>
      <c r="E683" t="str">
        <f t="shared" si="20"/>
        <v>Q2</v>
      </c>
      <c r="F683" t="s">
        <v>719</v>
      </c>
      <c r="G683">
        <v>0</v>
      </c>
      <c r="H683" t="str">
        <f t="shared" si="21"/>
        <v>April-2026</v>
      </c>
    </row>
    <row r="684" spans="1:8">
      <c r="A684" t="s">
        <v>103</v>
      </c>
      <c r="B684" t="s">
        <v>191</v>
      </c>
      <c r="C684" t="s">
        <v>206</v>
      </c>
      <c r="D684">
        <v>2026</v>
      </c>
      <c r="E684" t="str">
        <f t="shared" si="20"/>
        <v>Q2</v>
      </c>
      <c r="F684" t="s">
        <v>720</v>
      </c>
      <c r="G684">
        <v>0</v>
      </c>
      <c r="H684" t="str">
        <f t="shared" si="21"/>
        <v>May-2026</v>
      </c>
    </row>
    <row r="685" spans="1:8">
      <c r="A685" t="s">
        <v>103</v>
      </c>
      <c r="B685" t="s">
        <v>191</v>
      </c>
      <c r="C685" t="s">
        <v>206</v>
      </c>
      <c r="D685">
        <v>2026</v>
      </c>
      <c r="E685" t="str">
        <f t="shared" si="20"/>
        <v>Q2</v>
      </c>
      <c r="F685" t="s">
        <v>721</v>
      </c>
      <c r="G685">
        <v>0</v>
      </c>
      <c r="H685" t="str">
        <f t="shared" si="21"/>
        <v>June-2026</v>
      </c>
    </row>
    <row r="686" spans="1:8">
      <c r="A686" t="s">
        <v>103</v>
      </c>
      <c r="B686" t="s">
        <v>191</v>
      </c>
      <c r="C686" t="s">
        <v>248</v>
      </c>
      <c r="D686">
        <v>2025</v>
      </c>
      <c r="E686" t="str">
        <f t="shared" si="20"/>
        <v>Q3</v>
      </c>
      <c r="F686" t="s">
        <v>710</v>
      </c>
      <c r="G686">
        <v>0</v>
      </c>
      <c r="H686" t="str">
        <f t="shared" si="21"/>
        <v>July-2025</v>
      </c>
    </row>
    <row r="687" spans="1:8">
      <c r="A687" t="s">
        <v>103</v>
      </c>
      <c r="B687" t="s">
        <v>191</v>
      </c>
      <c r="C687" t="s">
        <v>248</v>
      </c>
      <c r="D687">
        <v>2025</v>
      </c>
      <c r="E687" t="str">
        <f t="shared" si="20"/>
        <v>Q3</v>
      </c>
      <c r="F687" t="s">
        <v>711</v>
      </c>
      <c r="G687">
        <v>0</v>
      </c>
      <c r="H687" t="str">
        <f t="shared" si="21"/>
        <v>August-2025</v>
      </c>
    </row>
    <row r="688" spans="1:8">
      <c r="A688" t="s">
        <v>103</v>
      </c>
      <c r="B688" t="s">
        <v>191</v>
      </c>
      <c r="C688" t="s">
        <v>248</v>
      </c>
      <c r="D688">
        <v>2025</v>
      </c>
      <c r="E688" t="str">
        <f t="shared" si="20"/>
        <v>Q3</v>
      </c>
      <c r="F688" t="s">
        <v>712</v>
      </c>
      <c r="G688">
        <v>0</v>
      </c>
      <c r="H688" t="str">
        <f t="shared" si="21"/>
        <v>September-2025</v>
      </c>
    </row>
    <row r="689" spans="1:8">
      <c r="A689" t="s">
        <v>103</v>
      </c>
      <c r="B689" t="s">
        <v>191</v>
      </c>
      <c r="C689" t="s">
        <v>248</v>
      </c>
      <c r="D689">
        <v>2025</v>
      </c>
      <c r="E689" t="str">
        <f t="shared" si="20"/>
        <v>Q4</v>
      </c>
      <c r="F689" t="s">
        <v>713</v>
      </c>
      <c r="G689">
        <v>0</v>
      </c>
      <c r="H689" t="str">
        <f t="shared" si="21"/>
        <v>October-2025</v>
      </c>
    </row>
    <row r="690" spans="1:8">
      <c r="A690" t="s">
        <v>103</v>
      </c>
      <c r="B690" t="s">
        <v>191</v>
      </c>
      <c r="C690" t="s">
        <v>248</v>
      </c>
      <c r="D690">
        <v>2025</v>
      </c>
      <c r="E690" t="str">
        <f t="shared" si="20"/>
        <v>Q4</v>
      </c>
      <c r="F690" t="s">
        <v>714</v>
      </c>
      <c r="G690">
        <v>0</v>
      </c>
      <c r="H690" t="str">
        <f t="shared" si="21"/>
        <v>November-2025</v>
      </c>
    </row>
    <row r="691" spans="1:8">
      <c r="A691" t="s">
        <v>103</v>
      </c>
      <c r="B691" t="s">
        <v>191</v>
      </c>
      <c r="C691" t="s">
        <v>248</v>
      </c>
      <c r="D691">
        <v>2025</v>
      </c>
      <c r="E691" t="str">
        <f t="shared" si="20"/>
        <v>Q4</v>
      </c>
      <c r="F691" t="s">
        <v>715</v>
      </c>
      <c r="G691">
        <v>0</v>
      </c>
      <c r="H691" t="str">
        <f t="shared" si="21"/>
        <v>December-2025</v>
      </c>
    </row>
    <row r="692" spans="1:8">
      <c r="A692" t="s">
        <v>103</v>
      </c>
      <c r="B692" t="s">
        <v>191</v>
      </c>
      <c r="C692" t="s">
        <v>248</v>
      </c>
      <c r="D692">
        <v>2026</v>
      </c>
      <c r="E692" t="str">
        <f t="shared" si="20"/>
        <v>Q1</v>
      </c>
      <c r="F692" t="s">
        <v>716</v>
      </c>
      <c r="G692">
        <v>0</v>
      </c>
      <c r="H692" t="str">
        <f t="shared" si="21"/>
        <v>January-2026</v>
      </c>
    </row>
    <row r="693" spans="1:8">
      <c r="A693" t="s">
        <v>103</v>
      </c>
      <c r="B693" t="s">
        <v>191</v>
      </c>
      <c r="C693" t="s">
        <v>248</v>
      </c>
      <c r="D693">
        <v>2026</v>
      </c>
      <c r="E693" t="str">
        <f t="shared" si="20"/>
        <v>Q1</v>
      </c>
      <c r="F693" t="s">
        <v>717</v>
      </c>
      <c r="G693">
        <v>0</v>
      </c>
      <c r="H693" t="str">
        <f t="shared" si="21"/>
        <v>February-2026</v>
      </c>
    </row>
    <row r="694" spans="1:8">
      <c r="A694" t="s">
        <v>103</v>
      </c>
      <c r="B694" t="s">
        <v>191</v>
      </c>
      <c r="C694" t="s">
        <v>248</v>
      </c>
      <c r="D694">
        <v>2026</v>
      </c>
      <c r="E694" t="str">
        <f t="shared" si="20"/>
        <v>Q1</v>
      </c>
      <c r="F694" t="s">
        <v>718</v>
      </c>
      <c r="G694">
        <v>0</v>
      </c>
      <c r="H694" t="str">
        <f t="shared" si="21"/>
        <v>March-2026</v>
      </c>
    </row>
    <row r="695" spans="1:8">
      <c r="A695" t="s">
        <v>103</v>
      </c>
      <c r="B695" t="s">
        <v>191</v>
      </c>
      <c r="C695" t="s">
        <v>248</v>
      </c>
      <c r="D695">
        <v>2026</v>
      </c>
      <c r="E695" t="str">
        <f t="shared" si="20"/>
        <v>Q2</v>
      </c>
      <c r="F695" t="s">
        <v>719</v>
      </c>
      <c r="G695">
        <v>0</v>
      </c>
      <c r="H695" t="str">
        <f t="shared" si="21"/>
        <v>April-2026</v>
      </c>
    </row>
    <row r="696" spans="1:8">
      <c r="A696" t="s">
        <v>103</v>
      </c>
      <c r="B696" t="s">
        <v>191</v>
      </c>
      <c r="C696" t="s">
        <v>248</v>
      </c>
      <c r="D696">
        <v>2026</v>
      </c>
      <c r="E696" t="str">
        <f t="shared" si="20"/>
        <v>Q2</v>
      </c>
      <c r="F696" t="s">
        <v>720</v>
      </c>
      <c r="G696">
        <v>0</v>
      </c>
      <c r="H696" t="str">
        <f t="shared" si="21"/>
        <v>May-2026</v>
      </c>
    </row>
    <row r="697" spans="1:8">
      <c r="A697" t="s">
        <v>103</v>
      </c>
      <c r="B697" t="s">
        <v>191</v>
      </c>
      <c r="C697" t="s">
        <v>248</v>
      </c>
      <c r="D697">
        <v>2026</v>
      </c>
      <c r="E697" t="str">
        <f t="shared" si="20"/>
        <v>Q2</v>
      </c>
      <c r="F697" t="s">
        <v>721</v>
      </c>
      <c r="G697">
        <v>0</v>
      </c>
      <c r="H697" t="str">
        <f t="shared" si="21"/>
        <v>June-2026</v>
      </c>
    </row>
    <row r="698" spans="1:8">
      <c r="A698" t="s">
        <v>103</v>
      </c>
      <c r="B698" t="s">
        <v>205</v>
      </c>
      <c r="C698" t="s">
        <v>228</v>
      </c>
      <c r="D698">
        <v>2025</v>
      </c>
      <c r="E698" t="str">
        <f t="shared" si="20"/>
        <v>Q3</v>
      </c>
      <c r="F698" t="s">
        <v>710</v>
      </c>
      <c r="G698">
        <v>0</v>
      </c>
      <c r="H698" t="str">
        <f t="shared" si="21"/>
        <v>July-2025</v>
      </c>
    </row>
    <row r="699" spans="1:8">
      <c r="A699" t="s">
        <v>103</v>
      </c>
      <c r="B699" t="s">
        <v>205</v>
      </c>
      <c r="C699" t="s">
        <v>228</v>
      </c>
      <c r="D699">
        <v>2025</v>
      </c>
      <c r="E699" t="str">
        <f t="shared" si="20"/>
        <v>Q3</v>
      </c>
      <c r="F699" t="s">
        <v>711</v>
      </c>
      <c r="G699">
        <v>0</v>
      </c>
      <c r="H699" t="str">
        <f t="shared" si="21"/>
        <v>August-2025</v>
      </c>
    </row>
    <row r="700" spans="1:8">
      <c r="A700" t="s">
        <v>103</v>
      </c>
      <c r="B700" t="s">
        <v>205</v>
      </c>
      <c r="C700" t="s">
        <v>228</v>
      </c>
      <c r="D700">
        <v>2025</v>
      </c>
      <c r="E700" t="str">
        <f t="shared" si="20"/>
        <v>Q3</v>
      </c>
      <c r="F700" t="s">
        <v>712</v>
      </c>
      <c r="G700">
        <v>0</v>
      </c>
      <c r="H700" t="str">
        <f t="shared" si="21"/>
        <v>September-2025</v>
      </c>
    </row>
    <row r="701" spans="1:8">
      <c r="A701" t="s">
        <v>103</v>
      </c>
      <c r="B701" t="s">
        <v>205</v>
      </c>
      <c r="C701" t="s">
        <v>228</v>
      </c>
      <c r="D701">
        <v>2025</v>
      </c>
      <c r="E701" t="str">
        <f t="shared" si="20"/>
        <v>Q4</v>
      </c>
      <c r="F701" t="s">
        <v>713</v>
      </c>
      <c r="G701">
        <v>0</v>
      </c>
      <c r="H701" t="str">
        <f t="shared" si="21"/>
        <v>October-2025</v>
      </c>
    </row>
    <row r="702" spans="1:8">
      <c r="A702" t="s">
        <v>103</v>
      </c>
      <c r="B702" t="s">
        <v>205</v>
      </c>
      <c r="C702" t="s">
        <v>228</v>
      </c>
      <c r="D702">
        <v>2025</v>
      </c>
      <c r="E702" t="str">
        <f t="shared" si="20"/>
        <v>Q4</v>
      </c>
      <c r="F702" t="s">
        <v>714</v>
      </c>
      <c r="G702">
        <v>0</v>
      </c>
      <c r="H702" t="str">
        <f t="shared" si="21"/>
        <v>November-2025</v>
      </c>
    </row>
    <row r="703" spans="1:8">
      <c r="A703" t="s">
        <v>103</v>
      </c>
      <c r="B703" t="s">
        <v>205</v>
      </c>
      <c r="C703" t="s">
        <v>228</v>
      </c>
      <c r="D703">
        <v>2025</v>
      </c>
      <c r="E703" t="str">
        <f t="shared" si="20"/>
        <v>Q4</v>
      </c>
      <c r="F703" t="s">
        <v>715</v>
      </c>
      <c r="G703">
        <v>0</v>
      </c>
      <c r="H703" t="str">
        <f t="shared" si="21"/>
        <v>December-2025</v>
      </c>
    </row>
    <row r="704" spans="1:8">
      <c r="A704" t="s">
        <v>103</v>
      </c>
      <c r="B704" t="s">
        <v>205</v>
      </c>
      <c r="C704" t="s">
        <v>228</v>
      </c>
      <c r="D704">
        <v>2026</v>
      </c>
      <c r="E704" t="str">
        <f t="shared" si="20"/>
        <v>Q1</v>
      </c>
      <c r="F704" t="s">
        <v>716</v>
      </c>
      <c r="G704">
        <v>0</v>
      </c>
      <c r="H704" t="str">
        <f t="shared" si="21"/>
        <v>January-2026</v>
      </c>
    </row>
    <row r="705" spans="1:8">
      <c r="A705" t="s">
        <v>103</v>
      </c>
      <c r="B705" t="s">
        <v>205</v>
      </c>
      <c r="C705" t="s">
        <v>228</v>
      </c>
      <c r="D705">
        <v>2026</v>
      </c>
      <c r="E705" t="str">
        <f t="shared" si="20"/>
        <v>Q1</v>
      </c>
      <c r="F705" t="s">
        <v>717</v>
      </c>
      <c r="G705">
        <v>0</v>
      </c>
      <c r="H705" t="str">
        <f t="shared" si="21"/>
        <v>February-2026</v>
      </c>
    </row>
    <row r="706" spans="1:8">
      <c r="A706" t="s">
        <v>103</v>
      </c>
      <c r="B706" t="s">
        <v>205</v>
      </c>
      <c r="C706" t="s">
        <v>228</v>
      </c>
      <c r="D706">
        <v>2026</v>
      </c>
      <c r="E706" t="str">
        <f t="shared" si="20"/>
        <v>Q1</v>
      </c>
      <c r="F706" t="s">
        <v>718</v>
      </c>
      <c r="G706">
        <v>0</v>
      </c>
      <c r="H706" t="str">
        <f t="shared" si="21"/>
        <v>March-2026</v>
      </c>
    </row>
    <row r="707" spans="1:8">
      <c r="A707" t="s">
        <v>103</v>
      </c>
      <c r="B707" t="s">
        <v>205</v>
      </c>
      <c r="C707" t="s">
        <v>228</v>
      </c>
      <c r="D707">
        <v>2026</v>
      </c>
      <c r="E707" t="str">
        <f t="shared" ref="E707:E770" si="22">"Q"&amp;ROUNDUP(MONTH(DATEVALUE(F707&amp;" 1"))/3,0)</f>
        <v>Q2</v>
      </c>
      <c r="F707" t="s">
        <v>719</v>
      </c>
      <c r="G707">
        <v>0</v>
      </c>
      <c r="H707" t="str">
        <f t="shared" ref="H707:H770" si="23">_xlfn.CONCAT(F707,"-",D707)</f>
        <v>April-2026</v>
      </c>
    </row>
    <row r="708" spans="1:8">
      <c r="A708" t="s">
        <v>103</v>
      </c>
      <c r="B708" t="s">
        <v>205</v>
      </c>
      <c r="C708" t="s">
        <v>228</v>
      </c>
      <c r="D708">
        <v>2026</v>
      </c>
      <c r="E708" t="str">
        <f t="shared" si="22"/>
        <v>Q2</v>
      </c>
      <c r="F708" t="s">
        <v>720</v>
      </c>
      <c r="G708">
        <v>0</v>
      </c>
      <c r="H708" t="str">
        <f t="shared" si="23"/>
        <v>May-2026</v>
      </c>
    </row>
    <row r="709" spans="1:8">
      <c r="A709" t="s">
        <v>103</v>
      </c>
      <c r="B709" t="s">
        <v>205</v>
      </c>
      <c r="C709" t="s">
        <v>228</v>
      </c>
      <c r="D709">
        <v>2026</v>
      </c>
      <c r="E709" t="str">
        <f t="shared" si="22"/>
        <v>Q2</v>
      </c>
      <c r="F709" t="s">
        <v>721</v>
      </c>
      <c r="G709">
        <v>0</v>
      </c>
      <c r="H709" t="str">
        <f t="shared" si="23"/>
        <v>June-2026</v>
      </c>
    </row>
    <row r="710" spans="1:8">
      <c r="A710" t="s">
        <v>103</v>
      </c>
      <c r="B710" t="s">
        <v>205</v>
      </c>
      <c r="C710" t="s">
        <v>206</v>
      </c>
      <c r="D710">
        <v>2025</v>
      </c>
      <c r="E710" t="str">
        <f t="shared" si="22"/>
        <v>Q3</v>
      </c>
      <c r="F710" t="s">
        <v>710</v>
      </c>
      <c r="G710">
        <v>1</v>
      </c>
      <c r="H710" t="str">
        <f t="shared" si="23"/>
        <v>July-2025</v>
      </c>
    </row>
    <row r="711" spans="1:8">
      <c r="A711" t="s">
        <v>103</v>
      </c>
      <c r="B711" t="s">
        <v>205</v>
      </c>
      <c r="C711" t="s">
        <v>206</v>
      </c>
      <c r="D711">
        <v>2025</v>
      </c>
      <c r="E711" t="str">
        <f t="shared" si="22"/>
        <v>Q3</v>
      </c>
      <c r="F711" t="s">
        <v>711</v>
      </c>
      <c r="G711">
        <v>0</v>
      </c>
      <c r="H711" t="str">
        <f t="shared" si="23"/>
        <v>August-2025</v>
      </c>
    </row>
    <row r="712" spans="1:8">
      <c r="A712" t="s">
        <v>103</v>
      </c>
      <c r="B712" t="s">
        <v>205</v>
      </c>
      <c r="C712" t="s">
        <v>206</v>
      </c>
      <c r="D712">
        <v>2025</v>
      </c>
      <c r="E712" t="str">
        <f t="shared" si="22"/>
        <v>Q3</v>
      </c>
      <c r="F712" t="s">
        <v>712</v>
      </c>
      <c r="G712">
        <v>0</v>
      </c>
      <c r="H712" t="str">
        <f t="shared" si="23"/>
        <v>September-2025</v>
      </c>
    </row>
    <row r="713" spans="1:8">
      <c r="A713" t="s">
        <v>103</v>
      </c>
      <c r="B713" t="s">
        <v>205</v>
      </c>
      <c r="C713" t="s">
        <v>206</v>
      </c>
      <c r="D713">
        <v>2025</v>
      </c>
      <c r="E713" t="str">
        <f t="shared" si="22"/>
        <v>Q4</v>
      </c>
      <c r="F713" t="s">
        <v>713</v>
      </c>
      <c r="G713">
        <v>0</v>
      </c>
      <c r="H713" t="str">
        <f t="shared" si="23"/>
        <v>October-2025</v>
      </c>
    </row>
    <row r="714" spans="1:8">
      <c r="A714" t="s">
        <v>103</v>
      </c>
      <c r="B714" t="s">
        <v>205</v>
      </c>
      <c r="C714" t="s">
        <v>206</v>
      </c>
      <c r="D714">
        <v>2025</v>
      </c>
      <c r="E714" t="str">
        <f t="shared" si="22"/>
        <v>Q4</v>
      </c>
      <c r="F714" t="s">
        <v>714</v>
      </c>
      <c r="G714">
        <v>0</v>
      </c>
      <c r="H714" t="str">
        <f t="shared" si="23"/>
        <v>November-2025</v>
      </c>
    </row>
    <row r="715" spans="1:8">
      <c r="A715" t="s">
        <v>103</v>
      </c>
      <c r="B715" t="s">
        <v>205</v>
      </c>
      <c r="C715" t="s">
        <v>206</v>
      </c>
      <c r="D715">
        <v>2025</v>
      </c>
      <c r="E715" t="str">
        <f t="shared" si="22"/>
        <v>Q4</v>
      </c>
      <c r="F715" t="s">
        <v>715</v>
      </c>
      <c r="G715">
        <v>0</v>
      </c>
      <c r="H715" t="str">
        <f t="shared" si="23"/>
        <v>December-2025</v>
      </c>
    </row>
    <row r="716" spans="1:8">
      <c r="A716" t="s">
        <v>103</v>
      </c>
      <c r="B716" t="s">
        <v>205</v>
      </c>
      <c r="C716" t="s">
        <v>206</v>
      </c>
      <c r="D716">
        <v>2026</v>
      </c>
      <c r="E716" t="str">
        <f t="shared" si="22"/>
        <v>Q1</v>
      </c>
      <c r="F716" t="s">
        <v>716</v>
      </c>
      <c r="G716">
        <v>0</v>
      </c>
      <c r="H716" t="str">
        <f t="shared" si="23"/>
        <v>January-2026</v>
      </c>
    </row>
    <row r="717" spans="1:8">
      <c r="A717" t="s">
        <v>103</v>
      </c>
      <c r="B717" t="s">
        <v>205</v>
      </c>
      <c r="C717" t="s">
        <v>206</v>
      </c>
      <c r="D717">
        <v>2026</v>
      </c>
      <c r="E717" t="str">
        <f t="shared" si="22"/>
        <v>Q1</v>
      </c>
      <c r="F717" t="s">
        <v>717</v>
      </c>
      <c r="G717">
        <v>0</v>
      </c>
      <c r="H717" t="str">
        <f t="shared" si="23"/>
        <v>February-2026</v>
      </c>
    </row>
    <row r="718" spans="1:8">
      <c r="A718" t="s">
        <v>103</v>
      </c>
      <c r="B718" t="s">
        <v>205</v>
      </c>
      <c r="C718" t="s">
        <v>206</v>
      </c>
      <c r="D718">
        <v>2026</v>
      </c>
      <c r="E718" t="str">
        <f t="shared" si="22"/>
        <v>Q1</v>
      </c>
      <c r="F718" t="s">
        <v>718</v>
      </c>
      <c r="G718">
        <v>0</v>
      </c>
      <c r="H718" t="str">
        <f t="shared" si="23"/>
        <v>March-2026</v>
      </c>
    </row>
    <row r="719" spans="1:8">
      <c r="A719" t="s">
        <v>103</v>
      </c>
      <c r="B719" t="s">
        <v>205</v>
      </c>
      <c r="C719" t="s">
        <v>206</v>
      </c>
      <c r="D719">
        <v>2026</v>
      </c>
      <c r="E719" t="str">
        <f t="shared" si="22"/>
        <v>Q2</v>
      </c>
      <c r="F719" t="s">
        <v>719</v>
      </c>
      <c r="G719">
        <v>0</v>
      </c>
      <c r="H719" t="str">
        <f t="shared" si="23"/>
        <v>April-2026</v>
      </c>
    </row>
    <row r="720" spans="1:8">
      <c r="A720" t="s">
        <v>103</v>
      </c>
      <c r="B720" t="s">
        <v>205</v>
      </c>
      <c r="C720" t="s">
        <v>206</v>
      </c>
      <c r="D720">
        <v>2026</v>
      </c>
      <c r="E720" t="str">
        <f t="shared" si="22"/>
        <v>Q2</v>
      </c>
      <c r="F720" t="s">
        <v>720</v>
      </c>
      <c r="G720">
        <v>0</v>
      </c>
      <c r="H720" t="str">
        <f t="shared" si="23"/>
        <v>May-2026</v>
      </c>
    </row>
    <row r="721" spans="1:8">
      <c r="A721" t="s">
        <v>103</v>
      </c>
      <c r="B721" t="s">
        <v>205</v>
      </c>
      <c r="C721" t="s">
        <v>206</v>
      </c>
      <c r="D721">
        <v>2026</v>
      </c>
      <c r="E721" t="str">
        <f t="shared" si="22"/>
        <v>Q2</v>
      </c>
      <c r="F721" t="s">
        <v>721</v>
      </c>
      <c r="G721">
        <v>0</v>
      </c>
      <c r="H721" t="str">
        <f t="shared" si="23"/>
        <v>June-2026</v>
      </c>
    </row>
    <row r="722" spans="1:8">
      <c r="A722" t="s">
        <v>103</v>
      </c>
      <c r="B722" t="s">
        <v>205</v>
      </c>
      <c r="C722" t="s">
        <v>121</v>
      </c>
      <c r="D722">
        <v>2025</v>
      </c>
      <c r="E722" t="str">
        <f t="shared" si="22"/>
        <v>Q3</v>
      </c>
      <c r="F722" t="s">
        <v>710</v>
      </c>
      <c r="G722">
        <v>0</v>
      </c>
      <c r="H722" t="str">
        <f t="shared" si="23"/>
        <v>July-2025</v>
      </c>
    </row>
    <row r="723" spans="1:8">
      <c r="A723" t="s">
        <v>103</v>
      </c>
      <c r="B723" t="s">
        <v>205</v>
      </c>
      <c r="C723" t="s">
        <v>121</v>
      </c>
      <c r="D723">
        <v>2025</v>
      </c>
      <c r="E723" t="str">
        <f t="shared" si="22"/>
        <v>Q3</v>
      </c>
      <c r="F723" t="s">
        <v>711</v>
      </c>
      <c r="G723">
        <v>0</v>
      </c>
      <c r="H723" t="str">
        <f t="shared" si="23"/>
        <v>August-2025</v>
      </c>
    </row>
    <row r="724" spans="1:8">
      <c r="A724" t="s">
        <v>103</v>
      </c>
      <c r="B724" t="s">
        <v>205</v>
      </c>
      <c r="C724" t="s">
        <v>121</v>
      </c>
      <c r="D724">
        <v>2025</v>
      </c>
      <c r="E724" t="str">
        <f t="shared" si="22"/>
        <v>Q3</v>
      </c>
      <c r="F724" t="s">
        <v>712</v>
      </c>
      <c r="G724">
        <v>0</v>
      </c>
      <c r="H724" t="str">
        <f t="shared" si="23"/>
        <v>September-2025</v>
      </c>
    </row>
    <row r="725" spans="1:8">
      <c r="A725" t="s">
        <v>103</v>
      </c>
      <c r="B725" t="s">
        <v>205</v>
      </c>
      <c r="C725" t="s">
        <v>121</v>
      </c>
      <c r="D725">
        <v>2025</v>
      </c>
      <c r="E725" t="str">
        <f t="shared" si="22"/>
        <v>Q4</v>
      </c>
      <c r="F725" t="s">
        <v>713</v>
      </c>
      <c r="G725">
        <v>0</v>
      </c>
      <c r="H725" t="str">
        <f t="shared" si="23"/>
        <v>October-2025</v>
      </c>
    </row>
    <row r="726" spans="1:8">
      <c r="A726" t="s">
        <v>103</v>
      </c>
      <c r="B726" t="s">
        <v>205</v>
      </c>
      <c r="C726" t="s">
        <v>121</v>
      </c>
      <c r="D726">
        <v>2025</v>
      </c>
      <c r="E726" t="str">
        <f t="shared" si="22"/>
        <v>Q4</v>
      </c>
      <c r="F726" t="s">
        <v>714</v>
      </c>
      <c r="G726">
        <v>0</v>
      </c>
      <c r="H726" t="str">
        <f t="shared" si="23"/>
        <v>November-2025</v>
      </c>
    </row>
    <row r="727" spans="1:8">
      <c r="A727" t="s">
        <v>103</v>
      </c>
      <c r="B727" t="s">
        <v>205</v>
      </c>
      <c r="C727" t="s">
        <v>121</v>
      </c>
      <c r="D727">
        <v>2025</v>
      </c>
      <c r="E727" t="str">
        <f t="shared" si="22"/>
        <v>Q4</v>
      </c>
      <c r="F727" t="s">
        <v>715</v>
      </c>
      <c r="G727">
        <v>0</v>
      </c>
      <c r="H727" t="str">
        <f t="shared" si="23"/>
        <v>December-2025</v>
      </c>
    </row>
    <row r="728" spans="1:8">
      <c r="A728" t="s">
        <v>103</v>
      </c>
      <c r="B728" t="s">
        <v>205</v>
      </c>
      <c r="C728" t="s">
        <v>121</v>
      </c>
      <c r="D728">
        <v>2026</v>
      </c>
      <c r="E728" t="str">
        <f t="shared" si="22"/>
        <v>Q1</v>
      </c>
      <c r="F728" t="s">
        <v>716</v>
      </c>
      <c r="G728">
        <v>0</v>
      </c>
      <c r="H728" t="str">
        <f t="shared" si="23"/>
        <v>January-2026</v>
      </c>
    </row>
    <row r="729" spans="1:8">
      <c r="A729" t="s">
        <v>103</v>
      </c>
      <c r="B729" t="s">
        <v>205</v>
      </c>
      <c r="C729" t="s">
        <v>121</v>
      </c>
      <c r="D729">
        <v>2026</v>
      </c>
      <c r="E729" t="str">
        <f t="shared" si="22"/>
        <v>Q1</v>
      </c>
      <c r="F729" t="s">
        <v>717</v>
      </c>
      <c r="G729">
        <v>0</v>
      </c>
      <c r="H729" t="str">
        <f t="shared" si="23"/>
        <v>February-2026</v>
      </c>
    </row>
    <row r="730" spans="1:8">
      <c r="A730" t="s">
        <v>103</v>
      </c>
      <c r="B730" t="s">
        <v>205</v>
      </c>
      <c r="C730" t="s">
        <v>121</v>
      </c>
      <c r="D730">
        <v>2026</v>
      </c>
      <c r="E730" t="str">
        <f t="shared" si="22"/>
        <v>Q1</v>
      </c>
      <c r="F730" t="s">
        <v>718</v>
      </c>
      <c r="G730">
        <v>0</v>
      </c>
      <c r="H730" t="str">
        <f t="shared" si="23"/>
        <v>March-2026</v>
      </c>
    </row>
    <row r="731" spans="1:8">
      <c r="A731" t="s">
        <v>103</v>
      </c>
      <c r="B731" t="s">
        <v>205</v>
      </c>
      <c r="C731" t="s">
        <v>121</v>
      </c>
      <c r="D731">
        <v>2026</v>
      </c>
      <c r="E731" t="str">
        <f t="shared" si="22"/>
        <v>Q2</v>
      </c>
      <c r="F731" t="s">
        <v>719</v>
      </c>
      <c r="G731">
        <v>0</v>
      </c>
      <c r="H731" t="str">
        <f t="shared" si="23"/>
        <v>April-2026</v>
      </c>
    </row>
    <row r="732" spans="1:8">
      <c r="A732" t="s">
        <v>103</v>
      </c>
      <c r="B732" t="s">
        <v>205</v>
      </c>
      <c r="C732" t="s">
        <v>121</v>
      </c>
      <c r="D732">
        <v>2026</v>
      </c>
      <c r="E732" t="str">
        <f t="shared" si="22"/>
        <v>Q2</v>
      </c>
      <c r="F732" t="s">
        <v>720</v>
      </c>
      <c r="G732">
        <v>0</v>
      </c>
      <c r="H732" t="str">
        <f t="shared" si="23"/>
        <v>May-2026</v>
      </c>
    </row>
    <row r="733" spans="1:8">
      <c r="A733" t="s">
        <v>103</v>
      </c>
      <c r="B733" t="s">
        <v>205</v>
      </c>
      <c r="C733" t="s">
        <v>121</v>
      </c>
      <c r="D733">
        <v>2026</v>
      </c>
      <c r="E733" t="str">
        <f t="shared" si="22"/>
        <v>Q2</v>
      </c>
      <c r="F733" t="s">
        <v>721</v>
      </c>
      <c r="G733">
        <v>0</v>
      </c>
      <c r="H733" t="str">
        <f t="shared" si="23"/>
        <v>June-2026</v>
      </c>
    </row>
    <row r="734" spans="1:8">
      <c r="A734" t="s">
        <v>103</v>
      </c>
      <c r="B734" t="s">
        <v>205</v>
      </c>
      <c r="C734" t="s">
        <v>248</v>
      </c>
      <c r="D734">
        <v>2025</v>
      </c>
      <c r="E734" t="str">
        <f t="shared" si="22"/>
        <v>Q3</v>
      </c>
      <c r="F734" t="s">
        <v>710</v>
      </c>
      <c r="G734">
        <v>0</v>
      </c>
      <c r="H734" t="str">
        <f t="shared" si="23"/>
        <v>July-2025</v>
      </c>
    </row>
    <row r="735" spans="1:8">
      <c r="A735" t="s">
        <v>103</v>
      </c>
      <c r="B735" t="s">
        <v>205</v>
      </c>
      <c r="C735" t="s">
        <v>248</v>
      </c>
      <c r="D735">
        <v>2025</v>
      </c>
      <c r="E735" t="str">
        <f t="shared" si="22"/>
        <v>Q3</v>
      </c>
      <c r="F735" t="s">
        <v>711</v>
      </c>
      <c r="G735">
        <v>0</v>
      </c>
      <c r="H735" t="str">
        <f t="shared" si="23"/>
        <v>August-2025</v>
      </c>
    </row>
    <row r="736" spans="1:8">
      <c r="A736" t="s">
        <v>103</v>
      </c>
      <c r="B736" t="s">
        <v>205</v>
      </c>
      <c r="C736" t="s">
        <v>248</v>
      </c>
      <c r="D736">
        <v>2025</v>
      </c>
      <c r="E736" t="str">
        <f t="shared" si="22"/>
        <v>Q3</v>
      </c>
      <c r="F736" t="s">
        <v>712</v>
      </c>
      <c r="G736">
        <v>0</v>
      </c>
      <c r="H736" t="str">
        <f t="shared" si="23"/>
        <v>September-2025</v>
      </c>
    </row>
    <row r="737" spans="1:8">
      <c r="A737" t="s">
        <v>103</v>
      </c>
      <c r="B737" t="s">
        <v>205</v>
      </c>
      <c r="C737" t="s">
        <v>248</v>
      </c>
      <c r="D737">
        <v>2025</v>
      </c>
      <c r="E737" t="str">
        <f t="shared" si="22"/>
        <v>Q4</v>
      </c>
      <c r="F737" t="s">
        <v>713</v>
      </c>
      <c r="G737">
        <v>0</v>
      </c>
      <c r="H737" t="str">
        <f t="shared" si="23"/>
        <v>October-2025</v>
      </c>
    </row>
    <row r="738" spans="1:8">
      <c r="A738" t="s">
        <v>103</v>
      </c>
      <c r="B738" t="s">
        <v>205</v>
      </c>
      <c r="C738" t="s">
        <v>248</v>
      </c>
      <c r="D738">
        <v>2025</v>
      </c>
      <c r="E738" t="str">
        <f t="shared" si="22"/>
        <v>Q4</v>
      </c>
      <c r="F738" t="s">
        <v>714</v>
      </c>
      <c r="G738">
        <v>0</v>
      </c>
      <c r="H738" t="str">
        <f t="shared" si="23"/>
        <v>November-2025</v>
      </c>
    </row>
    <row r="739" spans="1:8">
      <c r="A739" t="s">
        <v>103</v>
      </c>
      <c r="B739" t="s">
        <v>205</v>
      </c>
      <c r="C739" t="s">
        <v>248</v>
      </c>
      <c r="D739">
        <v>2025</v>
      </c>
      <c r="E739" t="str">
        <f t="shared" si="22"/>
        <v>Q4</v>
      </c>
      <c r="F739" t="s">
        <v>715</v>
      </c>
      <c r="G739">
        <v>0</v>
      </c>
      <c r="H739" t="str">
        <f t="shared" si="23"/>
        <v>December-2025</v>
      </c>
    </row>
    <row r="740" spans="1:8">
      <c r="A740" t="s">
        <v>103</v>
      </c>
      <c r="B740" t="s">
        <v>205</v>
      </c>
      <c r="C740" t="s">
        <v>248</v>
      </c>
      <c r="D740">
        <v>2026</v>
      </c>
      <c r="E740" t="str">
        <f t="shared" si="22"/>
        <v>Q1</v>
      </c>
      <c r="F740" t="s">
        <v>716</v>
      </c>
      <c r="G740">
        <v>0</v>
      </c>
      <c r="H740" t="str">
        <f t="shared" si="23"/>
        <v>January-2026</v>
      </c>
    </row>
    <row r="741" spans="1:8">
      <c r="A741" t="s">
        <v>103</v>
      </c>
      <c r="B741" t="s">
        <v>205</v>
      </c>
      <c r="C741" t="s">
        <v>248</v>
      </c>
      <c r="D741">
        <v>2026</v>
      </c>
      <c r="E741" t="str">
        <f t="shared" si="22"/>
        <v>Q1</v>
      </c>
      <c r="F741" t="s">
        <v>717</v>
      </c>
      <c r="G741">
        <v>0</v>
      </c>
      <c r="H741" t="str">
        <f t="shared" si="23"/>
        <v>February-2026</v>
      </c>
    </row>
    <row r="742" spans="1:8">
      <c r="A742" t="s">
        <v>103</v>
      </c>
      <c r="B742" t="s">
        <v>205</v>
      </c>
      <c r="C742" t="s">
        <v>248</v>
      </c>
      <c r="D742">
        <v>2026</v>
      </c>
      <c r="E742" t="str">
        <f t="shared" si="22"/>
        <v>Q1</v>
      </c>
      <c r="F742" t="s">
        <v>718</v>
      </c>
      <c r="G742">
        <v>0</v>
      </c>
      <c r="H742" t="str">
        <f t="shared" si="23"/>
        <v>March-2026</v>
      </c>
    </row>
    <row r="743" spans="1:8">
      <c r="A743" t="s">
        <v>103</v>
      </c>
      <c r="B743" t="s">
        <v>205</v>
      </c>
      <c r="C743" t="s">
        <v>248</v>
      </c>
      <c r="D743">
        <v>2026</v>
      </c>
      <c r="E743" t="str">
        <f t="shared" si="22"/>
        <v>Q2</v>
      </c>
      <c r="F743" t="s">
        <v>719</v>
      </c>
      <c r="G743">
        <v>0</v>
      </c>
      <c r="H743" t="str">
        <f t="shared" si="23"/>
        <v>April-2026</v>
      </c>
    </row>
    <row r="744" spans="1:8">
      <c r="A744" t="s">
        <v>103</v>
      </c>
      <c r="B744" t="s">
        <v>205</v>
      </c>
      <c r="C744" t="s">
        <v>248</v>
      </c>
      <c r="D744">
        <v>2026</v>
      </c>
      <c r="E744" t="str">
        <f t="shared" si="22"/>
        <v>Q2</v>
      </c>
      <c r="F744" t="s">
        <v>720</v>
      </c>
      <c r="G744">
        <v>0</v>
      </c>
      <c r="H744" t="str">
        <f t="shared" si="23"/>
        <v>May-2026</v>
      </c>
    </row>
    <row r="745" spans="1:8">
      <c r="A745" t="s">
        <v>103</v>
      </c>
      <c r="B745" t="s">
        <v>205</v>
      </c>
      <c r="C745" t="s">
        <v>248</v>
      </c>
      <c r="D745">
        <v>2026</v>
      </c>
      <c r="E745" t="str">
        <f t="shared" si="22"/>
        <v>Q2</v>
      </c>
      <c r="F745" t="s">
        <v>721</v>
      </c>
      <c r="G745">
        <v>0</v>
      </c>
      <c r="H745" t="str">
        <f t="shared" si="23"/>
        <v>June-2026</v>
      </c>
    </row>
    <row r="746" spans="1:8">
      <c r="A746" t="s">
        <v>103</v>
      </c>
      <c r="B746" t="s">
        <v>130</v>
      </c>
      <c r="C746" t="s">
        <v>206</v>
      </c>
      <c r="D746">
        <v>2025</v>
      </c>
      <c r="E746" t="str">
        <f t="shared" si="22"/>
        <v>Q3</v>
      </c>
      <c r="F746" t="s">
        <v>710</v>
      </c>
      <c r="G746">
        <v>1</v>
      </c>
      <c r="H746" t="str">
        <f t="shared" si="23"/>
        <v>July-2025</v>
      </c>
    </row>
    <row r="747" spans="1:8">
      <c r="A747" t="s">
        <v>103</v>
      </c>
      <c r="B747" t="s">
        <v>130</v>
      </c>
      <c r="C747" t="s">
        <v>206</v>
      </c>
      <c r="D747">
        <v>2025</v>
      </c>
      <c r="E747" t="str">
        <f t="shared" si="22"/>
        <v>Q3</v>
      </c>
      <c r="F747" t="s">
        <v>711</v>
      </c>
      <c r="G747">
        <v>0</v>
      </c>
      <c r="H747" t="str">
        <f t="shared" si="23"/>
        <v>August-2025</v>
      </c>
    </row>
    <row r="748" spans="1:8">
      <c r="A748" t="s">
        <v>103</v>
      </c>
      <c r="B748" t="s">
        <v>130</v>
      </c>
      <c r="C748" t="s">
        <v>206</v>
      </c>
      <c r="D748">
        <v>2025</v>
      </c>
      <c r="E748" t="str">
        <f t="shared" si="22"/>
        <v>Q3</v>
      </c>
      <c r="F748" t="s">
        <v>712</v>
      </c>
      <c r="G748">
        <v>0</v>
      </c>
      <c r="H748" t="str">
        <f t="shared" si="23"/>
        <v>September-2025</v>
      </c>
    </row>
    <row r="749" spans="1:8">
      <c r="A749" t="s">
        <v>103</v>
      </c>
      <c r="B749" t="s">
        <v>130</v>
      </c>
      <c r="C749" t="s">
        <v>206</v>
      </c>
      <c r="D749">
        <v>2025</v>
      </c>
      <c r="E749" t="str">
        <f t="shared" si="22"/>
        <v>Q4</v>
      </c>
      <c r="F749" t="s">
        <v>713</v>
      </c>
      <c r="G749">
        <v>0</v>
      </c>
      <c r="H749" t="str">
        <f t="shared" si="23"/>
        <v>October-2025</v>
      </c>
    </row>
    <row r="750" spans="1:8">
      <c r="A750" t="s">
        <v>103</v>
      </c>
      <c r="B750" t="s">
        <v>130</v>
      </c>
      <c r="C750" t="s">
        <v>206</v>
      </c>
      <c r="D750">
        <v>2025</v>
      </c>
      <c r="E750" t="str">
        <f t="shared" si="22"/>
        <v>Q4</v>
      </c>
      <c r="F750" t="s">
        <v>714</v>
      </c>
      <c r="G750">
        <v>0</v>
      </c>
      <c r="H750" t="str">
        <f t="shared" si="23"/>
        <v>November-2025</v>
      </c>
    </row>
    <row r="751" spans="1:8">
      <c r="A751" t="s">
        <v>103</v>
      </c>
      <c r="B751" t="s">
        <v>130</v>
      </c>
      <c r="C751" t="s">
        <v>206</v>
      </c>
      <c r="D751">
        <v>2025</v>
      </c>
      <c r="E751" t="str">
        <f t="shared" si="22"/>
        <v>Q4</v>
      </c>
      <c r="F751" t="s">
        <v>715</v>
      </c>
      <c r="G751">
        <v>0</v>
      </c>
      <c r="H751" t="str">
        <f t="shared" si="23"/>
        <v>December-2025</v>
      </c>
    </row>
    <row r="752" spans="1:8">
      <c r="A752" t="s">
        <v>103</v>
      </c>
      <c r="B752" t="s">
        <v>130</v>
      </c>
      <c r="C752" t="s">
        <v>206</v>
      </c>
      <c r="D752">
        <v>2026</v>
      </c>
      <c r="E752" t="str">
        <f t="shared" si="22"/>
        <v>Q1</v>
      </c>
      <c r="F752" t="s">
        <v>716</v>
      </c>
      <c r="G752">
        <v>0</v>
      </c>
      <c r="H752" t="str">
        <f t="shared" si="23"/>
        <v>January-2026</v>
      </c>
    </row>
    <row r="753" spans="1:8">
      <c r="A753" t="s">
        <v>103</v>
      </c>
      <c r="B753" t="s">
        <v>130</v>
      </c>
      <c r="C753" t="s">
        <v>206</v>
      </c>
      <c r="D753">
        <v>2026</v>
      </c>
      <c r="E753" t="str">
        <f t="shared" si="22"/>
        <v>Q1</v>
      </c>
      <c r="F753" t="s">
        <v>717</v>
      </c>
      <c r="G753">
        <v>0</v>
      </c>
      <c r="H753" t="str">
        <f t="shared" si="23"/>
        <v>February-2026</v>
      </c>
    </row>
    <row r="754" spans="1:8">
      <c r="A754" t="s">
        <v>103</v>
      </c>
      <c r="B754" t="s">
        <v>130</v>
      </c>
      <c r="C754" t="s">
        <v>206</v>
      </c>
      <c r="D754">
        <v>2026</v>
      </c>
      <c r="E754" t="str">
        <f t="shared" si="22"/>
        <v>Q1</v>
      </c>
      <c r="F754" t="s">
        <v>718</v>
      </c>
      <c r="G754">
        <v>0</v>
      </c>
      <c r="H754" t="str">
        <f t="shared" si="23"/>
        <v>March-2026</v>
      </c>
    </row>
    <row r="755" spans="1:8">
      <c r="A755" t="s">
        <v>103</v>
      </c>
      <c r="B755" t="s">
        <v>130</v>
      </c>
      <c r="C755" t="s">
        <v>206</v>
      </c>
      <c r="D755">
        <v>2026</v>
      </c>
      <c r="E755" t="str">
        <f t="shared" si="22"/>
        <v>Q2</v>
      </c>
      <c r="F755" t="s">
        <v>719</v>
      </c>
      <c r="G755">
        <v>0</v>
      </c>
      <c r="H755" t="str">
        <f t="shared" si="23"/>
        <v>April-2026</v>
      </c>
    </row>
    <row r="756" spans="1:8">
      <c r="A756" t="s">
        <v>103</v>
      </c>
      <c r="B756" t="s">
        <v>130</v>
      </c>
      <c r="C756" t="s">
        <v>206</v>
      </c>
      <c r="D756">
        <v>2026</v>
      </c>
      <c r="E756" t="str">
        <f t="shared" si="22"/>
        <v>Q2</v>
      </c>
      <c r="F756" t="s">
        <v>720</v>
      </c>
      <c r="G756">
        <v>0</v>
      </c>
      <c r="H756" t="str">
        <f t="shared" si="23"/>
        <v>May-2026</v>
      </c>
    </row>
    <row r="757" spans="1:8">
      <c r="A757" t="s">
        <v>103</v>
      </c>
      <c r="B757" t="s">
        <v>130</v>
      </c>
      <c r="C757" t="s">
        <v>206</v>
      </c>
      <c r="D757">
        <v>2026</v>
      </c>
      <c r="E757" t="str">
        <f t="shared" si="22"/>
        <v>Q2</v>
      </c>
      <c r="F757" t="s">
        <v>721</v>
      </c>
      <c r="G757">
        <v>0</v>
      </c>
      <c r="H757" t="str">
        <f t="shared" si="23"/>
        <v>June-2026</v>
      </c>
    </row>
    <row r="758" spans="1:8">
      <c r="A758" t="s">
        <v>103</v>
      </c>
      <c r="B758" t="s">
        <v>130</v>
      </c>
      <c r="C758" t="s">
        <v>121</v>
      </c>
      <c r="D758">
        <v>2025</v>
      </c>
      <c r="E758" t="str">
        <f t="shared" si="22"/>
        <v>Q3</v>
      </c>
      <c r="F758" t="s">
        <v>710</v>
      </c>
      <c r="G758">
        <v>1</v>
      </c>
      <c r="H758" t="str">
        <f t="shared" si="23"/>
        <v>July-2025</v>
      </c>
    </row>
    <row r="759" spans="1:8">
      <c r="A759" t="s">
        <v>103</v>
      </c>
      <c r="B759" t="s">
        <v>130</v>
      </c>
      <c r="C759" t="s">
        <v>121</v>
      </c>
      <c r="D759">
        <v>2025</v>
      </c>
      <c r="E759" t="str">
        <f t="shared" si="22"/>
        <v>Q3</v>
      </c>
      <c r="F759" t="s">
        <v>711</v>
      </c>
      <c r="G759">
        <v>1</v>
      </c>
      <c r="H759" t="str">
        <f t="shared" si="23"/>
        <v>August-2025</v>
      </c>
    </row>
    <row r="760" spans="1:8">
      <c r="A760" t="s">
        <v>103</v>
      </c>
      <c r="B760" t="s">
        <v>130</v>
      </c>
      <c r="C760" t="s">
        <v>121</v>
      </c>
      <c r="D760">
        <v>2025</v>
      </c>
      <c r="E760" t="str">
        <f t="shared" si="22"/>
        <v>Q3</v>
      </c>
      <c r="F760" t="s">
        <v>712</v>
      </c>
      <c r="G760">
        <v>1</v>
      </c>
      <c r="H760" t="str">
        <f t="shared" si="23"/>
        <v>September-2025</v>
      </c>
    </row>
    <row r="761" spans="1:8">
      <c r="A761" t="s">
        <v>103</v>
      </c>
      <c r="B761" t="s">
        <v>130</v>
      </c>
      <c r="C761" t="s">
        <v>121</v>
      </c>
      <c r="D761">
        <v>2025</v>
      </c>
      <c r="E761" t="str">
        <f t="shared" si="22"/>
        <v>Q4</v>
      </c>
      <c r="F761" t="s">
        <v>713</v>
      </c>
      <c r="G761">
        <v>1</v>
      </c>
      <c r="H761" t="str">
        <f t="shared" si="23"/>
        <v>October-2025</v>
      </c>
    </row>
    <row r="762" spans="1:8">
      <c r="A762" t="s">
        <v>103</v>
      </c>
      <c r="B762" t="s">
        <v>130</v>
      </c>
      <c r="C762" t="s">
        <v>121</v>
      </c>
      <c r="D762">
        <v>2025</v>
      </c>
      <c r="E762" t="str">
        <f t="shared" si="22"/>
        <v>Q4</v>
      </c>
      <c r="F762" t="s">
        <v>714</v>
      </c>
      <c r="G762">
        <v>1</v>
      </c>
      <c r="H762" t="str">
        <f t="shared" si="23"/>
        <v>November-2025</v>
      </c>
    </row>
    <row r="763" spans="1:8">
      <c r="A763" t="s">
        <v>103</v>
      </c>
      <c r="B763" t="s">
        <v>130</v>
      </c>
      <c r="C763" t="s">
        <v>121</v>
      </c>
      <c r="D763">
        <v>2025</v>
      </c>
      <c r="E763" t="str">
        <f t="shared" si="22"/>
        <v>Q4</v>
      </c>
      <c r="F763" t="s">
        <v>715</v>
      </c>
      <c r="G763">
        <v>0</v>
      </c>
      <c r="H763" t="str">
        <f t="shared" si="23"/>
        <v>December-2025</v>
      </c>
    </row>
    <row r="764" spans="1:8">
      <c r="A764" t="s">
        <v>103</v>
      </c>
      <c r="B764" t="s">
        <v>130</v>
      </c>
      <c r="C764" t="s">
        <v>121</v>
      </c>
      <c r="D764">
        <v>2026</v>
      </c>
      <c r="E764" t="str">
        <f t="shared" si="22"/>
        <v>Q1</v>
      </c>
      <c r="F764" t="s">
        <v>716</v>
      </c>
      <c r="G764">
        <v>0</v>
      </c>
      <c r="H764" t="str">
        <f t="shared" si="23"/>
        <v>January-2026</v>
      </c>
    </row>
    <row r="765" spans="1:8">
      <c r="A765" t="s">
        <v>103</v>
      </c>
      <c r="B765" t="s">
        <v>130</v>
      </c>
      <c r="C765" t="s">
        <v>121</v>
      </c>
      <c r="D765">
        <v>2026</v>
      </c>
      <c r="E765" t="str">
        <f t="shared" si="22"/>
        <v>Q1</v>
      </c>
      <c r="F765" t="s">
        <v>717</v>
      </c>
      <c r="G765">
        <v>0</v>
      </c>
      <c r="H765" t="str">
        <f t="shared" si="23"/>
        <v>February-2026</v>
      </c>
    </row>
    <row r="766" spans="1:8">
      <c r="A766" t="s">
        <v>103</v>
      </c>
      <c r="B766" t="s">
        <v>130</v>
      </c>
      <c r="C766" t="s">
        <v>121</v>
      </c>
      <c r="D766">
        <v>2026</v>
      </c>
      <c r="E766" t="str">
        <f t="shared" si="22"/>
        <v>Q1</v>
      </c>
      <c r="F766" t="s">
        <v>718</v>
      </c>
      <c r="G766">
        <v>0</v>
      </c>
      <c r="H766" t="str">
        <f t="shared" si="23"/>
        <v>March-2026</v>
      </c>
    </row>
    <row r="767" spans="1:8">
      <c r="A767" t="s">
        <v>103</v>
      </c>
      <c r="B767" t="s">
        <v>130</v>
      </c>
      <c r="C767" t="s">
        <v>121</v>
      </c>
      <c r="D767">
        <v>2026</v>
      </c>
      <c r="E767" t="str">
        <f t="shared" si="22"/>
        <v>Q2</v>
      </c>
      <c r="F767" t="s">
        <v>719</v>
      </c>
      <c r="G767">
        <v>0</v>
      </c>
      <c r="H767" t="str">
        <f t="shared" si="23"/>
        <v>April-2026</v>
      </c>
    </row>
    <row r="768" spans="1:8">
      <c r="A768" t="s">
        <v>103</v>
      </c>
      <c r="B768" t="s">
        <v>130</v>
      </c>
      <c r="C768" t="s">
        <v>121</v>
      </c>
      <c r="D768">
        <v>2026</v>
      </c>
      <c r="E768" t="str">
        <f t="shared" si="22"/>
        <v>Q2</v>
      </c>
      <c r="F768" t="s">
        <v>720</v>
      </c>
      <c r="G768">
        <v>0</v>
      </c>
      <c r="H768" t="str">
        <f t="shared" si="23"/>
        <v>May-2026</v>
      </c>
    </row>
    <row r="769" spans="1:8">
      <c r="A769" t="s">
        <v>103</v>
      </c>
      <c r="B769" t="s">
        <v>130</v>
      </c>
      <c r="C769" t="s">
        <v>121</v>
      </c>
      <c r="D769">
        <v>2026</v>
      </c>
      <c r="E769" t="str">
        <f t="shared" si="22"/>
        <v>Q2</v>
      </c>
      <c r="F769" t="s">
        <v>721</v>
      </c>
      <c r="G769">
        <v>0</v>
      </c>
      <c r="H769" t="str">
        <f t="shared" si="23"/>
        <v>June-2026</v>
      </c>
    </row>
    <row r="770" spans="1:8">
      <c r="A770" t="s">
        <v>103</v>
      </c>
      <c r="B770" t="s">
        <v>130</v>
      </c>
      <c r="C770" t="s">
        <v>248</v>
      </c>
      <c r="D770">
        <v>2025</v>
      </c>
      <c r="E770" t="str">
        <f t="shared" si="22"/>
        <v>Q3</v>
      </c>
      <c r="F770" t="s">
        <v>710</v>
      </c>
      <c r="G770">
        <v>1</v>
      </c>
      <c r="H770" t="str">
        <f t="shared" si="23"/>
        <v>July-2025</v>
      </c>
    </row>
    <row r="771" spans="1:8">
      <c r="A771" t="s">
        <v>103</v>
      </c>
      <c r="B771" t="s">
        <v>130</v>
      </c>
      <c r="C771" t="s">
        <v>248</v>
      </c>
      <c r="D771">
        <v>2025</v>
      </c>
      <c r="E771" t="str">
        <f t="shared" ref="E771:E834" si="24">"Q"&amp;ROUNDUP(MONTH(DATEVALUE(F771&amp;" 1"))/3,0)</f>
        <v>Q3</v>
      </c>
      <c r="F771" t="s">
        <v>711</v>
      </c>
      <c r="G771">
        <v>1</v>
      </c>
      <c r="H771" t="str">
        <f t="shared" ref="H771:H834" si="25">_xlfn.CONCAT(F771,"-",D771)</f>
        <v>August-2025</v>
      </c>
    </row>
    <row r="772" spans="1:8">
      <c r="A772" t="s">
        <v>103</v>
      </c>
      <c r="B772" t="s">
        <v>130</v>
      </c>
      <c r="C772" t="s">
        <v>248</v>
      </c>
      <c r="D772">
        <v>2025</v>
      </c>
      <c r="E772" t="str">
        <f t="shared" si="24"/>
        <v>Q3</v>
      </c>
      <c r="F772" t="s">
        <v>712</v>
      </c>
      <c r="G772">
        <v>1</v>
      </c>
      <c r="H772" t="str">
        <f t="shared" si="25"/>
        <v>September-2025</v>
      </c>
    </row>
    <row r="773" spans="1:8">
      <c r="A773" t="s">
        <v>103</v>
      </c>
      <c r="B773" t="s">
        <v>130</v>
      </c>
      <c r="C773" t="s">
        <v>248</v>
      </c>
      <c r="D773">
        <v>2025</v>
      </c>
      <c r="E773" t="str">
        <f t="shared" si="24"/>
        <v>Q4</v>
      </c>
      <c r="F773" t="s">
        <v>713</v>
      </c>
      <c r="G773">
        <v>1</v>
      </c>
      <c r="H773" t="str">
        <f t="shared" si="25"/>
        <v>October-2025</v>
      </c>
    </row>
    <row r="774" spans="1:8">
      <c r="A774" t="s">
        <v>103</v>
      </c>
      <c r="B774" t="s">
        <v>130</v>
      </c>
      <c r="C774" t="s">
        <v>248</v>
      </c>
      <c r="D774">
        <v>2025</v>
      </c>
      <c r="E774" t="str">
        <f t="shared" si="24"/>
        <v>Q4</v>
      </c>
      <c r="F774" t="s">
        <v>714</v>
      </c>
      <c r="G774">
        <v>0</v>
      </c>
      <c r="H774" t="str">
        <f t="shared" si="25"/>
        <v>November-2025</v>
      </c>
    </row>
    <row r="775" spans="1:8">
      <c r="A775" t="s">
        <v>103</v>
      </c>
      <c r="B775" t="s">
        <v>130</v>
      </c>
      <c r="C775" t="s">
        <v>248</v>
      </c>
      <c r="D775">
        <v>2025</v>
      </c>
      <c r="E775" t="str">
        <f t="shared" si="24"/>
        <v>Q4</v>
      </c>
      <c r="F775" t="s">
        <v>715</v>
      </c>
      <c r="G775">
        <v>0</v>
      </c>
      <c r="H775" t="str">
        <f t="shared" si="25"/>
        <v>December-2025</v>
      </c>
    </row>
    <row r="776" spans="1:8">
      <c r="A776" t="s">
        <v>103</v>
      </c>
      <c r="B776" t="s">
        <v>130</v>
      </c>
      <c r="C776" t="s">
        <v>248</v>
      </c>
      <c r="D776">
        <v>2026</v>
      </c>
      <c r="E776" t="str">
        <f t="shared" si="24"/>
        <v>Q1</v>
      </c>
      <c r="F776" t="s">
        <v>716</v>
      </c>
      <c r="G776">
        <v>0</v>
      </c>
      <c r="H776" t="str">
        <f t="shared" si="25"/>
        <v>January-2026</v>
      </c>
    </row>
    <row r="777" spans="1:8">
      <c r="A777" t="s">
        <v>103</v>
      </c>
      <c r="B777" t="s">
        <v>130</v>
      </c>
      <c r="C777" t="s">
        <v>248</v>
      </c>
      <c r="D777">
        <v>2026</v>
      </c>
      <c r="E777" t="str">
        <f t="shared" si="24"/>
        <v>Q1</v>
      </c>
      <c r="F777" t="s">
        <v>717</v>
      </c>
      <c r="G777">
        <v>0</v>
      </c>
      <c r="H777" t="str">
        <f t="shared" si="25"/>
        <v>February-2026</v>
      </c>
    </row>
    <row r="778" spans="1:8">
      <c r="A778" t="s">
        <v>103</v>
      </c>
      <c r="B778" t="s">
        <v>130</v>
      </c>
      <c r="C778" t="s">
        <v>248</v>
      </c>
      <c r="D778">
        <v>2026</v>
      </c>
      <c r="E778" t="str">
        <f t="shared" si="24"/>
        <v>Q1</v>
      </c>
      <c r="F778" t="s">
        <v>718</v>
      </c>
      <c r="G778">
        <v>0</v>
      </c>
      <c r="H778" t="str">
        <f t="shared" si="25"/>
        <v>March-2026</v>
      </c>
    </row>
    <row r="779" spans="1:8">
      <c r="A779" t="s">
        <v>103</v>
      </c>
      <c r="B779" t="s">
        <v>130</v>
      </c>
      <c r="C779" t="s">
        <v>248</v>
      </c>
      <c r="D779">
        <v>2026</v>
      </c>
      <c r="E779" t="str">
        <f t="shared" si="24"/>
        <v>Q2</v>
      </c>
      <c r="F779" t="s">
        <v>719</v>
      </c>
      <c r="G779">
        <v>0</v>
      </c>
      <c r="H779" t="str">
        <f t="shared" si="25"/>
        <v>April-2026</v>
      </c>
    </row>
    <row r="780" spans="1:8">
      <c r="A780" t="s">
        <v>103</v>
      </c>
      <c r="B780" t="s">
        <v>130</v>
      </c>
      <c r="C780" t="s">
        <v>248</v>
      </c>
      <c r="D780">
        <v>2026</v>
      </c>
      <c r="E780" t="str">
        <f t="shared" si="24"/>
        <v>Q2</v>
      </c>
      <c r="F780" t="s">
        <v>720</v>
      </c>
      <c r="G780">
        <v>0</v>
      </c>
      <c r="H780" t="str">
        <f t="shared" si="25"/>
        <v>May-2026</v>
      </c>
    </row>
    <row r="781" spans="1:8">
      <c r="A781" t="s">
        <v>103</v>
      </c>
      <c r="B781" t="s">
        <v>130</v>
      </c>
      <c r="C781" t="s">
        <v>248</v>
      </c>
      <c r="D781">
        <v>2026</v>
      </c>
      <c r="E781" t="str">
        <f t="shared" si="24"/>
        <v>Q2</v>
      </c>
      <c r="F781" t="s">
        <v>721</v>
      </c>
      <c r="G781">
        <v>0</v>
      </c>
      <c r="H781" t="str">
        <f t="shared" si="25"/>
        <v>June-2026</v>
      </c>
    </row>
    <row r="782" spans="1:8">
      <c r="A782" t="s">
        <v>103</v>
      </c>
      <c r="B782" t="s">
        <v>227</v>
      </c>
      <c r="C782" t="s">
        <v>121</v>
      </c>
      <c r="D782">
        <v>2025</v>
      </c>
      <c r="E782" t="str">
        <f t="shared" si="24"/>
        <v>Q3</v>
      </c>
      <c r="F782" t="s">
        <v>710</v>
      </c>
      <c r="G782">
        <v>1</v>
      </c>
      <c r="H782" t="str">
        <f t="shared" si="25"/>
        <v>July-2025</v>
      </c>
    </row>
    <row r="783" spans="1:8">
      <c r="A783" t="s">
        <v>103</v>
      </c>
      <c r="B783" t="s">
        <v>227</v>
      </c>
      <c r="C783" t="s">
        <v>121</v>
      </c>
      <c r="D783">
        <v>2025</v>
      </c>
      <c r="E783" t="str">
        <f t="shared" si="24"/>
        <v>Q3</v>
      </c>
      <c r="F783" t="s">
        <v>711</v>
      </c>
      <c r="G783">
        <v>1</v>
      </c>
      <c r="H783" t="str">
        <f t="shared" si="25"/>
        <v>August-2025</v>
      </c>
    </row>
    <row r="784" spans="1:8">
      <c r="A784" t="s">
        <v>103</v>
      </c>
      <c r="B784" t="s">
        <v>227</v>
      </c>
      <c r="C784" t="s">
        <v>121</v>
      </c>
      <c r="D784">
        <v>2025</v>
      </c>
      <c r="E784" t="str">
        <f t="shared" si="24"/>
        <v>Q3</v>
      </c>
      <c r="F784" t="s">
        <v>712</v>
      </c>
      <c r="G784">
        <v>1</v>
      </c>
      <c r="H784" t="str">
        <f t="shared" si="25"/>
        <v>September-2025</v>
      </c>
    </row>
    <row r="785" spans="1:8">
      <c r="A785" t="s">
        <v>103</v>
      </c>
      <c r="B785" t="s">
        <v>227</v>
      </c>
      <c r="C785" t="s">
        <v>121</v>
      </c>
      <c r="D785">
        <v>2025</v>
      </c>
      <c r="E785" t="str">
        <f t="shared" si="24"/>
        <v>Q4</v>
      </c>
      <c r="F785" t="s">
        <v>713</v>
      </c>
      <c r="G785">
        <v>1</v>
      </c>
      <c r="H785" t="str">
        <f t="shared" si="25"/>
        <v>October-2025</v>
      </c>
    </row>
    <row r="786" spans="1:8">
      <c r="A786" t="s">
        <v>103</v>
      </c>
      <c r="B786" t="s">
        <v>227</v>
      </c>
      <c r="C786" t="s">
        <v>121</v>
      </c>
      <c r="D786">
        <v>2025</v>
      </c>
      <c r="E786" t="str">
        <f t="shared" si="24"/>
        <v>Q4</v>
      </c>
      <c r="F786" t="s">
        <v>714</v>
      </c>
      <c r="G786">
        <v>0</v>
      </c>
      <c r="H786" t="str">
        <f t="shared" si="25"/>
        <v>November-2025</v>
      </c>
    </row>
    <row r="787" spans="1:8">
      <c r="A787" t="s">
        <v>103</v>
      </c>
      <c r="B787" t="s">
        <v>227</v>
      </c>
      <c r="C787" t="s">
        <v>121</v>
      </c>
      <c r="D787">
        <v>2025</v>
      </c>
      <c r="E787" t="str">
        <f t="shared" si="24"/>
        <v>Q4</v>
      </c>
      <c r="F787" t="s">
        <v>715</v>
      </c>
      <c r="G787">
        <v>0</v>
      </c>
      <c r="H787" t="str">
        <f t="shared" si="25"/>
        <v>December-2025</v>
      </c>
    </row>
    <row r="788" spans="1:8">
      <c r="A788" t="s">
        <v>103</v>
      </c>
      <c r="B788" t="s">
        <v>227</v>
      </c>
      <c r="C788" t="s">
        <v>121</v>
      </c>
      <c r="D788">
        <v>2026</v>
      </c>
      <c r="E788" t="str">
        <f t="shared" si="24"/>
        <v>Q1</v>
      </c>
      <c r="F788" t="s">
        <v>716</v>
      </c>
      <c r="G788">
        <v>0</v>
      </c>
      <c r="H788" t="str">
        <f t="shared" si="25"/>
        <v>January-2026</v>
      </c>
    </row>
    <row r="789" spans="1:8">
      <c r="A789" t="s">
        <v>103</v>
      </c>
      <c r="B789" t="s">
        <v>227</v>
      </c>
      <c r="C789" t="s">
        <v>121</v>
      </c>
      <c r="D789">
        <v>2026</v>
      </c>
      <c r="E789" t="str">
        <f t="shared" si="24"/>
        <v>Q1</v>
      </c>
      <c r="F789" t="s">
        <v>717</v>
      </c>
      <c r="G789">
        <v>0</v>
      </c>
      <c r="H789" t="str">
        <f t="shared" si="25"/>
        <v>February-2026</v>
      </c>
    </row>
    <row r="790" spans="1:8">
      <c r="A790" t="s">
        <v>103</v>
      </c>
      <c r="B790" t="s">
        <v>227</v>
      </c>
      <c r="C790" t="s">
        <v>121</v>
      </c>
      <c r="D790">
        <v>2026</v>
      </c>
      <c r="E790" t="str">
        <f t="shared" si="24"/>
        <v>Q1</v>
      </c>
      <c r="F790" t="s">
        <v>718</v>
      </c>
      <c r="G790">
        <v>0</v>
      </c>
      <c r="H790" t="str">
        <f t="shared" si="25"/>
        <v>March-2026</v>
      </c>
    </row>
    <row r="791" spans="1:8">
      <c r="A791" t="s">
        <v>103</v>
      </c>
      <c r="B791" t="s">
        <v>227</v>
      </c>
      <c r="C791" t="s">
        <v>121</v>
      </c>
      <c r="D791">
        <v>2026</v>
      </c>
      <c r="E791" t="str">
        <f t="shared" si="24"/>
        <v>Q2</v>
      </c>
      <c r="F791" t="s">
        <v>719</v>
      </c>
      <c r="G791">
        <v>0</v>
      </c>
      <c r="H791" t="str">
        <f t="shared" si="25"/>
        <v>April-2026</v>
      </c>
    </row>
    <row r="792" spans="1:8">
      <c r="A792" t="s">
        <v>103</v>
      </c>
      <c r="B792" t="s">
        <v>227</v>
      </c>
      <c r="C792" t="s">
        <v>121</v>
      </c>
      <c r="D792">
        <v>2026</v>
      </c>
      <c r="E792" t="str">
        <f t="shared" si="24"/>
        <v>Q2</v>
      </c>
      <c r="F792" t="s">
        <v>720</v>
      </c>
      <c r="G792">
        <v>0</v>
      </c>
      <c r="H792" t="str">
        <f t="shared" si="25"/>
        <v>May-2026</v>
      </c>
    </row>
    <row r="793" spans="1:8">
      <c r="A793" t="s">
        <v>103</v>
      </c>
      <c r="B793" t="s">
        <v>227</v>
      </c>
      <c r="C793" t="s">
        <v>121</v>
      </c>
      <c r="D793">
        <v>2026</v>
      </c>
      <c r="E793" t="str">
        <f t="shared" si="24"/>
        <v>Q2</v>
      </c>
      <c r="F793" t="s">
        <v>721</v>
      </c>
      <c r="G793">
        <v>0</v>
      </c>
      <c r="H793" t="str">
        <f t="shared" si="25"/>
        <v>June-2026</v>
      </c>
    </row>
    <row r="794" spans="1:8">
      <c r="A794" t="s">
        <v>103</v>
      </c>
      <c r="B794" t="s">
        <v>321</v>
      </c>
      <c r="C794" t="s">
        <v>105</v>
      </c>
      <c r="D794">
        <v>2025</v>
      </c>
      <c r="E794" t="str">
        <f t="shared" si="24"/>
        <v>Q3</v>
      </c>
      <c r="F794" t="s">
        <v>710</v>
      </c>
      <c r="G794">
        <v>0</v>
      </c>
      <c r="H794" t="str">
        <f t="shared" si="25"/>
        <v>July-2025</v>
      </c>
    </row>
    <row r="795" spans="1:8">
      <c r="A795" t="s">
        <v>103</v>
      </c>
      <c r="B795" t="s">
        <v>321</v>
      </c>
      <c r="C795" t="s">
        <v>105</v>
      </c>
      <c r="D795">
        <v>2025</v>
      </c>
      <c r="E795" t="str">
        <f t="shared" si="24"/>
        <v>Q3</v>
      </c>
      <c r="F795" t="s">
        <v>711</v>
      </c>
      <c r="G795">
        <v>0</v>
      </c>
      <c r="H795" t="str">
        <f t="shared" si="25"/>
        <v>August-2025</v>
      </c>
    </row>
    <row r="796" spans="1:8">
      <c r="A796" t="s">
        <v>103</v>
      </c>
      <c r="B796" t="s">
        <v>321</v>
      </c>
      <c r="C796" t="s">
        <v>105</v>
      </c>
      <c r="D796">
        <v>2025</v>
      </c>
      <c r="E796" t="str">
        <f t="shared" si="24"/>
        <v>Q3</v>
      </c>
      <c r="F796" t="s">
        <v>712</v>
      </c>
      <c r="G796">
        <v>0</v>
      </c>
      <c r="H796" t="str">
        <f t="shared" si="25"/>
        <v>September-2025</v>
      </c>
    </row>
    <row r="797" spans="1:8">
      <c r="A797" t="s">
        <v>103</v>
      </c>
      <c r="B797" t="s">
        <v>321</v>
      </c>
      <c r="C797" t="s">
        <v>105</v>
      </c>
      <c r="D797">
        <v>2025</v>
      </c>
      <c r="E797" t="str">
        <f t="shared" si="24"/>
        <v>Q4</v>
      </c>
      <c r="F797" t="s">
        <v>713</v>
      </c>
      <c r="G797">
        <v>0</v>
      </c>
      <c r="H797" t="str">
        <f t="shared" si="25"/>
        <v>October-2025</v>
      </c>
    </row>
    <row r="798" spans="1:8">
      <c r="A798" t="s">
        <v>103</v>
      </c>
      <c r="B798" t="s">
        <v>321</v>
      </c>
      <c r="C798" t="s">
        <v>105</v>
      </c>
      <c r="D798">
        <v>2025</v>
      </c>
      <c r="E798" t="str">
        <f t="shared" si="24"/>
        <v>Q4</v>
      </c>
      <c r="F798" t="s">
        <v>714</v>
      </c>
      <c r="G798">
        <v>0</v>
      </c>
      <c r="H798" t="str">
        <f t="shared" si="25"/>
        <v>November-2025</v>
      </c>
    </row>
    <row r="799" spans="1:8">
      <c r="A799" t="s">
        <v>103</v>
      </c>
      <c r="B799" t="s">
        <v>321</v>
      </c>
      <c r="C799" t="s">
        <v>105</v>
      </c>
      <c r="D799">
        <v>2025</v>
      </c>
      <c r="E799" t="str">
        <f t="shared" si="24"/>
        <v>Q4</v>
      </c>
      <c r="F799" t="s">
        <v>715</v>
      </c>
      <c r="G799">
        <v>0</v>
      </c>
      <c r="H799" t="str">
        <f t="shared" si="25"/>
        <v>December-2025</v>
      </c>
    </row>
    <row r="800" spans="1:8">
      <c r="A800" t="s">
        <v>103</v>
      </c>
      <c r="B800" t="s">
        <v>321</v>
      </c>
      <c r="C800" t="s">
        <v>105</v>
      </c>
      <c r="D800">
        <v>2026</v>
      </c>
      <c r="E800" t="str">
        <f t="shared" si="24"/>
        <v>Q1</v>
      </c>
      <c r="F800" t="s">
        <v>716</v>
      </c>
      <c r="G800">
        <v>0</v>
      </c>
      <c r="H800" t="str">
        <f t="shared" si="25"/>
        <v>January-2026</v>
      </c>
    </row>
    <row r="801" spans="1:8">
      <c r="A801" t="s">
        <v>103</v>
      </c>
      <c r="B801" t="s">
        <v>321</v>
      </c>
      <c r="C801" t="s">
        <v>105</v>
      </c>
      <c r="D801">
        <v>2026</v>
      </c>
      <c r="E801" t="str">
        <f t="shared" si="24"/>
        <v>Q1</v>
      </c>
      <c r="F801" t="s">
        <v>717</v>
      </c>
      <c r="G801">
        <v>0</v>
      </c>
      <c r="H801" t="str">
        <f t="shared" si="25"/>
        <v>February-2026</v>
      </c>
    </row>
    <row r="802" spans="1:8">
      <c r="A802" t="s">
        <v>103</v>
      </c>
      <c r="B802" t="s">
        <v>321</v>
      </c>
      <c r="C802" t="s">
        <v>105</v>
      </c>
      <c r="D802">
        <v>2026</v>
      </c>
      <c r="E802" t="str">
        <f t="shared" si="24"/>
        <v>Q1</v>
      </c>
      <c r="F802" t="s">
        <v>718</v>
      </c>
      <c r="G802">
        <v>0</v>
      </c>
      <c r="H802" t="str">
        <f t="shared" si="25"/>
        <v>March-2026</v>
      </c>
    </row>
    <row r="803" spans="1:8">
      <c r="A803" t="s">
        <v>103</v>
      </c>
      <c r="B803" t="s">
        <v>321</v>
      </c>
      <c r="C803" t="s">
        <v>105</v>
      </c>
      <c r="D803">
        <v>2026</v>
      </c>
      <c r="E803" t="str">
        <f t="shared" si="24"/>
        <v>Q2</v>
      </c>
      <c r="F803" t="s">
        <v>719</v>
      </c>
      <c r="G803">
        <v>0</v>
      </c>
      <c r="H803" t="str">
        <f t="shared" si="25"/>
        <v>April-2026</v>
      </c>
    </row>
    <row r="804" spans="1:8">
      <c r="A804" t="s">
        <v>103</v>
      </c>
      <c r="B804" t="s">
        <v>321</v>
      </c>
      <c r="C804" t="s">
        <v>105</v>
      </c>
      <c r="D804">
        <v>2026</v>
      </c>
      <c r="E804" t="str">
        <f t="shared" si="24"/>
        <v>Q2</v>
      </c>
      <c r="F804" t="s">
        <v>720</v>
      </c>
      <c r="G804">
        <v>0</v>
      </c>
      <c r="H804" t="str">
        <f t="shared" si="25"/>
        <v>May-2026</v>
      </c>
    </row>
    <row r="805" spans="1:8">
      <c r="A805" t="s">
        <v>103</v>
      </c>
      <c r="B805" t="s">
        <v>321</v>
      </c>
      <c r="C805" t="s">
        <v>105</v>
      </c>
      <c r="D805">
        <v>2026</v>
      </c>
      <c r="E805" t="str">
        <f t="shared" si="24"/>
        <v>Q2</v>
      </c>
      <c r="F805" t="s">
        <v>721</v>
      </c>
      <c r="G805">
        <v>0</v>
      </c>
      <c r="H805" t="str">
        <f t="shared" si="25"/>
        <v>June-2026</v>
      </c>
    </row>
    <row r="806" spans="1:8">
      <c r="A806" t="s">
        <v>103</v>
      </c>
      <c r="B806" t="s">
        <v>321</v>
      </c>
      <c r="C806" t="s">
        <v>228</v>
      </c>
      <c r="D806">
        <v>2025</v>
      </c>
      <c r="E806" t="str">
        <f t="shared" si="24"/>
        <v>Q3</v>
      </c>
      <c r="F806" t="s">
        <v>710</v>
      </c>
      <c r="G806">
        <v>1</v>
      </c>
      <c r="H806" t="str">
        <f t="shared" si="25"/>
        <v>July-2025</v>
      </c>
    </row>
    <row r="807" spans="1:8">
      <c r="A807" t="s">
        <v>103</v>
      </c>
      <c r="B807" t="s">
        <v>321</v>
      </c>
      <c r="C807" t="s">
        <v>228</v>
      </c>
      <c r="D807">
        <v>2025</v>
      </c>
      <c r="E807" t="str">
        <f t="shared" si="24"/>
        <v>Q3</v>
      </c>
      <c r="F807" t="s">
        <v>711</v>
      </c>
      <c r="G807">
        <v>1</v>
      </c>
      <c r="H807" t="str">
        <f t="shared" si="25"/>
        <v>August-2025</v>
      </c>
    </row>
    <row r="808" spans="1:8">
      <c r="A808" t="s">
        <v>103</v>
      </c>
      <c r="B808" t="s">
        <v>321</v>
      </c>
      <c r="C808" t="s">
        <v>228</v>
      </c>
      <c r="D808">
        <v>2025</v>
      </c>
      <c r="E808" t="str">
        <f t="shared" si="24"/>
        <v>Q3</v>
      </c>
      <c r="F808" t="s">
        <v>712</v>
      </c>
      <c r="G808">
        <v>1</v>
      </c>
      <c r="H808" t="str">
        <f t="shared" si="25"/>
        <v>September-2025</v>
      </c>
    </row>
    <row r="809" spans="1:8">
      <c r="A809" t="s">
        <v>103</v>
      </c>
      <c r="B809" t="s">
        <v>321</v>
      </c>
      <c r="C809" t="s">
        <v>228</v>
      </c>
      <c r="D809">
        <v>2025</v>
      </c>
      <c r="E809" t="str">
        <f t="shared" si="24"/>
        <v>Q4</v>
      </c>
      <c r="F809" t="s">
        <v>713</v>
      </c>
      <c r="G809">
        <v>1</v>
      </c>
      <c r="H809" t="str">
        <f t="shared" si="25"/>
        <v>October-2025</v>
      </c>
    </row>
    <row r="810" spans="1:8">
      <c r="A810" t="s">
        <v>103</v>
      </c>
      <c r="B810" t="s">
        <v>321</v>
      </c>
      <c r="C810" t="s">
        <v>228</v>
      </c>
      <c r="D810">
        <v>2025</v>
      </c>
      <c r="E810" t="str">
        <f t="shared" si="24"/>
        <v>Q4</v>
      </c>
      <c r="F810" t="s">
        <v>714</v>
      </c>
      <c r="G810">
        <v>0</v>
      </c>
      <c r="H810" t="str">
        <f t="shared" si="25"/>
        <v>November-2025</v>
      </c>
    </row>
    <row r="811" spans="1:8">
      <c r="A811" t="s">
        <v>103</v>
      </c>
      <c r="B811" t="s">
        <v>321</v>
      </c>
      <c r="C811" t="s">
        <v>228</v>
      </c>
      <c r="D811">
        <v>2025</v>
      </c>
      <c r="E811" t="str">
        <f t="shared" si="24"/>
        <v>Q4</v>
      </c>
      <c r="F811" t="s">
        <v>715</v>
      </c>
      <c r="G811">
        <v>0</v>
      </c>
      <c r="H811" t="str">
        <f t="shared" si="25"/>
        <v>December-2025</v>
      </c>
    </row>
    <row r="812" spans="1:8">
      <c r="A812" t="s">
        <v>103</v>
      </c>
      <c r="B812" t="s">
        <v>321</v>
      </c>
      <c r="C812" t="s">
        <v>228</v>
      </c>
      <c r="D812">
        <v>2026</v>
      </c>
      <c r="E812" t="str">
        <f t="shared" si="24"/>
        <v>Q1</v>
      </c>
      <c r="F812" t="s">
        <v>716</v>
      </c>
      <c r="G812">
        <v>0</v>
      </c>
      <c r="H812" t="str">
        <f t="shared" si="25"/>
        <v>January-2026</v>
      </c>
    </row>
    <row r="813" spans="1:8">
      <c r="A813" t="s">
        <v>103</v>
      </c>
      <c r="B813" t="s">
        <v>321</v>
      </c>
      <c r="C813" t="s">
        <v>228</v>
      </c>
      <c r="D813">
        <v>2026</v>
      </c>
      <c r="E813" t="str">
        <f t="shared" si="24"/>
        <v>Q1</v>
      </c>
      <c r="F813" t="s">
        <v>717</v>
      </c>
      <c r="G813">
        <v>0</v>
      </c>
      <c r="H813" t="str">
        <f t="shared" si="25"/>
        <v>February-2026</v>
      </c>
    </row>
    <row r="814" spans="1:8">
      <c r="A814" t="s">
        <v>103</v>
      </c>
      <c r="B814" t="s">
        <v>321</v>
      </c>
      <c r="C814" t="s">
        <v>228</v>
      </c>
      <c r="D814">
        <v>2026</v>
      </c>
      <c r="E814" t="str">
        <f t="shared" si="24"/>
        <v>Q1</v>
      </c>
      <c r="F814" t="s">
        <v>718</v>
      </c>
      <c r="G814">
        <v>0</v>
      </c>
      <c r="H814" t="str">
        <f t="shared" si="25"/>
        <v>March-2026</v>
      </c>
    </row>
    <row r="815" spans="1:8">
      <c r="A815" t="s">
        <v>103</v>
      </c>
      <c r="B815" t="s">
        <v>321</v>
      </c>
      <c r="C815" t="s">
        <v>228</v>
      </c>
      <c r="D815">
        <v>2026</v>
      </c>
      <c r="E815" t="str">
        <f t="shared" si="24"/>
        <v>Q2</v>
      </c>
      <c r="F815" t="s">
        <v>719</v>
      </c>
      <c r="G815">
        <v>0</v>
      </c>
      <c r="H815" t="str">
        <f t="shared" si="25"/>
        <v>April-2026</v>
      </c>
    </row>
    <row r="816" spans="1:8">
      <c r="A816" t="s">
        <v>103</v>
      </c>
      <c r="B816" t="s">
        <v>321</v>
      </c>
      <c r="C816" t="s">
        <v>228</v>
      </c>
      <c r="D816">
        <v>2026</v>
      </c>
      <c r="E816" t="str">
        <f t="shared" si="24"/>
        <v>Q2</v>
      </c>
      <c r="F816" t="s">
        <v>720</v>
      </c>
      <c r="G816">
        <v>0</v>
      </c>
      <c r="H816" t="str">
        <f t="shared" si="25"/>
        <v>May-2026</v>
      </c>
    </row>
    <row r="817" spans="1:8">
      <c r="A817" t="s">
        <v>103</v>
      </c>
      <c r="B817" t="s">
        <v>321</v>
      </c>
      <c r="C817" t="s">
        <v>228</v>
      </c>
      <c r="D817">
        <v>2026</v>
      </c>
      <c r="E817" t="str">
        <f t="shared" si="24"/>
        <v>Q2</v>
      </c>
      <c r="F817" t="s">
        <v>721</v>
      </c>
      <c r="G817">
        <v>0</v>
      </c>
      <c r="H817" t="str">
        <f t="shared" si="25"/>
        <v>June-2026</v>
      </c>
    </row>
    <row r="818" spans="1:8">
      <c r="A818" t="s">
        <v>103</v>
      </c>
      <c r="B818" t="s">
        <v>124</v>
      </c>
      <c r="C818" t="s">
        <v>105</v>
      </c>
      <c r="D818">
        <v>2025</v>
      </c>
      <c r="E818" t="str">
        <f t="shared" si="24"/>
        <v>Q3</v>
      </c>
      <c r="F818" t="s">
        <v>710</v>
      </c>
      <c r="G818">
        <v>0</v>
      </c>
      <c r="H818" t="str">
        <f t="shared" si="25"/>
        <v>July-2025</v>
      </c>
    </row>
    <row r="819" spans="1:8">
      <c r="A819" t="s">
        <v>103</v>
      </c>
      <c r="B819" t="s">
        <v>124</v>
      </c>
      <c r="C819" t="s">
        <v>105</v>
      </c>
      <c r="D819">
        <v>2025</v>
      </c>
      <c r="E819" t="str">
        <f t="shared" si="24"/>
        <v>Q3</v>
      </c>
      <c r="F819" t="s">
        <v>711</v>
      </c>
      <c r="G819">
        <v>0</v>
      </c>
      <c r="H819" t="str">
        <f t="shared" si="25"/>
        <v>August-2025</v>
      </c>
    </row>
    <row r="820" spans="1:8">
      <c r="A820" t="s">
        <v>103</v>
      </c>
      <c r="B820" t="s">
        <v>124</v>
      </c>
      <c r="C820" t="s">
        <v>105</v>
      </c>
      <c r="D820">
        <v>2025</v>
      </c>
      <c r="E820" t="str">
        <f t="shared" si="24"/>
        <v>Q3</v>
      </c>
      <c r="F820" t="s">
        <v>712</v>
      </c>
      <c r="G820">
        <v>0</v>
      </c>
      <c r="H820" t="str">
        <f t="shared" si="25"/>
        <v>September-2025</v>
      </c>
    </row>
    <row r="821" spans="1:8">
      <c r="A821" t="s">
        <v>103</v>
      </c>
      <c r="B821" t="s">
        <v>124</v>
      </c>
      <c r="C821" t="s">
        <v>105</v>
      </c>
      <c r="D821">
        <v>2025</v>
      </c>
      <c r="E821" t="str">
        <f t="shared" si="24"/>
        <v>Q4</v>
      </c>
      <c r="F821" t="s">
        <v>713</v>
      </c>
      <c r="G821">
        <v>0</v>
      </c>
      <c r="H821" t="str">
        <f t="shared" si="25"/>
        <v>October-2025</v>
      </c>
    </row>
    <row r="822" spans="1:8">
      <c r="A822" t="s">
        <v>103</v>
      </c>
      <c r="B822" t="s">
        <v>124</v>
      </c>
      <c r="C822" t="s">
        <v>105</v>
      </c>
      <c r="D822">
        <v>2025</v>
      </c>
      <c r="E822" t="str">
        <f t="shared" si="24"/>
        <v>Q4</v>
      </c>
      <c r="F822" t="s">
        <v>714</v>
      </c>
      <c r="G822">
        <v>0</v>
      </c>
      <c r="H822" t="str">
        <f t="shared" si="25"/>
        <v>November-2025</v>
      </c>
    </row>
    <row r="823" spans="1:8">
      <c r="A823" t="s">
        <v>103</v>
      </c>
      <c r="B823" t="s">
        <v>124</v>
      </c>
      <c r="C823" t="s">
        <v>105</v>
      </c>
      <c r="D823">
        <v>2025</v>
      </c>
      <c r="E823" t="str">
        <f t="shared" si="24"/>
        <v>Q4</v>
      </c>
      <c r="F823" t="s">
        <v>715</v>
      </c>
      <c r="G823">
        <v>0</v>
      </c>
      <c r="H823" t="str">
        <f t="shared" si="25"/>
        <v>December-2025</v>
      </c>
    </row>
    <row r="824" spans="1:8">
      <c r="A824" t="s">
        <v>103</v>
      </c>
      <c r="B824" t="s">
        <v>124</v>
      </c>
      <c r="C824" t="s">
        <v>105</v>
      </c>
      <c r="D824">
        <v>2026</v>
      </c>
      <c r="E824" t="str">
        <f t="shared" si="24"/>
        <v>Q1</v>
      </c>
      <c r="F824" t="s">
        <v>716</v>
      </c>
      <c r="G824">
        <v>0</v>
      </c>
      <c r="H824" t="str">
        <f t="shared" si="25"/>
        <v>January-2026</v>
      </c>
    </row>
    <row r="825" spans="1:8">
      <c r="A825" t="s">
        <v>103</v>
      </c>
      <c r="B825" t="s">
        <v>124</v>
      </c>
      <c r="C825" t="s">
        <v>105</v>
      </c>
      <c r="D825">
        <v>2026</v>
      </c>
      <c r="E825" t="str">
        <f t="shared" si="24"/>
        <v>Q1</v>
      </c>
      <c r="F825" t="s">
        <v>717</v>
      </c>
      <c r="G825">
        <v>0</v>
      </c>
      <c r="H825" t="str">
        <f t="shared" si="25"/>
        <v>February-2026</v>
      </c>
    </row>
    <row r="826" spans="1:8">
      <c r="A826" t="s">
        <v>103</v>
      </c>
      <c r="B826" t="s">
        <v>124</v>
      </c>
      <c r="C826" t="s">
        <v>105</v>
      </c>
      <c r="D826">
        <v>2026</v>
      </c>
      <c r="E826" t="str">
        <f t="shared" si="24"/>
        <v>Q1</v>
      </c>
      <c r="F826" t="s">
        <v>718</v>
      </c>
      <c r="G826">
        <v>0</v>
      </c>
      <c r="H826" t="str">
        <f t="shared" si="25"/>
        <v>March-2026</v>
      </c>
    </row>
    <row r="827" spans="1:8">
      <c r="A827" t="s">
        <v>103</v>
      </c>
      <c r="B827" t="s">
        <v>124</v>
      </c>
      <c r="C827" t="s">
        <v>105</v>
      </c>
      <c r="D827">
        <v>2026</v>
      </c>
      <c r="E827" t="str">
        <f t="shared" si="24"/>
        <v>Q2</v>
      </c>
      <c r="F827" t="s">
        <v>719</v>
      </c>
      <c r="G827">
        <v>0</v>
      </c>
      <c r="H827" t="str">
        <f t="shared" si="25"/>
        <v>April-2026</v>
      </c>
    </row>
    <row r="828" spans="1:8">
      <c r="A828" t="s">
        <v>103</v>
      </c>
      <c r="B828" t="s">
        <v>124</v>
      </c>
      <c r="C828" t="s">
        <v>105</v>
      </c>
      <c r="D828">
        <v>2026</v>
      </c>
      <c r="E828" t="str">
        <f t="shared" si="24"/>
        <v>Q2</v>
      </c>
      <c r="F828" t="s">
        <v>720</v>
      </c>
      <c r="G828">
        <v>0</v>
      </c>
      <c r="H828" t="str">
        <f t="shared" si="25"/>
        <v>May-2026</v>
      </c>
    </row>
    <row r="829" spans="1:8">
      <c r="A829" t="s">
        <v>103</v>
      </c>
      <c r="B829" t="s">
        <v>124</v>
      </c>
      <c r="C829" t="s">
        <v>105</v>
      </c>
      <c r="D829">
        <v>2026</v>
      </c>
      <c r="E829" t="str">
        <f t="shared" si="24"/>
        <v>Q2</v>
      </c>
      <c r="F829" t="s">
        <v>721</v>
      </c>
      <c r="G829">
        <v>0</v>
      </c>
      <c r="H829" t="str">
        <f t="shared" si="25"/>
        <v>June-2026</v>
      </c>
    </row>
    <row r="830" spans="1:8">
      <c r="A830" t="s">
        <v>103</v>
      </c>
      <c r="B830" t="s">
        <v>124</v>
      </c>
      <c r="C830" t="s">
        <v>192</v>
      </c>
      <c r="D830">
        <v>2025</v>
      </c>
      <c r="E830" t="str">
        <f t="shared" si="24"/>
        <v>Q3</v>
      </c>
      <c r="F830" t="s">
        <v>710</v>
      </c>
      <c r="G830">
        <v>1</v>
      </c>
      <c r="H830" t="str">
        <f t="shared" si="25"/>
        <v>July-2025</v>
      </c>
    </row>
    <row r="831" spans="1:8">
      <c r="A831" t="s">
        <v>103</v>
      </c>
      <c r="B831" t="s">
        <v>124</v>
      </c>
      <c r="C831" t="s">
        <v>192</v>
      </c>
      <c r="D831">
        <v>2025</v>
      </c>
      <c r="E831" t="str">
        <f t="shared" si="24"/>
        <v>Q3</v>
      </c>
      <c r="F831" t="s">
        <v>711</v>
      </c>
      <c r="G831">
        <v>1</v>
      </c>
      <c r="H831" t="str">
        <f t="shared" si="25"/>
        <v>August-2025</v>
      </c>
    </row>
    <row r="832" spans="1:8">
      <c r="A832" t="s">
        <v>103</v>
      </c>
      <c r="B832" t="s">
        <v>124</v>
      </c>
      <c r="C832" t="s">
        <v>192</v>
      </c>
      <c r="D832">
        <v>2025</v>
      </c>
      <c r="E832" t="str">
        <f t="shared" si="24"/>
        <v>Q3</v>
      </c>
      <c r="F832" t="s">
        <v>712</v>
      </c>
      <c r="G832">
        <v>0</v>
      </c>
      <c r="H832" t="str">
        <f t="shared" si="25"/>
        <v>September-2025</v>
      </c>
    </row>
    <row r="833" spans="1:8">
      <c r="A833" t="s">
        <v>103</v>
      </c>
      <c r="B833" t="s">
        <v>124</v>
      </c>
      <c r="C833" t="s">
        <v>192</v>
      </c>
      <c r="D833">
        <v>2025</v>
      </c>
      <c r="E833" t="str">
        <f t="shared" si="24"/>
        <v>Q4</v>
      </c>
      <c r="F833" t="s">
        <v>713</v>
      </c>
      <c r="G833">
        <v>0</v>
      </c>
      <c r="H833" t="str">
        <f t="shared" si="25"/>
        <v>October-2025</v>
      </c>
    </row>
    <row r="834" spans="1:8">
      <c r="A834" t="s">
        <v>103</v>
      </c>
      <c r="B834" t="s">
        <v>124</v>
      </c>
      <c r="C834" t="s">
        <v>192</v>
      </c>
      <c r="D834">
        <v>2025</v>
      </c>
      <c r="E834" t="str">
        <f t="shared" si="24"/>
        <v>Q4</v>
      </c>
      <c r="F834" t="s">
        <v>714</v>
      </c>
      <c r="G834">
        <v>0</v>
      </c>
      <c r="H834" t="str">
        <f t="shared" si="25"/>
        <v>November-2025</v>
      </c>
    </row>
    <row r="835" spans="1:8">
      <c r="A835" t="s">
        <v>103</v>
      </c>
      <c r="B835" t="s">
        <v>124</v>
      </c>
      <c r="C835" t="s">
        <v>192</v>
      </c>
      <c r="D835">
        <v>2025</v>
      </c>
      <c r="E835" t="str">
        <f t="shared" ref="E835:E898" si="26">"Q"&amp;ROUNDUP(MONTH(DATEVALUE(F835&amp;" 1"))/3,0)</f>
        <v>Q4</v>
      </c>
      <c r="F835" t="s">
        <v>715</v>
      </c>
      <c r="G835">
        <v>0</v>
      </c>
      <c r="H835" t="str">
        <f t="shared" ref="H835:H898" si="27">_xlfn.CONCAT(F835,"-",D835)</f>
        <v>December-2025</v>
      </c>
    </row>
    <row r="836" spans="1:8">
      <c r="A836" t="s">
        <v>103</v>
      </c>
      <c r="B836" t="s">
        <v>124</v>
      </c>
      <c r="C836" t="s">
        <v>192</v>
      </c>
      <c r="D836">
        <v>2026</v>
      </c>
      <c r="E836" t="str">
        <f t="shared" si="26"/>
        <v>Q1</v>
      </c>
      <c r="F836" t="s">
        <v>716</v>
      </c>
      <c r="G836">
        <v>0</v>
      </c>
      <c r="H836" t="str">
        <f t="shared" si="27"/>
        <v>January-2026</v>
      </c>
    </row>
    <row r="837" spans="1:8">
      <c r="A837" t="s">
        <v>103</v>
      </c>
      <c r="B837" t="s">
        <v>124</v>
      </c>
      <c r="C837" t="s">
        <v>192</v>
      </c>
      <c r="D837">
        <v>2026</v>
      </c>
      <c r="E837" t="str">
        <f t="shared" si="26"/>
        <v>Q1</v>
      </c>
      <c r="F837" t="s">
        <v>717</v>
      </c>
      <c r="G837">
        <v>0</v>
      </c>
      <c r="H837" t="str">
        <f t="shared" si="27"/>
        <v>February-2026</v>
      </c>
    </row>
    <row r="838" spans="1:8">
      <c r="A838" t="s">
        <v>103</v>
      </c>
      <c r="B838" t="s">
        <v>124</v>
      </c>
      <c r="C838" t="s">
        <v>192</v>
      </c>
      <c r="D838">
        <v>2026</v>
      </c>
      <c r="E838" t="str">
        <f t="shared" si="26"/>
        <v>Q1</v>
      </c>
      <c r="F838" t="s">
        <v>718</v>
      </c>
      <c r="G838">
        <v>0</v>
      </c>
      <c r="H838" t="str">
        <f t="shared" si="27"/>
        <v>March-2026</v>
      </c>
    </row>
    <row r="839" spans="1:8">
      <c r="A839" t="s">
        <v>103</v>
      </c>
      <c r="B839" t="s">
        <v>124</v>
      </c>
      <c r="C839" t="s">
        <v>192</v>
      </c>
      <c r="D839">
        <v>2026</v>
      </c>
      <c r="E839" t="str">
        <f t="shared" si="26"/>
        <v>Q2</v>
      </c>
      <c r="F839" t="s">
        <v>719</v>
      </c>
      <c r="G839">
        <v>0</v>
      </c>
      <c r="H839" t="str">
        <f t="shared" si="27"/>
        <v>April-2026</v>
      </c>
    </row>
    <row r="840" spans="1:8">
      <c r="A840" t="s">
        <v>103</v>
      </c>
      <c r="B840" t="s">
        <v>124</v>
      </c>
      <c r="C840" t="s">
        <v>192</v>
      </c>
      <c r="D840">
        <v>2026</v>
      </c>
      <c r="E840" t="str">
        <f t="shared" si="26"/>
        <v>Q2</v>
      </c>
      <c r="F840" t="s">
        <v>720</v>
      </c>
      <c r="G840">
        <v>0</v>
      </c>
      <c r="H840" t="str">
        <f t="shared" si="27"/>
        <v>May-2026</v>
      </c>
    </row>
    <row r="841" spans="1:8">
      <c r="A841" t="s">
        <v>103</v>
      </c>
      <c r="B841" t="s">
        <v>124</v>
      </c>
      <c r="C841" t="s">
        <v>192</v>
      </c>
      <c r="D841">
        <v>2026</v>
      </c>
      <c r="E841" t="str">
        <f t="shared" si="26"/>
        <v>Q2</v>
      </c>
      <c r="F841" t="s">
        <v>721</v>
      </c>
      <c r="G841">
        <v>0</v>
      </c>
      <c r="H841" t="str">
        <f t="shared" si="27"/>
        <v>June-2026</v>
      </c>
    </row>
    <row r="842" spans="1:8">
      <c r="A842" t="s">
        <v>103</v>
      </c>
      <c r="B842" t="s">
        <v>124</v>
      </c>
      <c r="C842" t="s">
        <v>121</v>
      </c>
      <c r="D842">
        <v>2025</v>
      </c>
      <c r="E842" t="str">
        <f t="shared" si="26"/>
        <v>Q3</v>
      </c>
      <c r="F842" t="s">
        <v>710</v>
      </c>
      <c r="G842">
        <v>1</v>
      </c>
      <c r="H842" t="str">
        <f t="shared" si="27"/>
        <v>July-2025</v>
      </c>
    </row>
    <row r="843" spans="1:8">
      <c r="A843" t="s">
        <v>103</v>
      </c>
      <c r="B843" t="s">
        <v>124</v>
      </c>
      <c r="C843" t="s">
        <v>121</v>
      </c>
      <c r="D843">
        <v>2025</v>
      </c>
      <c r="E843" t="str">
        <f t="shared" si="26"/>
        <v>Q3</v>
      </c>
      <c r="F843" t="s">
        <v>711</v>
      </c>
      <c r="G843">
        <v>1</v>
      </c>
      <c r="H843" t="str">
        <f t="shared" si="27"/>
        <v>August-2025</v>
      </c>
    </row>
    <row r="844" spans="1:8">
      <c r="A844" t="s">
        <v>103</v>
      </c>
      <c r="B844" t="s">
        <v>124</v>
      </c>
      <c r="C844" t="s">
        <v>121</v>
      </c>
      <c r="D844">
        <v>2025</v>
      </c>
      <c r="E844" t="str">
        <f t="shared" si="26"/>
        <v>Q3</v>
      </c>
      <c r="F844" t="s">
        <v>712</v>
      </c>
      <c r="G844">
        <v>1</v>
      </c>
      <c r="H844" t="str">
        <f t="shared" si="27"/>
        <v>September-2025</v>
      </c>
    </row>
    <row r="845" spans="1:8">
      <c r="A845" t="s">
        <v>103</v>
      </c>
      <c r="B845" t="s">
        <v>124</v>
      </c>
      <c r="C845" t="s">
        <v>121</v>
      </c>
      <c r="D845">
        <v>2025</v>
      </c>
      <c r="E845" t="str">
        <f t="shared" si="26"/>
        <v>Q4</v>
      </c>
      <c r="F845" t="s">
        <v>713</v>
      </c>
      <c r="G845">
        <v>0</v>
      </c>
      <c r="H845" t="str">
        <f t="shared" si="27"/>
        <v>October-2025</v>
      </c>
    </row>
    <row r="846" spans="1:8">
      <c r="A846" t="s">
        <v>103</v>
      </c>
      <c r="B846" t="s">
        <v>124</v>
      </c>
      <c r="C846" t="s">
        <v>121</v>
      </c>
      <c r="D846">
        <v>2025</v>
      </c>
      <c r="E846" t="str">
        <f t="shared" si="26"/>
        <v>Q4</v>
      </c>
      <c r="F846" t="s">
        <v>714</v>
      </c>
      <c r="G846">
        <v>0</v>
      </c>
      <c r="H846" t="str">
        <f t="shared" si="27"/>
        <v>November-2025</v>
      </c>
    </row>
    <row r="847" spans="1:8">
      <c r="A847" t="s">
        <v>103</v>
      </c>
      <c r="B847" t="s">
        <v>124</v>
      </c>
      <c r="C847" t="s">
        <v>121</v>
      </c>
      <c r="D847">
        <v>2025</v>
      </c>
      <c r="E847" t="str">
        <f t="shared" si="26"/>
        <v>Q4</v>
      </c>
      <c r="F847" t="s">
        <v>715</v>
      </c>
      <c r="G847">
        <v>0</v>
      </c>
      <c r="H847" t="str">
        <f t="shared" si="27"/>
        <v>December-2025</v>
      </c>
    </row>
    <row r="848" spans="1:8">
      <c r="A848" t="s">
        <v>103</v>
      </c>
      <c r="B848" t="s">
        <v>124</v>
      </c>
      <c r="C848" t="s">
        <v>121</v>
      </c>
      <c r="D848">
        <v>2026</v>
      </c>
      <c r="E848" t="str">
        <f t="shared" si="26"/>
        <v>Q1</v>
      </c>
      <c r="F848" t="s">
        <v>716</v>
      </c>
      <c r="G848">
        <v>0</v>
      </c>
      <c r="H848" t="str">
        <f t="shared" si="27"/>
        <v>January-2026</v>
      </c>
    </row>
    <row r="849" spans="1:8">
      <c r="A849" t="s">
        <v>103</v>
      </c>
      <c r="B849" t="s">
        <v>124</v>
      </c>
      <c r="C849" t="s">
        <v>121</v>
      </c>
      <c r="D849">
        <v>2026</v>
      </c>
      <c r="E849" t="str">
        <f t="shared" si="26"/>
        <v>Q1</v>
      </c>
      <c r="F849" t="s">
        <v>717</v>
      </c>
      <c r="G849">
        <v>0</v>
      </c>
      <c r="H849" t="str">
        <f t="shared" si="27"/>
        <v>February-2026</v>
      </c>
    </row>
    <row r="850" spans="1:8">
      <c r="A850" t="s">
        <v>103</v>
      </c>
      <c r="B850" t="s">
        <v>124</v>
      </c>
      <c r="C850" t="s">
        <v>121</v>
      </c>
      <c r="D850">
        <v>2026</v>
      </c>
      <c r="E850" t="str">
        <f t="shared" si="26"/>
        <v>Q1</v>
      </c>
      <c r="F850" t="s">
        <v>718</v>
      </c>
      <c r="G850">
        <v>0</v>
      </c>
      <c r="H850" t="str">
        <f t="shared" si="27"/>
        <v>March-2026</v>
      </c>
    </row>
    <row r="851" spans="1:8">
      <c r="A851" t="s">
        <v>103</v>
      </c>
      <c r="B851" t="s">
        <v>124</v>
      </c>
      <c r="C851" t="s">
        <v>121</v>
      </c>
      <c r="D851">
        <v>2026</v>
      </c>
      <c r="E851" t="str">
        <f t="shared" si="26"/>
        <v>Q2</v>
      </c>
      <c r="F851" t="s">
        <v>719</v>
      </c>
      <c r="G851">
        <v>0</v>
      </c>
      <c r="H851" t="str">
        <f t="shared" si="27"/>
        <v>April-2026</v>
      </c>
    </row>
    <row r="852" spans="1:8">
      <c r="A852" t="s">
        <v>103</v>
      </c>
      <c r="B852" t="s">
        <v>124</v>
      </c>
      <c r="C852" t="s">
        <v>121</v>
      </c>
      <c r="D852">
        <v>2026</v>
      </c>
      <c r="E852" t="str">
        <f t="shared" si="26"/>
        <v>Q2</v>
      </c>
      <c r="F852" t="s">
        <v>720</v>
      </c>
      <c r="G852">
        <v>0</v>
      </c>
      <c r="H852" t="str">
        <f t="shared" si="27"/>
        <v>May-2026</v>
      </c>
    </row>
    <row r="853" spans="1:8">
      <c r="A853" t="s">
        <v>103</v>
      </c>
      <c r="B853" t="s">
        <v>124</v>
      </c>
      <c r="C853" t="s">
        <v>121</v>
      </c>
      <c r="D853">
        <v>2026</v>
      </c>
      <c r="E853" t="str">
        <f t="shared" si="26"/>
        <v>Q2</v>
      </c>
      <c r="F853" t="s">
        <v>721</v>
      </c>
      <c r="G853">
        <v>0</v>
      </c>
      <c r="H853" t="str">
        <f t="shared" si="27"/>
        <v>June-2026</v>
      </c>
    </row>
    <row r="854" spans="1:8">
      <c r="A854" t="s">
        <v>103</v>
      </c>
      <c r="B854" t="s">
        <v>104</v>
      </c>
      <c r="C854" t="s">
        <v>105</v>
      </c>
      <c r="D854">
        <v>2025</v>
      </c>
      <c r="E854" t="str">
        <f t="shared" si="26"/>
        <v>Q3</v>
      </c>
      <c r="F854" t="s">
        <v>710</v>
      </c>
      <c r="G854">
        <v>0</v>
      </c>
      <c r="H854" t="str">
        <f t="shared" si="27"/>
        <v>July-2025</v>
      </c>
    </row>
    <row r="855" spans="1:8">
      <c r="A855" t="s">
        <v>103</v>
      </c>
      <c r="B855" t="s">
        <v>104</v>
      </c>
      <c r="C855" t="s">
        <v>105</v>
      </c>
      <c r="D855">
        <v>2025</v>
      </c>
      <c r="E855" t="str">
        <f t="shared" si="26"/>
        <v>Q3</v>
      </c>
      <c r="F855" t="s">
        <v>711</v>
      </c>
      <c r="G855">
        <v>0</v>
      </c>
      <c r="H855" t="str">
        <f t="shared" si="27"/>
        <v>August-2025</v>
      </c>
    </row>
    <row r="856" spans="1:8">
      <c r="A856" t="s">
        <v>103</v>
      </c>
      <c r="B856" t="s">
        <v>104</v>
      </c>
      <c r="C856" t="s">
        <v>105</v>
      </c>
      <c r="D856">
        <v>2025</v>
      </c>
      <c r="E856" t="str">
        <f t="shared" si="26"/>
        <v>Q3</v>
      </c>
      <c r="F856" t="s">
        <v>712</v>
      </c>
      <c r="G856">
        <v>0</v>
      </c>
      <c r="H856" t="str">
        <f t="shared" si="27"/>
        <v>September-2025</v>
      </c>
    </row>
    <row r="857" spans="1:8">
      <c r="A857" t="s">
        <v>103</v>
      </c>
      <c r="B857" t="s">
        <v>104</v>
      </c>
      <c r="C857" t="s">
        <v>105</v>
      </c>
      <c r="D857">
        <v>2025</v>
      </c>
      <c r="E857" t="str">
        <f t="shared" si="26"/>
        <v>Q4</v>
      </c>
      <c r="F857" t="s">
        <v>713</v>
      </c>
      <c r="G857">
        <v>0</v>
      </c>
      <c r="H857" t="str">
        <f t="shared" si="27"/>
        <v>October-2025</v>
      </c>
    </row>
    <row r="858" spans="1:8">
      <c r="A858" t="s">
        <v>103</v>
      </c>
      <c r="B858" t="s">
        <v>104</v>
      </c>
      <c r="C858" t="s">
        <v>105</v>
      </c>
      <c r="D858">
        <v>2025</v>
      </c>
      <c r="E858" t="str">
        <f t="shared" si="26"/>
        <v>Q4</v>
      </c>
      <c r="F858" t="s">
        <v>714</v>
      </c>
      <c r="G858">
        <v>0</v>
      </c>
      <c r="H858" t="str">
        <f t="shared" si="27"/>
        <v>November-2025</v>
      </c>
    </row>
    <row r="859" spans="1:8">
      <c r="A859" t="s">
        <v>103</v>
      </c>
      <c r="B859" t="s">
        <v>104</v>
      </c>
      <c r="C859" t="s">
        <v>105</v>
      </c>
      <c r="D859">
        <v>2025</v>
      </c>
      <c r="E859" t="str">
        <f t="shared" si="26"/>
        <v>Q4</v>
      </c>
      <c r="F859" t="s">
        <v>715</v>
      </c>
      <c r="G859">
        <v>0</v>
      </c>
      <c r="H859" t="str">
        <f t="shared" si="27"/>
        <v>December-2025</v>
      </c>
    </row>
    <row r="860" spans="1:8">
      <c r="A860" t="s">
        <v>103</v>
      </c>
      <c r="B860" t="s">
        <v>104</v>
      </c>
      <c r="C860" t="s">
        <v>105</v>
      </c>
      <c r="D860">
        <v>2026</v>
      </c>
      <c r="E860" t="str">
        <f t="shared" si="26"/>
        <v>Q1</v>
      </c>
      <c r="F860" t="s">
        <v>716</v>
      </c>
      <c r="G860">
        <v>0</v>
      </c>
      <c r="H860" t="str">
        <f t="shared" si="27"/>
        <v>January-2026</v>
      </c>
    </row>
    <row r="861" spans="1:8">
      <c r="A861" t="s">
        <v>103</v>
      </c>
      <c r="B861" t="s">
        <v>104</v>
      </c>
      <c r="C861" t="s">
        <v>105</v>
      </c>
      <c r="D861">
        <v>2026</v>
      </c>
      <c r="E861" t="str">
        <f t="shared" si="26"/>
        <v>Q1</v>
      </c>
      <c r="F861" t="s">
        <v>717</v>
      </c>
      <c r="G861">
        <v>0</v>
      </c>
      <c r="H861" t="str">
        <f t="shared" si="27"/>
        <v>February-2026</v>
      </c>
    </row>
    <row r="862" spans="1:8">
      <c r="A862" t="s">
        <v>103</v>
      </c>
      <c r="B862" t="s">
        <v>104</v>
      </c>
      <c r="C862" t="s">
        <v>105</v>
      </c>
      <c r="D862">
        <v>2026</v>
      </c>
      <c r="E862" t="str">
        <f t="shared" si="26"/>
        <v>Q1</v>
      </c>
      <c r="F862" t="s">
        <v>718</v>
      </c>
      <c r="G862">
        <v>0</v>
      </c>
      <c r="H862" t="str">
        <f t="shared" si="27"/>
        <v>March-2026</v>
      </c>
    </row>
    <row r="863" spans="1:8">
      <c r="A863" t="s">
        <v>103</v>
      </c>
      <c r="B863" t="s">
        <v>104</v>
      </c>
      <c r="C863" t="s">
        <v>105</v>
      </c>
      <c r="D863">
        <v>2026</v>
      </c>
      <c r="E863" t="str">
        <f t="shared" si="26"/>
        <v>Q2</v>
      </c>
      <c r="F863" t="s">
        <v>719</v>
      </c>
      <c r="G863">
        <v>0</v>
      </c>
      <c r="H863" t="str">
        <f t="shared" si="27"/>
        <v>April-2026</v>
      </c>
    </row>
    <row r="864" spans="1:8">
      <c r="A864" t="s">
        <v>103</v>
      </c>
      <c r="B864" t="s">
        <v>104</v>
      </c>
      <c r="C864" t="s">
        <v>105</v>
      </c>
      <c r="D864">
        <v>2026</v>
      </c>
      <c r="E864" t="str">
        <f t="shared" si="26"/>
        <v>Q2</v>
      </c>
      <c r="F864" t="s">
        <v>720</v>
      </c>
      <c r="G864">
        <v>0</v>
      </c>
      <c r="H864" t="str">
        <f t="shared" si="27"/>
        <v>May-2026</v>
      </c>
    </row>
    <row r="865" spans="1:8">
      <c r="A865" t="s">
        <v>103</v>
      </c>
      <c r="B865" t="s">
        <v>104</v>
      </c>
      <c r="C865" t="s">
        <v>105</v>
      </c>
      <c r="D865">
        <v>2026</v>
      </c>
      <c r="E865" t="str">
        <f t="shared" si="26"/>
        <v>Q2</v>
      </c>
      <c r="F865" t="s">
        <v>721</v>
      </c>
      <c r="G865">
        <v>0</v>
      </c>
      <c r="H865" t="str">
        <f t="shared" si="27"/>
        <v>June-2026</v>
      </c>
    </row>
    <row r="866" spans="1:8">
      <c r="A866" t="s">
        <v>103</v>
      </c>
      <c r="B866" t="s">
        <v>104</v>
      </c>
      <c r="C866" t="s">
        <v>228</v>
      </c>
      <c r="D866">
        <v>2025</v>
      </c>
      <c r="E866" t="str">
        <f t="shared" si="26"/>
        <v>Q3</v>
      </c>
      <c r="F866" t="s">
        <v>710</v>
      </c>
      <c r="G866">
        <v>1</v>
      </c>
      <c r="H866" t="str">
        <f t="shared" si="27"/>
        <v>July-2025</v>
      </c>
    </row>
    <row r="867" spans="1:8">
      <c r="A867" t="s">
        <v>103</v>
      </c>
      <c r="B867" t="s">
        <v>104</v>
      </c>
      <c r="C867" t="s">
        <v>228</v>
      </c>
      <c r="D867">
        <v>2025</v>
      </c>
      <c r="E867" t="str">
        <f t="shared" si="26"/>
        <v>Q3</v>
      </c>
      <c r="F867" t="s">
        <v>711</v>
      </c>
      <c r="G867">
        <v>1</v>
      </c>
      <c r="H867" t="str">
        <f t="shared" si="27"/>
        <v>August-2025</v>
      </c>
    </row>
    <row r="868" spans="1:8">
      <c r="A868" t="s">
        <v>103</v>
      </c>
      <c r="B868" t="s">
        <v>104</v>
      </c>
      <c r="C868" t="s">
        <v>228</v>
      </c>
      <c r="D868">
        <v>2025</v>
      </c>
      <c r="E868" t="str">
        <f t="shared" si="26"/>
        <v>Q3</v>
      </c>
      <c r="F868" t="s">
        <v>712</v>
      </c>
      <c r="G868">
        <v>1</v>
      </c>
      <c r="H868" t="str">
        <f t="shared" si="27"/>
        <v>September-2025</v>
      </c>
    </row>
    <row r="869" spans="1:8">
      <c r="A869" t="s">
        <v>103</v>
      </c>
      <c r="B869" t="s">
        <v>104</v>
      </c>
      <c r="C869" t="s">
        <v>228</v>
      </c>
      <c r="D869">
        <v>2025</v>
      </c>
      <c r="E869" t="str">
        <f t="shared" si="26"/>
        <v>Q4</v>
      </c>
      <c r="F869" t="s">
        <v>713</v>
      </c>
      <c r="G869">
        <v>1</v>
      </c>
      <c r="H869" t="str">
        <f t="shared" si="27"/>
        <v>October-2025</v>
      </c>
    </row>
    <row r="870" spans="1:8">
      <c r="A870" t="s">
        <v>103</v>
      </c>
      <c r="B870" t="s">
        <v>104</v>
      </c>
      <c r="C870" t="s">
        <v>228</v>
      </c>
      <c r="D870">
        <v>2025</v>
      </c>
      <c r="E870" t="str">
        <f t="shared" si="26"/>
        <v>Q4</v>
      </c>
      <c r="F870" t="s">
        <v>714</v>
      </c>
      <c r="G870">
        <v>1</v>
      </c>
      <c r="H870" t="str">
        <f t="shared" si="27"/>
        <v>November-2025</v>
      </c>
    </row>
    <row r="871" spans="1:8">
      <c r="A871" t="s">
        <v>103</v>
      </c>
      <c r="B871" t="s">
        <v>104</v>
      </c>
      <c r="C871" t="s">
        <v>228</v>
      </c>
      <c r="D871">
        <v>2025</v>
      </c>
      <c r="E871" t="str">
        <f t="shared" si="26"/>
        <v>Q4</v>
      </c>
      <c r="F871" t="s">
        <v>715</v>
      </c>
      <c r="G871">
        <v>0</v>
      </c>
      <c r="H871" t="str">
        <f t="shared" si="27"/>
        <v>December-2025</v>
      </c>
    </row>
    <row r="872" spans="1:8">
      <c r="A872" t="s">
        <v>103</v>
      </c>
      <c r="B872" t="s">
        <v>104</v>
      </c>
      <c r="C872" t="s">
        <v>228</v>
      </c>
      <c r="D872">
        <v>2026</v>
      </c>
      <c r="E872" t="str">
        <f t="shared" si="26"/>
        <v>Q1</v>
      </c>
      <c r="F872" t="s">
        <v>716</v>
      </c>
      <c r="G872">
        <v>0</v>
      </c>
      <c r="H872" t="str">
        <f t="shared" si="27"/>
        <v>January-2026</v>
      </c>
    </row>
    <row r="873" spans="1:8">
      <c r="A873" t="s">
        <v>103</v>
      </c>
      <c r="B873" t="s">
        <v>104</v>
      </c>
      <c r="C873" t="s">
        <v>228</v>
      </c>
      <c r="D873">
        <v>2026</v>
      </c>
      <c r="E873" t="str">
        <f t="shared" si="26"/>
        <v>Q1</v>
      </c>
      <c r="F873" t="s">
        <v>717</v>
      </c>
      <c r="G873">
        <v>0</v>
      </c>
      <c r="H873" t="str">
        <f t="shared" si="27"/>
        <v>February-2026</v>
      </c>
    </row>
    <row r="874" spans="1:8">
      <c r="A874" t="s">
        <v>103</v>
      </c>
      <c r="B874" t="s">
        <v>104</v>
      </c>
      <c r="C874" t="s">
        <v>228</v>
      </c>
      <c r="D874">
        <v>2026</v>
      </c>
      <c r="E874" t="str">
        <f t="shared" si="26"/>
        <v>Q1</v>
      </c>
      <c r="F874" t="s">
        <v>718</v>
      </c>
      <c r="G874">
        <v>0</v>
      </c>
      <c r="H874" t="str">
        <f t="shared" si="27"/>
        <v>March-2026</v>
      </c>
    </row>
    <row r="875" spans="1:8">
      <c r="A875" t="s">
        <v>103</v>
      </c>
      <c r="B875" t="s">
        <v>104</v>
      </c>
      <c r="C875" t="s">
        <v>228</v>
      </c>
      <c r="D875">
        <v>2026</v>
      </c>
      <c r="E875" t="str">
        <f t="shared" si="26"/>
        <v>Q2</v>
      </c>
      <c r="F875" t="s">
        <v>719</v>
      </c>
      <c r="G875">
        <v>0</v>
      </c>
      <c r="H875" t="str">
        <f t="shared" si="27"/>
        <v>April-2026</v>
      </c>
    </row>
    <row r="876" spans="1:8">
      <c r="A876" t="s">
        <v>103</v>
      </c>
      <c r="B876" t="s">
        <v>104</v>
      </c>
      <c r="C876" t="s">
        <v>228</v>
      </c>
      <c r="D876">
        <v>2026</v>
      </c>
      <c r="E876" t="str">
        <f t="shared" si="26"/>
        <v>Q2</v>
      </c>
      <c r="F876" t="s">
        <v>720</v>
      </c>
      <c r="G876">
        <v>0</v>
      </c>
      <c r="H876" t="str">
        <f t="shared" si="27"/>
        <v>May-2026</v>
      </c>
    </row>
    <row r="877" spans="1:8">
      <c r="A877" t="s">
        <v>103</v>
      </c>
      <c r="B877" t="s">
        <v>104</v>
      </c>
      <c r="C877" t="s">
        <v>228</v>
      </c>
      <c r="D877">
        <v>2026</v>
      </c>
      <c r="E877" t="str">
        <f t="shared" si="26"/>
        <v>Q2</v>
      </c>
      <c r="F877" t="s">
        <v>721</v>
      </c>
      <c r="G877">
        <v>0</v>
      </c>
      <c r="H877" t="str">
        <f t="shared" si="27"/>
        <v>June-2026</v>
      </c>
    </row>
    <row r="878" spans="1:8">
      <c r="A878" t="s">
        <v>103</v>
      </c>
      <c r="B878" t="s">
        <v>104</v>
      </c>
      <c r="C878" t="s">
        <v>261</v>
      </c>
      <c r="D878">
        <v>2025</v>
      </c>
      <c r="E878" t="str">
        <f t="shared" si="26"/>
        <v>Q3</v>
      </c>
      <c r="F878" t="s">
        <v>710</v>
      </c>
      <c r="G878">
        <v>1</v>
      </c>
      <c r="H878" t="str">
        <f t="shared" si="27"/>
        <v>July-2025</v>
      </c>
    </row>
    <row r="879" spans="1:8">
      <c r="A879" t="s">
        <v>103</v>
      </c>
      <c r="B879" t="s">
        <v>104</v>
      </c>
      <c r="C879" t="s">
        <v>261</v>
      </c>
      <c r="D879">
        <v>2025</v>
      </c>
      <c r="E879" t="str">
        <f t="shared" si="26"/>
        <v>Q3</v>
      </c>
      <c r="F879" t="s">
        <v>711</v>
      </c>
      <c r="G879">
        <v>1</v>
      </c>
      <c r="H879" t="str">
        <f t="shared" si="27"/>
        <v>August-2025</v>
      </c>
    </row>
    <row r="880" spans="1:8">
      <c r="A880" t="s">
        <v>103</v>
      </c>
      <c r="B880" t="s">
        <v>104</v>
      </c>
      <c r="C880" t="s">
        <v>261</v>
      </c>
      <c r="D880">
        <v>2025</v>
      </c>
      <c r="E880" t="str">
        <f t="shared" si="26"/>
        <v>Q3</v>
      </c>
      <c r="F880" t="s">
        <v>712</v>
      </c>
      <c r="G880">
        <v>1</v>
      </c>
      <c r="H880" t="str">
        <f t="shared" si="27"/>
        <v>September-2025</v>
      </c>
    </row>
    <row r="881" spans="1:8">
      <c r="A881" t="s">
        <v>103</v>
      </c>
      <c r="B881" t="s">
        <v>104</v>
      </c>
      <c r="C881" t="s">
        <v>261</v>
      </c>
      <c r="D881">
        <v>2025</v>
      </c>
      <c r="E881" t="str">
        <f t="shared" si="26"/>
        <v>Q4</v>
      </c>
      <c r="F881" t="s">
        <v>713</v>
      </c>
      <c r="G881">
        <v>1</v>
      </c>
      <c r="H881" t="str">
        <f t="shared" si="27"/>
        <v>October-2025</v>
      </c>
    </row>
    <row r="882" spans="1:8">
      <c r="A882" t="s">
        <v>103</v>
      </c>
      <c r="B882" t="s">
        <v>104</v>
      </c>
      <c r="C882" t="s">
        <v>261</v>
      </c>
      <c r="D882">
        <v>2025</v>
      </c>
      <c r="E882" t="str">
        <f t="shared" si="26"/>
        <v>Q4</v>
      </c>
      <c r="F882" t="s">
        <v>714</v>
      </c>
      <c r="G882">
        <v>0</v>
      </c>
      <c r="H882" t="str">
        <f t="shared" si="27"/>
        <v>November-2025</v>
      </c>
    </row>
    <row r="883" spans="1:8">
      <c r="A883" t="s">
        <v>103</v>
      </c>
      <c r="B883" t="s">
        <v>104</v>
      </c>
      <c r="C883" t="s">
        <v>261</v>
      </c>
      <c r="D883">
        <v>2025</v>
      </c>
      <c r="E883" t="str">
        <f t="shared" si="26"/>
        <v>Q4</v>
      </c>
      <c r="F883" t="s">
        <v>715</v>
      </c>
      <c r="G883">
        <v>0</v>
      </c>
      <c r="H883" t="str">
        <f t="shared" si="27"/>
        <v>December-2025</v>
      </c>
    </row>
    <row r="884" spans="1:8">
      <c r="A884" t="s">
        <v>103</v>
      </c>
      <c r="B884" t="s">
        <v>104</v>
      </c>
      <c r="C884" t="s">
        <v>261</v>
      </c>
      <c r="D884">
        <v>2026</v>
      </c>
      <c r="E884" t="str">
        <f t="shared" si="26"/>
        <v>Q1</v>
      </c>
      <c r="F884" t="s">
        <v>716</v>
      </c>
      <c r="G884">
        <v>0</v>
      </c>
      <c r="H884" t="str">
        <f t="shared" si="27"/>
        <v>January-2026</v>
      </c>
    </row>
    <row r="885" spans="1:8">
      <c r="A885" t="s">
        <v>103</v>
      </c>
      <c r="B885" t="s">
        <v>104</v>
      </c>
      <c r="C885" t="s">
        <v>261</v>
      </c>
      <c r="D885">
        <v>2026</v>
      </c>
      <c r="E885" t="str">
        <f t="shared" si="26"/>
        <v>Q1</v>
      </c>
      <c r="F885" t="s">
        <v>717</v>
      </c>
      <c r="G885">
        <v>0</v>
      </c>
      <c r="H885" t="str">
        <f t="shared" si="27"/>
        <v>February-2026</v>
      </c>
    </row>
    <row r="886" spans="1:8">
      <c r="A886" t="s">
        <v>103</v>
      </c>
      <c r="B886" t="s">
        <v>104</v>
      </c>
      <c r="C886" t="s">
        <v>261</v>
      </c>
      <c r="D886">
        <v>2026</v>
      </c>
      <c r="E886" t="str">
        <f t="shared" si="26"/>
        <v>Q1</v>
      </c>
      <c r="F886" t="s">
        <v>718</v>
      </c>
      <c r="G886">
        <v>0</v>
      </c>
      <c r="H886" t="str">
        <f t="shared" si="27"/>
        <v>March-2026</v>
      </c>
    </row>
    <row r="887" spans="1:8">
      <c r="A887" t="s">
        <v>103</v>
      </c>
      <c r="B887" t="s">
        <v>104</v>
      </c>
      <c r="C887" t="s">
        <v>261</v>
      </c>
      <c r="D887">
        <v>2026</v>
      </c>
      <c r="E887" t="str">
        <f t="shared" si="26"/>
        <v>Q2</v>
      </c>
      <c r="F887" t="s">
        <v>719</v>
      </c>
      <c r="G887">
        <v>0</v>
      </c>
      <c r="H887" t="str">
        <f t="shared" si="27"/>
        <v>April-2026</v>
      </c>
    </row>
    <row r="888" spans="1:8">
      <c r="A888" t="s">
        <v>103</v>
      </c>
      <c r="B888" t="s">
        <v>104</v>
      </c>
      <c r="C888" t="s">
        <v>261</v>
      </c>
      <c r="D888">
        <v>2026</v>
      </c>
      <c r="E888" t="str">
        <f t="shared" si="26"/>
        <v>Q2</v>
      </c>
      <c r="F888" t="s">
        <v>720</v>
      </c>
      <c r="G888">
        <v>0</v>
      </c>
      <c r="H888" t="str">
        <f t="shared" si="27"/>
        <v>May-2026</v>
      </c>
    </row>
    <row r="889" spans="1:8">
      <c r="A889" t="s">
        <v>103</v>
      </c>
      <c r="B889" t="s">
        <v>104</v>
      </c>
      <c r="C889" t="s">
        <v>261</v>
      </c>
      <c r="D889">
        <v>2026</v>
      </c>
      <c r="E889" t="str">
        <f t="shared" si="26"/>
        <v>Q2</v>
      </c>
      <c r="F889" t="s">
        <v>721</v>
      </c>
      <c r="G889">
        <v>0</v>
      </c>
      <c r="H889" t="str">
        <f t="shared" si="27"/>
        <v>June-2026</v>
      </c>
    </row>
    <row r="890" spans="1:8">
      <c r="A890" t="s">
        <v>103</v>
      </c>
      <c r="B890" t="s">
        <v>104</v>
      </c>
      <c r="C890" t="s">
        <v>248</v>
      </c>
      <c r="D890">
        <v>2025</v>
      </c>
      <c r="E890" t="str">
        <f t="shared" si="26"/>
        <v>Q3</v>
      </c>
      <c r="F890" t="s">
        <v>710</v>
      </c>
      <c r="G890">
        <v>1</v>
      </c>
      <c r="H890" t="str">
        <f t="shared" si="27"/>
        <v>July-2025</v>
      </c>
    </row>
    <row r="891" spans="1:8">
      <c r="A891" t="s">
        <v>103</v>
      </c>
      <c r="B891" t="s">
        <v>104</v>
      </c>
      <c r="C891" t="s">
        <v>248</v>
      </c>
      <c r="D891">
        <v>2025</v>
      </c>
      <c r="E891" t="str">
        <f t="shared" si="26"/>
        <v>Q3</v>
      </c>
      <c r="F891" t="s">
        <v>711</v>
      </c>
      <c r="G891">
        <v>1</v>
      </c>
      <c r="H891" t="str">
        <f t="shared" si="27"/>
        <v>August-2025</v>
      </c>
    </row>
    <row r="892" spans="1:8">
      <c r="A892" t="s">
        <v>103</v>
      </c>
      <c r="B892" t="s">
        <v>104</v>
      </c>
      <c r="C892" t="s">
        <v>248</v>
      </c>
      <c r="D892">
        <v>2025</v>
      </c>
      <c r="E892" t="str">
        <f t="shared" si="26"/>
        <v>Q3</v>
      </c>
      <c r="F892" t="s">
        <v>712</v>
      </c>
      <c r="G892">
        <v>0</v>
      </c>
      <c r="H892" t="str">
        <f t="shared" si="27"/>
        <v>September-2025</v>
      </c>
    </row>
    <row r="893" spans="1:8">
      <c r="A893" t="s">
        <v>103</v>
      </c>
      <c r="B893" t="s">
        <v>104</v>
      </c>
      <c r="C893" t="s">
        <v>248</v>
      </c>
      <c r="D893">
        <v>2025</v>
      </c>
      <c r="E893" t="str">
        <f t="shared" si="26"/>
        <v>Q4</v>
      </c>
      <c r="F893" t="s">
        <v>713</v>
      </c>
      <c r="G893">
        <v>0</v>
      </c>
      <c r="H893" t="str">
        <f t="shared" si="27"/>
        <v>October-2025</v>
      </c>
    </row>
    <row r="894" spans="1:8">
      <c r="A894" t="s">
        <v>103</v>
      </c>
      <c r="B894" t="s">
        <v>104</v>
      </c>
      <c r="C894" t="s">
        <v>248</v>
      </c>
      <c r="D894">
        <v>2025</v>
      </c>
      <c r="E894" t="str">
        <f t="shared" si="26"/>
        <v>Q4</v>
      </c>
      <c r="F894" t="s">
        <v>714</v>
      </c>
      <c r="G894">
        <v>0</v>
      </c>
      <c r="H894" t="str">
        <f t="shared" si="27"/>
        <v>November-2025</v>
      </c>
    </row>
    <row r="895" spans="1:8">
      <c r="A895" t="s">
        <v>103</v>
      </c>
      <c r="B895" t="s">
        <v>104</v>
      </c>
      <c r="C895" t="s">
        <v>248</v>
      </c>
      <c r="D895">
        <v>2025</v>
      </c>
      <c r="E895" t="str">
        <f t="shared" si="26"/>
        <v>Q4</v>
      </c>
      <c r="F895" t="s">
        <v>715</v>
      </c>
      <c r="G895">
        <v>0</v>
      </c>
      <c r="H895" t="str">
        <f t="shared" si="27"/>
        <v>December-2025</v>
      </c>
    </row>
    <row r="896" spans="1:8">
      <c r="A896" t="s">
        <v>103</v>
      </c>
      <c r="B896" t="s">
        <v>104</v>
      </c>
      <c r="C896" t="s">
        <v>248</v>
      </c>
      <c r="D896">
        <v>2026</v>
      </c>
      <c r="E896" t="str">
        <f t="shared" si="26"/>
        <v>Q1</v>
      </c>
      <c r="F896" t="s">
        <v>716</v>
      </c>
      <c r="G896">
        <v>0</v>
      </c>
      <c r="H896" t="str">
        <f t="shared" si="27"/>
        <v>January-2026</v>
      </c>
    </row>
    <row r="897" spans="1:8">
      <c r="A897" t="s">
        <v>103</v>
      </c>
      <c r="B897" t="s">
        <v>104</v>
      </c>
      <c r="C897" t="s">
        <v>248</v>
      </c>
      <c r="D897">
        <v>2026</v>
      </c>
      <c r="E897" t="str">
        <f t="shared" si="26"/>
        <v>Q1</v>
      </c>
      <c r="F897" t="s">
        <v>717</v>
      </c>
      <c r="G897">
        <v>0</v>
      </c>
      <c r="H897" t="str">
        <f t="shared" si="27"/>
        <v>February-2026</v>
      </c>
    </row>
    <row r="898" spans="1:8">
      <c r="A898" t="s">
        <v>103</v>
      </c>
      <c r="B898" t="s">
        <v>104</v>
      </c>
      <c r="C898" t="s">
        <v>248</v>
      </c>
      <c r="D898">
        <v>2026</v>
      </c>
      <c r="E898" t="str">
        <f t="shared" si="26"/>
        <v>Q1</v>
      </c>
      <c r="F898" t="s">
        <v>718</v>
      </c>
      <c r="G898">
        <v>0</v>
      </c>
      <c r="H898" t="str">
        <f t="shared" si="27"/>
        <v>March-2026</v>
      </c>
    </row>
    <row r="899" spans="1:8">
      <c r="A899" t="s">
        <v>103</v>
      </c>
      <c r="B899" t="s">
        <v>104</v>
      </c>
      <c r="C899" t="s">
        <v>248</v>
      </c>
      <c r="D899">
        <v>2026</v>
      </c>
      <c r="E899" t="str">
        <f t="shared" ref="E899:E962" si="28">"Q"&amp;ROUNDUP(MONTH(DATEVALUE(F899&amp;" 1"))/3,0)</f>
        <v>Q2</v>
      </c>
      <c r="F899" t="s">
        <v>719</v>
      </c>
      <c r="G899">
        <v>0</v>
      </c>
      <c r="H899" t="str">
        <f t="shared" ref="H899:H962" si="29">_xlfn.CONCAT(F899,"-",D899)</f>
        <v>April-2026</v>
      </c>
    </row>
    <row r="900" spans="1:8">
      <c r="A900" t="s">
        <v>103</v>
      </c>
      <c r="B900" t="s">
        <v>104</v>
      </c>
      <c r="C900" t="s">
        <v>248</v>
      </c>
      <c r="D900">
        <v>2026</v>
      </c>
      <c r="E900" t="str">
        <f t="shared" si="28"/>
        <v>Q2</v>
      </c>
      <c r="F900" t="s">
        <v>720</v>
      </c>
      <c r="G900">
        <v>0</v>
      </c>
      <c r="H900" t="str">
        <f t="shared" si="29"/>
        <v>May-2026</v>
      </c>
    </row>
    <row r="901" spans="1:8">
      <c r="A901" t="s">
        <v>103</v>
      </c>
      <c r="B901" t="s">
        <v>104</v>
      </c>
      <c r="C901" t="s">
        <v>248</v>
      </c>
      <c r="D901">
        <v>2026</v>
      </c>
      <c r="E901" t="str">
        <f t="shared" si="28"/>
        <v>Q2</v>
      </c>
      <c r="F901" t="s">
        <v>721</v>
      </c>
      <c r="G901">
        <v>0</v>
      </c>
      <c r="H901" t="str">
        <f t="shared" si="29"/>
        <v>June-2026</v>
      </c>
    </row>
    <row r="902" spans="1:8">
      <c r="A902" t="s">
        <v>103</v>
      </c>
      <c r="B902" t="s">
        <v>120</v>
      </c>
      <c r="C902" t="s">
        <v>105</v>
      </c>
      <c r="D902">
        <v>2025</v>
      </c>
      <c r="E902" t="str">
        <f t="shared" si="28"/>
        <v>Q3</v>
      </c>
      <c r="F902" t="s">
        <v>710</v>
      </c>
      <c r="G902">
        <v>0</v>
      </c>
      <c r="H902" t="str">
        <f t="shared" si="29"/>
        <v>July-2025</v>
      </c>
    </row>
    <row r="903" spans="1:8">
      <c r="A903" t="s">
        <v>103</v>
      </c>
      <c r="B903" t="s">
        <v>120</v>
      </c>
      <c r="C903" t="s">
        <v>105</v>
      </c>
      <c r="D903">
        <v>2025</v>
      </c>
      <c r="E903" t="str">
        <f t="shared" si="28"/>
        <v>Q3</v>
      </c>
      <c r="F903" t="s">
        <v>711</v>
      </c>
      <c r="G903">
        <v>0</v>
      </c>
      <c r="H903" t="str">
        <f t="shared" si="29"/>
        <v>August-2025</v>
      </c>
    </row>
    <row r="904" spans="1:8">
      <c r="A904" t="s">
        <v>103</v>
      </c>
      <c r="B904" t="s">
        <v>120</v>
      </c>
      <c r="C904" t="s">
        <v>105</v>
      </c>
      <c r="D904">
        <v>2025</v>
      </c>
      <c r="E904" t="str">
        <f t="shared" si="28"/>
        <v>Q3</v>
      </c>
      <c r="F904" t="s">
        <v>712</v>
      </c>
      <c r="G904">
        <v>0</v>
      </c>
      <c r="H904" t="str">
        <f t="shared" si="29"/>
        <v>September-2025</v>
      </c>
    </row>
    <row r="905" spans="1:8">
      <c r="A905" t="s">
        <v>103</v>
      </c>
      <c r="B905" t="s">
        <v>120</v>
      </c>
      <c r="C905" t="s">
        <v>105</v>
      </c>
      <c r="D905">
        <v>2025</v>
      </c>
      <c r="E905" t="str">
        <f t="shared" si="28"/>
        <v>Q4</v>
      </c>
      <c r="F905" t="s">
        <v>713</v>
      </c>
      <c r="G905">
        <v>0</v>
      </c>
      <c r="H905" t="str">
        <f t="shared" si="29"/>
        <v>October-2025</v>
      </c>
    </row>
    <row r="906" spans="1:8">
      <c r="A906" t="s">
        <v>103</v>
      </c>
      <c r="B906" t="s">
        <v>120</v>
      </c>
      <c r="C906" t="s">
        <v>105</v>
      </c>
      <c r="D906">
        <v>2025</v>
      </c>
      <c r="E906" t="str">
        <f t="shared" si="28"/>
        <v>Q4</v>
      </c>
      <c r="F906" t="s">
        <v>714</v>
      </c>
      <c r="G906">
        <v>0</v>
      </c>
      <c r="H906" t="str">
        <f t="shared" si="29"/>
        <v>November-2025</v>
      </c>
    </row>
    <row r="907" spans="1:8">
      <c r="A907" t="s">
        <v>103</v>
      </c>
      <c r="B907" t="s">
        <v>120</v>
      </c>
      <c r="C907" t="s">
        <v>105</v>
      </c>
      <c r="D907">
        <v>2025</v>
      </c>
      <c r="E907" t="str">
        <f t="shared" si="28"/>
        <v>Q4</v>
      </c>
      <c r="F907" t="s">
        <v>715</v>
      </c>
      <c r="G907">
        <v>0</v>
      </c>
      <c r="H907" t="str">
        <f t="shared" si="29"/>
        <v>December-2025</v>
      </c>
    </row>
    <row r="908" spans="1:8">
      <c r="A908" t="s">
        <v>103</v>
      </c>
      <c r="B908" t="s">
        <v>120</v>
      </c>
      <c r="C908" t="s">
        <v>105</v>
      </c>
      <c r="D908">
        <v>2026</v>
      </c>
      <c r="E908" t="str">
        <f t="shared" si="28"/>
        <v>Q1</v>
      </c>
      <c r="F908" t="s">
        <v>716</v>
      </c>
      <c r="G908">
        <v>0</v>
      </c>
      <c r="H908" t="str">
        <f t="shared" si="29"/>
        <v>January-2026</v>
      </c>
    </row>
    <row r="909" spans="1:8">
      <c r="A909" t="s">
        <v>103</v>
      </c>
      <c r="B909" t="s">
        <v>120</v>
      </c>
      <c r="C909" t="s">
        <v>105</v>
      </c>
      <c r="D909">
        <v>2026</v>
      </c>
      <c r="E909" t="str">
        <f t="shared" si="28"/>
        <v>Q1</v>
      </c>
      <c r="F909" t="s">
        <v>717</v>
      </c>
      <c r="G909">
        <v>0</v>
      </c>
      <c r="H909" t="str">
        <f t="shared" si="29"/>
        <v>February-2026</v>
      </c>
    </row>
    <row r="910" spans="1:8">
      <c r="A910" t="s">
        <v>103</v>
      </c>
      <c r="B910" t="s">
        <v>120</v>
      </c>
      <c r="C910" t="s">
        <v>105</v>
      </c>
      <c r="D910">
        <v>2026</v>
      </c>
      <c r="E910" t="str">
        <f t="shared" si="28"/>
        <v>Q1</v>
      </c>
      <c r="F910" t="s">
        <v>718</v>
      </c>
      <c r="G910">
        <v>0</v>
      </c>
      <c r="H910" t="str">
        <f t="shared" si="29"/>
        <v>March-2026</v>
      </c>
    </row>
    <row r="911" spans="1:8">
      <c r="A911" t="s">
        <v>103</v>
      </c>
      <c r="B911" t="s">
        <v>120</v>
      </c>
      <c r="C911" t="s">
        <v>105</v>
      </c>
      <c r="D911">
        <v>2026</v>
      </c>
      <c r="E911" t="str">
        <f t="shared" si="28"/>
        <v>Q2</v>
      </c>
      <c r="F911" t="s">
        <v>719</v>
      </c>
      <c r="G911">
        <v>0</v>
      </c>
      <c r="H911" t="str">
        <f t="shared" si="29"/>
        <v>April-2026</v>
      </c>
    </row>
    <row r="912" spans="1:8">
      <c r="A912" t="s">
        <v>103</v>
      </c>
      <c r="B912" t="s">
        <v>120</v>
      </c>
      <c r="C912" t="s">
        <v>105</v>
      </c>
      <c r="D912">
        <v>2026</v>
      </c>
      <c r="E912" t="str">
        <f t="shared" si="28"/>
        <v>Q2</v>
      </c>
      <c r="F912" t="s">
        <v>720</v>
      </c>
      <c r="G912">
        <v>0</v>
      </c>
      <c r="H912" t="str">
        <f t="shared" si="29"/>
        <v>May-2026</v>
      </c>
    </row>
    <row r="913" spans="1:8">
      <c r="A913" t="s">
        <v>103</v>
      </c>
      <c r="B913" t="s">
        <v>120</v>
      </c>
      <c r="C913" t="s">
        <v>105</v>
      </c>
      <c r="D913">
        <v>2026</v>
      </c>
      <c r="E913" t="str">
        <f t="shared" si="28"/>
        <v>Q2</v>
      </c>
      <c r="F913" t="s">
        <v>721</v>
      </c>
      <c r="G913">
        <v>0</v>
      </c>
      <c r="H913" t="str">
        <f t="shared" si="29"/>
        <v>June-2026</v>
      </c>
    </row>
    <row r="914" spans="1:8">
      <c r="A914" t="s">
        <v>103</v>
      </c>
      <c r="B914" t="s">
        <v>120</v>
      </c>
      <c r="C914" t="s">
        <v>206</v>
      </c>
      <c r="D914">
        <v>2025</v>
      </c>
      <c r="E914" t="str">
        <f t="shared" si="28"/>
        <v>Q3</v>
      </c>
      <c r="F914" t="s">
        <v>710</v>
      </c>
      <c r="G914">
        <v>0</v>
      </c>
      <c r="H914" t="str">
        <f t="shared" si="29"/>
        <v>July-2025</v>
      </c>
    </row>
    <row r="915" spans="1:8">
      <c r="A915" t="s">
        <v>103</v>
      </c>
      <c r="B915" t="s">
        <v>120</v>
      </c>
      <c r="C915" t="s">
        <v>206</v>
      </c>
      <c r="D915">
        <v>2025</v>
      </c>
      <c r="E915" t="str">
        <f t="shared" si="28"/>
        <v>Q3</v>
      </c>
      <c r="F915" t="s">
        <v>711</v>
      </c>
      <c r="G915">
        <v>0</v>
      </c>
      <c r="H915" t="str">
        <f t="shared" si="29"/>
        <v>August-2025</v>
      </c>
    </row>
    <row r="916" spans="1:8">
      <c r="A916" t="s">
        <v>103</v>
      </c>
      <c r="B916" t="s">
        <v>120</v>
      </c>
      <c r="C916" t="s">
        <v>206</v>
      </c>
      <c r="D916">
        <v>2025</v>
      </c>
      <c r="E916" t="str">
        <f t="shared" si="28"/>
        <v>Q3</v>
      </c>
      <c r="F916" t="s">
        <v>712</v>
      </c>
      <c r="G916">
        <v>0</v>
      </c>
      <c r="H916" t="str">
        <f t="shared" si="29"/>
        <v>September-2025</v>
      </c>
    </row>
    <row r="917" spans="1:8">
      <c r="A917" t="s">
        <v>103</v>
      </c>
      <c r="B917" t="s">
        <v>120</v>
      </c>
      <c r="C917" t="s">
        <v>206</v>
      </c>
      <c r="D917">
        <v>2025</v>
      </c>
      <c r="E917" t="str">
        <f t="shared" si="28"/>
        <v>Q4</v>
      </c>
      <c r="F917" t="s">
        <v>713</v>
      </c>
      <c r="G917">
        <v>0</v>
      </c>
      <c r="H917" t="str">
        <f t="shared" si="29"/>
        <v>October-2025</v>
      </c>
    </row>
    <row r="918" spans="1:8">
      <c r="A918" t="s">
        <v>103</v>
      </c>
      <c r="B918" t="s">
        <v>120</v>
      </c>
      <c r="C918" t="s">
        <v>206</v>
      </c>
      <c r="D918">
        <v>2025</v>
      </c>
      <c r="E918" t="str">
        <f t="shared" si="28"/>
        <v>Q4</v>
      </c>
      <c r="F918" t="s">
        <v>714</v>
      </c>
      <c r="G918">
        <v>0</v>
      </c>
      <c r="H918" t="str">
        <f t="shared" si="29"/>
        <v>November-2025</v>
      </c>
    </row>
    <row r="919" spans="1:8">
      <c r="A919" t="s">
        <v>103</v>
      </c>
      <c r="B919" t="s">
        <v>120</v>
      </c>
      <c r="C919" t="s">
        <v>206</v>
      </c>
      <c r="D919">
        <v>2025</v>
      </c>
      <c r="E919" t="str">
        <f t="shared" si="28"/>
        <v>Q4</v>
      </c>
      <c r="F919" t="s">
        <v>715</v>
      </c>
      <c r="G919">
        <v>0</v>
      </c>
      <c r="H919" t="str">
        <f t="shared" si="29"/>
        <v>December-2025</v>
      </c>
    </row>
    <row r="920" spans="1:8">
      <c r="A920" t="s">
        <v>103</v>
      </c>
      <c r="B920" t="s">
        <v>120</v>
      </c>
      <c r="C920" t="s">
        <v>206</v>
      </c>
      <c r="D920">
        <v>2026</v>
      </c>
      <c r="E920" t="str">
        <f t="shared" si="28"/>
        <v>Q1</v>
      </c>
      <c r="F920" t="s">
        <v>716</v>
      </c>
      <c r="G920">
        <v>0</v>
      </c>
      <c r="H920" t="str">
        <f t="shared" si="29"/>
        <v>January-2026</v>
      </c>
    </row>
    <row r="921" spans="1:8">
      <c r="A921" t="s">
        <v>103</v>
      </c>
      <c r="B921" t="s">
        <v>120</v>
      </c>
      <c r="C921" t="s">
        <v>206</v>
      </c>
      <c r="D921">
        <v>2026</v>
      </c>
      <c r="E921" t="str">
        <f t="shared" si="28"/>
        <v>Q1</v>
      </c>
      <c r="F921" t="s">
        <v>717</v>
      </c>
      <c r="G921">
        <v>0</v>
      </c>
      <c r="H921" t="str">
        <f t="shared" si="29"/>
        <v>February-2026</v>
      </c>
    </row>
    <row r="922" spans="1:8">
      <c r="A922" t="s">
        <v>103</v>
      </c>
      <c r="B922" t="s">
        <v>120</v>
      </c>
      <c r="C922" t="s">
        <v>206</v>
      </c>
      <c r="D922">
        <v>2026</v>
      </c>
      <c r="E922" t="str">
        <f t="shared" si="28"/>
        <v>Q1</v>
      </c>
      <c r="F922" t="s">
        <v>718</v>
      </c>
      <c r="G922">
        <v>0</v>
      </c>
      <c r="H922" t="str">
        <f t="shared" si="29"/>
        <v>March-2026</v>
      </c>
    </row>
    <row r="923" spans="1:8">
      <c r="A923" t="s">
        <v>103</v>
      </c>
      <c r="B923" t="s">
        <v>120</v>
      </c>
      <c r="C923" t="s">
        <v>206</v>
      </c>
      <c r="D923">
        <v>2026</v>
      </c>
      <c r="E923" t="str">
        <f t="shared" si="28"/>
        <v>Q2</v>
      </c>
      <c r="F923" t="s">
        <v>719</v>
      </c>
      <c r="G923">
        <v>0</v>
      </c>
      <c r="H923" t="str">
        <f t="shared" si="29"/>
        <v>April-2026</v>
      </c>
    </row>
    <row r="924" spans="1:8">
      <c r="A924" t="s">
        <v>103</v>
      </c>
      <c r="B924" t="s">
        <v>120</v>
      </c>
      <c r="C924" t="s">
        <v>206</v>
      </c>
      <c r="D924">
        <v>2026</v>
      </c>
      <c r="E924" t="str">
        <f t="shared" si="28"/>
        <v>Q2</v>
      </c>
      <c r="F924" t="s">
        <v>720</v>
      </c>
      <c r="G924">
        <v>0</v>
      </c>
      <c r="H924" t="str">
        <f t="shared" si="29"/>
        <v>May-2026</v>
      </c>
    </row>
    <row r="925" spans="1:8">
      <c r="A925" t="s">
        <v>103</v>
      </c>
      <c r="B925" t="s">
        <v>120</v>
      </c>
      <c r="C925" t="s">
        <v>206</v>
      </c>
      <c r="D925">
        <v>2026</v>
      </c>
      <c r="E925" t="str">
        <f t="shared" si="28"/>
        <v>Q2</v>
      </c>
      <c r="F925" t="s">
        <v>721</v>
      </c>
      <c r="G925">
        <v>0</v>
      </c>
      <c r="H925" t="str">
        <f t="shared" si="29"/>
        <v>June-2026</v>
      </c>
    </row>
    <row r="926" spans="1:8">
      <c r="A926" t="s">
        <v>103</v>
      </c>
      <c r="B926" t="s">
        <v>120</v>
      </c>
      <c r="C926" t="s">
        <v>121</v>
      </c>
      <c r="D926">
        <v>2025</v>
      </c>
      <c r="E926" t="str">
        <f t="shared" si="28"/>
        <v>Q3</v>
      </c>
      <c r="F926" t="s">
        <v>710</v>
      </c>
      <c r="G926">
        <v>1</v>
      </c>
      <c r="H926" t="str">
        <f t="shared" si="29"/>
        <v>July-2025</v>
      </c>
    </row>
    <row r="927" spans="1:8">
      <c r="A927" t="s">
        <v>103</v>
      </c>
      <c r="B927" t="s">
        <v>120</v>
      </c>
      <c r="C927" t="s">
        <v>121</v>
      </c>
      <c r="D927">
        <v>2025</v>
      </c>
      <c r="E927" t="str">
        <f t="shared" si="28"/>
        <v>Q3</v>
      </c>
      <c r="F927" t="s">
        <v>711</v>
      </c>
      <c r="G927">
        <v>1</v>
      </c>
      <c r="H927" t="str">
        <f t="shared" si="29"/>
        <v>August-2025</v>
      </c>
    </row>
    <row r="928" spans="1:8">
      <c r="A928" t="s">
        <v>103</v>
      </c>
      <c r="B928" t="s">
        <v>120</v>
      </c>
      <c r="C928" t="s">
        <v>121</v>
      </c>
      <c r="D928">
        <v>2025</v>
      </c>
      <c r="E928" t="str">
        <f t="shared" si="28"/>
        <v>Q3</v>
      </c>
      <c r="F928" t="s">
        <v>712</v>
      </c>
      <c r="G928">
        <v>1</v>
      </c>
      <c r="H928" t="str">
        <f t="shared" si="29"/>
        <v>September-2025</v>
      </c>
    </row>
    <row r="929" spans="1:8">
      <c r="A929" t="s">
        <v>103</v>
      </c>
      <c r="B929" t="s">
        <v>120</v>
      </c>
      <c r="C929" t="s">
        <v>121</v>
      </c>
      <c r="D929">
        <v>2025</v>
      </c>
      <c r="E929" t="str">
        <f t="shared" si="28"/>
        <v>Q4</v>
      </c>
      <c r="F929" t="s">
        <v>713</v>
      </c>
      <c r="G929">
        <v>1</v>
      </c>
      <c r="H929" t="str">
        <f t="shared" si="29"/>
        <v>October-2025</v>
      </c>
    </row>
    <row r="930" spans="1:8">
      <c r="A930" t="s">
        <v>103</v>
      </c>
      <c r="B930" t="s">
        <v>120</v>
      </c>
      <c r="C930" t="s">
        <v>121</v>
      </c>
      <c r="D930">
        <v>2025</v>
      </c>
      <c r="E930" t="str">
        <f t="shared" si="28"/>
        <v>Q4</v>
      </c>
      <c r="F930" t="s">
        <v>714</v>
      </c>
      <c r="G930">
        <v>1</v>
      </c>
      <c r="H930" t="str">
        <f t="shared" si="29"/>
        <v>November-2025</v>
      </c>
    </row>
    <row r="931" spans="1:8">
      <c r="A931" t="s">
        <v>103</v>
      </c>
      <c r="B931" t="s">
        <v>120</v>
      </c>
      <c r="C931" t="s">
        <v>121</v>
      </c>
      <c r="D931">
        <v>2025</v>
      </c>
      <c r="E931" t="str">
        <f t="shared" si="28"/>
        <v>Q4</v>
      </c>
      <c r="F931" t="s">
        <v>715</v>
      </c>
      <c r="G931">
        <v>0</v>
      </c>
      <c r="H931" t="str">
        <f t="shared" si="29"/>
        <v>December-2025</v>
      </c>
    </row>
    <row r="932" spans="1:8">
      <c r="A932" t="s">
        <v>103</v>
      </c>
      <c r="B932" t="s">
        <v>120</v>
      </c>
      <c r="C932" t="s">
        <v>121</v>
      </c>
      <c r="D932">
        <v>2026</v>
      </c>
      <c r="E932" t="str">
        <f t="shared" si="28"/>
        <v>Q1</v>
      </c>
      <c r="F932" t="s">
        <v>716</v>
      </c>
      <c r="G932">
        <v>0</v>
      </c>
      <c r="H932" t="str">
        <f t="shared" si="29"/>
        <v>January-2026</v>
      </c>
    </row>
    <row r="933" spans="1:8">
      <c r="A933" t="s">
        <v>103</v>
      </c>
      <c r="B933" t="s">
        <v>120</v>
      </c>
      <c r="C933" t="s">
        <v>121</v>
      </c>
      <c r="D933">
        <v>2026</v>
      </c>
      <c r="E933" t="str">
        <f t="shared" si="28"/>
        <v>Q1</v>
      </c>
      <c r="F933" t="s">
        <v>717</v>
      </c>
      <c r="G933">
        <v>0</v>
      </c>
      <c r="H933" t="str">
        <f t="shared" si="29"/>
        <v>February-2026</v>
      </c>
    </row>
    <row r="934" spans="1:8">
      <c r="A934" t="s">
        <v>103</v>
      </c>
      <c r="B934" t="s">
        <v>120</v>
      </c>
      <c r="C934" t="s">
        <v>121</v>
      </c>
      <c r="D934">
        <v>2026</v>
      </c>
      <c r="E934" t="str">
        <f t="shared" si="28"/>
        <v>Q1</v>
      </c>
      <c r="F934" t="s">
        <v>718</v>
      </c>
      <c r="G934">
        <v>0</v>
      </c>
      <c r="H934" t="str">
        <f t="shared" si="29"/>
        <v>March-2026</v>
      </c>
    </row>
    <row r="935" spans="1:8">
      <c r="A935" t="s">
        <v>103</v>
      </c>
      <c r="B935" t="s">
        <v>120</v>
      </c>
      <c r="C935" t="s">
        <v>121</v>
      </c>
      <c r="D935">
        <v>2026</v>
      </c>
      <c r="E935" t="str">
        <f t="shared" si="28"/>
        <v>Q2</v>
      </c>
      <c r="F935" t="s">
        <v>719</v>
      </c>
      <c r="G935">
        <v>0</v>
      </c>
      <c r="H935" t="str">
        <f t="shared" si="29"/>
        <v>April-2026</v>
      </c>
    </row>
    <row r="936" spans="1:8">
      <c r="A936" t="s">
        <v>103</v>
      </c>
      <c r="B936" t="s">
        <v>120</v>
      </c>
      <c r="C936" t="s">
        <v>121</v>
      </c>
      <c r="D936">
        <v>2026</v>
      </c>
      <c r="E936" t="str">
        <f t="shared" si="28"/>
        <v>Q2</v>
      </c>
      <c r="F936" t="s">
        <v>720</v>
      </c>
      <c r="G936">
        <v>0</v>
      </c>
      <c r="H936" t="str">
        <f t="shared" si="29"/>
        <v>May-2026</v>
      </c>
    </row>
    <row r="937" spans="1:8">
      <c r="A937" t="s">
        <v>103</v>
      </c>
      <c r="B937" t="s">
        <v>120</v>
      </c>
      <c r="C937" t="s">
        <v>121</v>
      </c>
      <c r="D937">
        <v>2026</v>
      </c>
      <c r="E937" t="str">
        <f t="shared" si="28"/>
        <v>Q2</v>
      </c>
      <c r="F937" t="s">
        <v>721</v>
      </c>
      <c r="G937">
        <v>0</v>
      </c>
      <c r="H937" t="str">
        <f t="shared" si="29"/>
        <v>June-2026</v>
      </c>
    </row>
    <row r="938" spans="1:8">
      <c r="A938" t="s">
        <v>49</v>
      </c>
      <c r="B938" t="s">
        <v>185</v>
      </c>
      <c r="C938" t="s">
        <v>51</v>
      </c>
      <c r="D938">
        <v>2025</v>
      </c>
      <c r="E938" t="str">
        <f t="shared" si="28"/>
        <v>Q3</v>
      </c>
      <c r="F938" t="s">
        <v>710</v>
      </c>
      <c r="G938">
        <v>1</v>
      </c>
      <c r="H938" t="str">
        <f t="shared" si="29"/>
        <v>July-2025</v>
      </c>
    </row>
    <row r="939" spans="1:8">
      <c r="A939" t="s">
        <v>49</v>
      </c>
      <c r="B939" t="s">
        <v>185</v>
      </c>
      <c r="C939" t="s">
        <v>51</v>
      </c>
      <c r="D939">
        <v>2025</v>
      </c>
      <c r="E939" t="str">
        <f t="shared" si="28"/>
        <v>Q3</v>
      </c>
      <c r="F939" t="s">
        <v>711</v>
      </c>
      <c r="G939">
        <v>1</v>
      </c>
      <c r="H939" t="str">
        <f t="shared" si="29"/>
        <v>August-2025</v>
      </c>
    </row>
    <row r="940" spans="1:8">
      <c r="A940" t="s">
        <v>49</v>
      </c>
      <c r="B940" t="s">
        <v>185</v>
      </c>
      <c r="C940" t="s">
        <v>51</v>
      </c>
      <c r="D940">
        <v>2025</v>
      </c>
      <c r="E940" t="str">
        <f t="shared" si="28"/>
        <v>Q3</v>
      </c>
      <c r="F940" t="s">
        <v>712</v>
      </c>
      <c r="G940">
        <v>1</v>
      </c>
      <c r="H940" t="str">
        <f t="shared" si="29"/>
        <v>September-2025</v>
      </c>
    </row>
    <row r="941" spans="1:8">
      <c r="A941" t="s">
        <v>49</v>
      </c>
      <c r="B941" t="s">
        <v>185</v>
      </c>
      <c r="C941" t="s">
        <v>51</v>
      </c>
      <c r="D941">
        <v>2025</v>
      </c>
      <c r="E941" t="str">
        <f t="shared" si="28"/>
        <v>Q4</v>
      </c>
      <c r="F941" t="s">
        <v>713</v>
      </c>
      <c r="G941">
        <v>1</v>
      </c>
      <c r="H941" t="str">
        <f t="shared" si="29"/>
        <v>October-2025</v>
      </c>
    </row>
    <row r="942" spans="1:8">
      <c r="A942" t="s">
        <v>49</v>
      </c>
      <c r="B942" t="s">
        <v>185</v>
      </c>
      <c r="C942" t="s">
        <v>51</v>
      </c>
      <c r="D942">
        <v>2025</v>
      </c>
      <c r="E942" t="str">
        <f t="shared" si="28"/>
        <v>Q4</v>
      </c>
      <c r="F942" t="s">
        <v>714</v>
      </c>
      <c r="G942">
        <v>0</v>
      </c>
      <c r="H942" t="str">
        <f t="shared" si="29"/>
        <v>November-2025</v>
      </c>
    </row>
    <row r="943" spans="1:8">
      <c r="A943" t="s">
        <v>49</v>
      </c>
      <c r="B943" t="s">
        <v>185</v>
      </c>
      <c r="C943" t="s">
        <v>51</v>
      </c>
      <c r="D943">
        <v>2025</v>
      </c>
      <c r="E943" t="str">
        <f t="shared" si="28"/>
        <v>Q4</v>
      </c>
      <c r="F943" t="s">
        <v>715</v>
      </c>
      <c r="G943">
        <v>0</v>
      </c>
      <c r="H943" t="str">
        <f t="shared" si="29"/>
        <v>December-2025</v>
      </c>
    </row>
    <row r="944" spans="1:8">
      <c r="A944" t="s">
        <v>49</v>
      </c>
      <c r="B944" t="s">
        <v>185</v>
      </c>
      <c r="C944" t="s">
        <v>51</v>
      </c>
      <c r="D944">
        <v>2026</v>
      </c>
      <c r="E944" t="str">
        <f t="shared" si="28"/>
        <v>Q1</v>
      </c>
      <c r="F944" t="s">
        <v>716</v>
      </c>
      <c r="G944">
        <v>0</v>
      </c>
      <c r="H944" t="str">
        <f t="shared" si="29"/>
        <v>January-2026</v>
      </c>
    </row>
    <row r="945" spans="1:8">
      <c r="A945" t="s">
        <v>49</v>
      </c>
      <c r="B945" t="s">
        <v>185</v>
      </c>
      <c r="C945" t="s">
        <v>51</v>
      </c>
      <c r="D945">
        <v>2026</v>
      </c>
      <c r="E945" t="str">
        <f t="shared" si="28"/>
        <v>Q1</v>
      </c>
      <c r="F945" t="s">
        <v>717</v>
      </c>
      <c r="G945">
        <v>0</v>
      </c>
      <c r="H945" t="str">
        <f t="shared" si="29"/>
        <v>February-2026</v>
      </c>
    </row>
    <row r="946" spans="1:8">
      <c r="A946" t="s">
        <v>49</v>
      </c>
      <c r="B946" t="s">
        <v>185</v>
      </c>
      <c r="C946" t="s">
        <v>51</v>
      </c>
      <c r="D946">
        <v>2026</v>
      </c>
      <c r="E946" t="str">
        <f t="shared" si="28"/>
        <v>Q1</v>
      </c>
      <c r="F946" t="s">
        <v>718</v>
      </c>
      <c r="G946">
        <v>0</v>
      </c>
      <c r="H946" t="str">
        <f t="shared" si="29"/>
        <v>March-2026</v>
      </c>
    </row>
    <row r="947" spans="1:8">
      <c r="A947" t="s">
        <v>49</v>
      </c>
      <c r="B947" t="s">
        <v>185</v>
      </c>
      <c r="C947" t="s">
        <v>51</v>
      </c>
      <c r="D947">
        <v>2026</v>
      </c>
      <c r="E947" t="str">
        <f t="shared" si="28"/>
        <v>Q2</v>
      </c>
      <c r="F947" t="s">
        <v>719</v>
      </c>
      <c r="G947">
        <v>0</v>
      </c>
      <c r="H947" t="str">
        <f t="shared" si="29"/>
        <v>April-2026</v>
      </c>
    </row>
    <row r="948" spans="1:8">
      <c r="A948" t="s">
        <v>49</v>
      </c>
      <c r="B948" t="s">
        <v>185</v>
      </c>
      <c r="C948" t="s">
        <v>51</v>
      </c>
      <c r="D948">
        <v>2026</v>
      </c>
      <c r="E948" t="str">
        <f t="shared" si="28"/>
        <v>Q2</v>
      </c>
      <c r="F948" t="s">
        <v>720</v>
      </c>
      <c r="G948">
        <v>0</v>
      </c>
      <c r="H948" t="str">
        <f t="shared" si="29"/>
        <v>May-2026</v>
      </c>
    </row>
    <row r="949" spans="1:8">
      <c r="A949" t="s">
        <v>49</v>
      </c>
      <c r="B949" t="s">
        <v>185</v>
      </c>
      <c r="C949" t="s">
        <v>51</v>
      </c>
      <c r="D949">
        <v>2026</v>
      </c>
      <c r="E949" t="str">
        <f t="shared" si="28"/>
        <v>Q2</v>
      </c>
      <c r="F949" t="s">
        <v>721</v>
      </c>
      <c r="G949">
        <v>0</v>
      </c>
      <c r="H949" t="str">
        <f t="shared" si="29"/>
        <v>June-2026</v>
      </c>
    </row>
    <row r="950" spans="1:8">
      <c r="A950" t="s">
        <v>49</v>
      </c>
      <c r="B950" t="s">
        <v>185</v>
      </c>
      <c r="C950" t="s">
        <v>251</v>
      </c>
      <c r="D950">
        <v>2025</v>
      </c>
      <c r="E950" t="str">
        <f t="shared" si="28"/>
        <v>Q3</v>
      </c>
      <c r="F950" t="s">
        <v>710</v>
      </c>
      <c r="G950">
        <v>1</v>
      </c>
      <c r="H950" t="str">
        <f t="shared" si="29"/>
        <v>July-2025</v>
      </c>
    </row>
    <row r="951" spans="1:8">
      <c r="A951" t="s">
        <v>49</v>
      </c>
      <c r="B951" t="s">
        <v>185</v>
      </c>
      <c r="C951" t="s">
        <v>251</v>
      </c>
      <c r="D951">
        <v>2025</v>
      </c>
      <c r="E951" t="str">
        <f t="shared" si="28"/>
        <v>Q3</v>
      </c>
      <c r="F951" t="s">
        <v>711</v>
      </c>
      <c r="G951">
        <v>1</v>
      </c>
      <c r="H951" t="str">
        <f t="shared" si="29"/>
        <v>August-2025</v>
      </c>
    </row>
    <row r="952" spans="1:8">
      <c r="A952" t="s">
        <v>49</v>
      </c>
      <c r="B952" t="s">
        <v>185</v>
      </c>
      <c r="C952" t="s">
        <v>251</v>
      </c>
      <c r="D952">
        <v>2025</v>
      </c>
      <c r="E952" t="str">
        <f t="shared" si="28"/>
        <v>Q3</v>
      </c>
      <c r="F952" t="s">
        <v>712</v>
      </c>
      <c r="G952">
        <v>0</v>
      </c>
      <c r="H952" t="str">
        <f t="shared" si="29"/>
        <v>September-2025</v>
      </c>
    </row>
    <row r="953" spans="1:8">
      <c r="A953" t="s">
        <v>49</v>
      </c>
      <c r="B953" t="s">
        <v>185</v>
      </c>
      <c r="C953" t="s">
        <v>251</v>
      </c>
      <c r="D953">
        <v>2025</v>
      </c>
      <c r="E953" t="str">
        <f t="shared" si="28"/>
        <v>Q4</v>
      </c>
      <c r="F953" t="s">
        <v>713</v>
      </c>
      <c r="G953">
        <v>0</v>
      </c>
      <c r="H953" t="str">
        <f t="shared" si="29"/>
        <v>October-2025</v>
      </c>
    </row>
    <row r="954" spans="1:8">
      <c r="A954" t="s">
        <v>49</v>
      </c>
      <c r="B954" t="s">
        <v>185</v>
      </c>
      <c r="C954" t="s">
        <v>251</v>
      </c>
      <c r="D954">
        <v>2025</v>
      </c>
      <c r="E954" t="str">
        <f t="shared" si="28"/>
        <v>Q4</v>
      </c>
      <c r="F954" t="s">
        <v>714</v>
      </c>
      <c r="G954">
        <v>0</v>
      </c>
      <c r="H954" t="str">
        <f t="shared" si="29"/>
        <v>November-2025</v>
      </c>
    </row>
    <row r="955" spans="1:8">
      <c r="A955" t="s">
        <v>49</v>
      </c>
      <c r="B955" t="s">
        <v>185</v>
      </c>
      <c r="C955" t="s">
        <v>251</v>
      </c>
      <c r="D955">
        <v>2025</v>
      </c>
      <c r="E955" t="str">
        <f t="shared" si="28"/>
        <v>Q4</v>
      </c>
      <c r="F955" t="s">
        <v>715</v>
      </c>
      <c r="G955">
        <v>0</v>
      </c>
      <c r="H955" t="str">
        <f t="shared" si="29"/>
        <v>December-2025</v>
      </c>
    </row>
    <row r="956" spans="1:8">
      <c r="A956" t="s">
        <v>49</v>
      </c>
      <c r="B956" t="s">
        <v>185</v>
      </c>
      <c r="C956" t="s">
        <v>251</v>
      </c>
      <c r="D956">
        <v>2026</v>
      </c>
      <c r="E956" t="str">
        <f t="shared" si="28"/>
        <v>Q1</v>
      </c>
      <c r="F956" t="s">
        <v>716</v>
      </c>
      <c r="G956">
        <v>0</v>
      </c>
      <c r="H956" t="str">
        <f t="shared" si="29"/>
        <v>January-2026</v>
      </c>
    </row>
    <row r="957" spans="1:8">
      <c r="A957" t="s">
        <v>49</v>
      </c>
      <c r="B957" t="s">
        <v>185</v>
      </c>
      <c r="C957" t="s">
        <v>251</v>
      </c>
      <c r="D957">
        <v>2026</v>
      </c>
      <c r="E957" t="str">
        <f t="shared" si="28"/>
        <v>Q1</v>
      </c>
      <c r="F957" t="s">
        <v>717</v>
      </c>
      <c r="G957">
        <v>0</v>
      </c>
      <c r="H957" t="str">
        <f t="shared" si="29"/>
        <v>February-2026</v>
      </c>
    </row>
    <row r="958" spans="1:8">
      <c r="A958" t="s">
        <v>49</v>
      </c>
      <c r="B958" t="s">
        <v>185</v>
      </c>
      <c r="C958" t="s">
        <v>251</v>
      </c>
      <c r="D958">
        <v>2026</v>
      </c>
      <c r="E958" t="str">
        <f t="shared" si="28"/>
        <v>Q1</v>
      </c>
      <c r="F958" t="s">
        <v>718</v>
      </c>
      <c r="G958">
        <v>0</v>
      </c>
      <c r="H958" t="str">
        <f t="shared" si="29"/>
        <v>March-2026</v>
      </c>
    </row>
    <row r="959" spans="1:8">
      <c r="A959" t="s">
        <v>49</v>
      </c>
      <c r="B959" t="s">
        <v>185</v>
      </c>
      <c r="C959" t="s">
        <v>251</v>
      </c>
      <c r="D959">
        <v>2026</v>
      </c>
      <c r="E959" t="str">
        <f t="shared" si="28"/>
        <v>Q2</v>
      </c>
      <c r="F959" t="s">
        <v>719</v>
      </c>
      <c r="G959">
        <v>0</v>
      </c>
      <c r="H959" t="str">
        <f t="shared" si="29"/>
        <v>April-2026</v>
      </c>
    </row>
    <row r="960" spans="1:8">
      <c r="A960" t="s">
        <v>49</v>
      </c>
      <c r="B960" t="s">
        <v>185</v>
      </c>
      <c r="C960" t="s">
        <v>251</v>
      </c>
      <c r="D960">
        <v>2026</v>
      </c>
      <c r="E960" t="str">
        <f t="shared" si="28"/>
        <v>Q2</v>
      </c>
      <c r="F960" t="s">
        <v>720</v>
      </c>
      <c r="G960">
        <v>0</v>
      </c>
      <c r="H960" t="str">
        <f t="shared" si="29"/>
        <v>May-2026</v>
      </c>
    </row>
    <row r="961" spans="1:8">
      <c r="A961" t="s">
        <v>49</v>
      </c>
      <c r="B961" t="s">
        <v>185</v>
      </c>
      <c r="C961" t="s">
        <v>251</v>
      </c>
      <c r="D961">
        <v>2026</v>
      </c>
      <c r="E961" t="str">
        <f t="shared" si="28"/>
        <v>Q2</v>
      </c>
      <c r="F961" t="s">
        <v>721</v>
      </c>
      <c r="G961">
        <v>0</v>
      </c>
      <c r="H961" t="str">
        <f t="shared" si="29"/>
        <v>June-2026</v>
      </c>
    </row>
    <row r="962" spans="1:8">
      <c r="A962" t="s">
        <v>49</v>
      </c>
      <c r="B962" t="s">
        <v>185</v>
      </c>
      <c r="C962" t="s">
        <v>66</v>
      </c>
      <c r="D962">
        <v>2025</v>
      </c>
      <c r="E962" t="str">
        <f t="shared" si="28"/>
        <v>Q3</v>
      </c>
      <c r="F962" t="s">
        <v>710</v>
      </c>
      <c r="G962">
        <v>1</v>
      </c>
      <c r="H962" t="str">
        <f t="shared" si="29"/>
        <v>July-2025</v>
      </c>
    </row>
    <row r="963" spans="1:8">
      <c r="A963" t="s">
        <v>49</v>
      </c>
      <c r="B963" t="s">
        <v>185</v>
      </c>
      <c r="C963" t="s">
        <v>66</v>
      </c>
      <c r="D963">
        <v>2025</v>
      </c>
      <c r="E963" t="str">
        <f t="shared" ref="E963:E1026" si="30">"Q"&amp;ROUNDUP(MONTH(DATEVALUE(F963&amp;" 1"))/3,0)</f>
        <v>Q3</v>
      </c>
      <c r="F963" t="s">
        <v>711</v>
      </c>
      <c r="G963">
        <v>1</v>
      </c>
      <c r="H963" t="str">
        <f t="shared" ref="H963:H1026" si="31">_xlfn.CONCAT(F963,"-",D963)</f>
        <v>August-2025</v>
      </c>
    </row>
    <row r="964" spans="1:8">
      <c r="A964" t="s">
        <v>49</v>
      </c>
      <c r="B964" t="s">
        <v>185</v>
      </c>
      <c r="C964" t="s">
        <v>66</v>
      </c>
      <c r="D964">
        <v>2025</v>
      </c>
      <c r="E964" t="str">
        <f t="shared" si="30"/>
        <v>Q3</v>
      </c>
      <c r="F964" t="s">
        <v>712</v>
      </c>
      <c r="G964">
        <v>1</v>
      </c>
      <c r="H964" t="str">
        <f t="shared" si="31"/>
        <v>September-2025</v>
      </c>
    </row>
    <row r="965" spans="1:8">
      <c r="A965" t="s">
        <v>49</v>
      </c>
      <c r="B965" t="s">
        <v>185</v>
      </c>
      <c r="C965" t="s">
        <v>66</v>
      </c>
      <c r="D965">
        <v>2025</v>
      </c>
      <c r="E965" t="str">
        <f t="shared" si="30"/>
        <v>Q4</v>
      </c>
      <c r="F965" t="s">
        <v>713</v>
      </c>
      <c r="G965">
        <v>1</v>
      </c>
      <c r="H965" t="str">
        <f t="shared" si="31"/>
        <v>October-2025</v>
      </c>
    </row>
    <row r="966" spans="1:8">
      <c r="A966" t="s">
        <v>49</v>
      </c>
      <c r="B966" t="s">
        <v>185</v>
      </c>
      <c r="C966" t="s">
        <v>66</v>
      </c>
      <c r="D966">
        <v>2025</v>
      </c>
      <c r="E966" t="str">
        <f t="shared" si="30"/>
        <v>Q4</v>
      </c>
      <c r="F966" t="s">
        <v>714</v>
      </c>
      <c r="G966">
        <v>0</v>
      </c>
      <c r="H966" t="str">
        <f t="shared" si="31"/>
        <v>November-2025</v>
      </c>
    </row>
    <row r="967" spans="1:8">
      <c r="A967" t="s">
        <v>49</v>
      </c>
      <c r="B967" t="s">
        <v>185</v>
      </c>
      <c r="C967" t="s">
        <v>66</v>
      </c>
      <c r="D967">
        <v>2025</v>
      </c>
      <c r="E967" t="str">
        <f t="shared" si="30"/>
        <v>Q4</v>
      </c>
      <c r="F967" t="s">
        <v>715</v>
      </c>
      <c r="G967">
        <v>0</v>
      </c>
      <c r="H967" t="str">
        <f t="shared" si="31"/>
        <v>December-2025</v>
      </c>
    </row>
    <row r="968" spans="1:8">
      <c r="A968" t="s">
        <v>49</v>
      </c>
      <c r="B968" t="s">
        <v>185</v>
      </c>
      <c r="C968" t="s">
        <v>66</v>
      </c>
      <c r="D968">
        <v>2026</v>
      </c>
      <c r="E968" t="str">
        <f t="shared" si="30"/>
        <v>Q1</v>
      </c>
      <c r="F968" t="s">
        <v>716</v>
      </c>
      <c r="G968">
        <v>0</v>
      </c>
      <c r="H968" t="str">
        <f t="shared" si="31"/>
        <v>January-2026</v>
      </c>
    </row>
    <row r="969" spans="1:8">
      <c r="A969" t="s">
        <v>49</v>
      </c>
      <c r="B969" t="s">
        <v>185</v>
      </c>
      <c r="C969" t="s">
        <v>66</v>
      </c>
      <c r="D969">
        <v>2026</v>
      </c>
      <c r="E969" t="str">
        <f t="shared" si="30"/>
        <v>Q1</v>
      </c>
      <c r="F969" t="s">
        <v>717</v>
      </c>
      <c r="G969">
        <v>0</v>
      </c>
      <c r="H969" t="str">
        <f t="shared" si="31"/>
        <v>February-2026</v>
      </c>
    </row>
    <row r="970" spans="1:8">
      <c r="A970" t="s">
        <v>49</v>
      </c>
      <c r="B970" t="s">
        <v>185</v>
      </c>
      <c r="C970" t="s">
        <v>66</v>
      </c>
      <c r="D970">
        <v>2026</v>
      </c>
      <c r="E970" t="str">
        <f t="shared" si="30"/>
        <v>Q1</v>
      </c>
      <c r="F970" t="s">
        <v>718</v>
      </c>
      <c r="G970">
        <v>0</v>
      </c>
      <c r="H970" t="str">
        <f t="shared" si="31"/>
        <v>March-2026</v>
      </c>
    </row>
    <row r="971" spans="1:8">
      <c r="A971" t="s">
        <v>49</v>
      </c>
      <c r="B971" t="s">
        <v>185</v>
      </c>
      <c r="C971" t="s">
        <v>66</v>
      </c>
      <c r="D971">
        <v>2026</v>
      </c>
      <c r="E971" t="str">
        <f t="shared" si="30"/>
        <v>Q2</v>
      </c>
      <c r="F971" t="s">
        <v>719</v>
      </c>
      <c r="G971">
        <v>0</v>
      </c>
      <c r="H971" t="str">
        <f t="shared" si="31"/>
        <v>April-2026</v>
      </c>
    </row>
    <row r="972" spans="1:8">
      <c r="A972" t="s">
        <v>49</v>
      </c>
      <c r="B972" t="s">
        <v>185</v>
      </c>
      <c r="C972" t="s">
        <v>66</v>
      </c>
      <c r="D972">
        <v>2026</v>
      </c>
      <c r="E972" t="str">
        <f t="shared" si="30"/>
        <v>Q2</v>
      </c>
      <c r="F972" t="s">
        <v>720</v>
      </c>
      <c r="G972">
        <v>0</v>
      </c>
      <c r="H972" t="str">
        <f t="shared" si="31"/>
        <v>May-2026</v>
      </c>
    </row>
    <row r="973" spans="1:8">
      <c r="A973" t="s">
        <v>49</v>
      </c>
      <c r="B973" t="s">
        <v>185</v>
      </c>
      <c r="C973" t="s">
        <v>66</v>
      </c>
      <c r="D973">
        <v>2026</v>
      </c>
      <c r="E973" t="str">
        <f t="shared" si="30"/>
        <v>Q2</v>
      </c>
      <c r="F973" t="s">
        <v>721</v>
      </c>
      <c r="G973">
        <v>0</v>
      </c>
      <c r="H973" t="str">
        <f t="shared" si="31"/>
        <v>June-2026</v>
      </c>
    </row>
    <row r="974" spans="1:8">
      <c r="A974" t="s">
        <v>49</v>
      </c>
      <c r="B974" t="s">
        <v>141</v>
      </c>
      <c r="C974" t="s">
        <v>51</v>
      </c>
      <c r="D974">
        <v>2025</v>
      </c>
      <c r="E974" t="str">
        <f t="shared" si="30"/>
        <v>Q3</v>
      </c>
      <c r="F974" t="s">
        <v>710</v>
      </c>
      <c r="G974">
        <v>1</v>
      </c>
      <c r="H974" t="str">
        <f t="shared" si="31"/>
        <v>July-2025</v>
      </c>
    </row>
    <row r="975" spans="1:8">
      <c r="A975" t="s">
        <v>49</v>
      </c>
      <c r="B975" t="s">
        <v>141</v>
      </c>
      <c r="C975" t="s">
        <v>51</v>
      </c>
      <c r="D975">
        <v>2025</v>
      </c>
      <c r="E975" t="str">
        <f t="shared" si="30"/>
        <v>Q3</v>
      </c>
      <c r="F975" t="s">
        <v>711</v>
      </c>
      <c r="G975">
        <v>0</v>
      </c>
      <c r="H975" t="str">
        <f t="shared" si="31"/>
        <v>August-2025</v>
      </c>
    </row>
    <row r="976" spans="1:8">
      <c r="A976" t="s">
        <v>49</v>
      </c>
      <c r="B976" t="s">
        <v>141</v>
      </c>
      <c r="C976" t="s">
        <v>51</v>
      </c>
      <c r="D976">
        <v>2025</v>
      </c>
      <c r="E976" t="str">
        <f t="shared" si="30"/>
        <v>Q3</v>
      </c>
      <c r="F976" t="s">
        <v>712</v>
      </c>
      <c r="G976">
        <v>0</v>
      </c>
      <c r="H976" t="str">
        <f t="shared" si="31"/>
        <v>September-2025</v>
      </c>
    </row>
    <row r="977" spans="1:8">
      <c r="A977" t="s">
        <v>49</v>
      </c>
      <c r="B977" t="s">
        <v>141</v>
      </c>
      <c r="C977" t="s">
        <v>51</v>
      </c>
      <c r="D977">
        <v>2025</v>
      </c>
      <c r="E977" t="str">
        <f t="shared" si="30"/>
        <v>Q4</v>
      </c>
      <c r="F977" t="s">
        <v>713</v>
      </c>
      <c r="G977">
        <v>0</v>
      </c>
      <c r="H977" t="str">
        <f t="shared" si="31"/>
        <v>October-2025</v>
      </c>
    </row>
    <row r="978" spans="1:8">
      <c r="A978" t="s">
        <v>49</v>
      </c>
      <c r="B978" t="s">
        <v>141</v>
      </c>
      <c r="C978" t="s">
        <v>51</v>
      </c>
      <c r="D978">
        <v>2025</v>
      </c>
      <c r="E978" t="str">
        <f t="shared" si="30"/>
        <v>Q4</v>
      </c>
      <c r="F978" t="s">
        <v>714</v>
      </c>
      <c r="G978">
        <v>0</v>
      </c>
      <c r="H978" t="str">
        <f t="shared" si="31"/>
        <v>November-2025</v>
      </c>
    </row>
    <row r="979" spans="1:8">
      <c r="A979" t="s">
        <v>49</v>
      </c>
      <c r="B979" t="s">
        <v>141</v>
      </c>
      <c r="C979" t="s">
        <v>51</v>
      </c>
      <c r="D979">
        <v>2025</v>
      </c>
      <c r="E979" t="str">
        <f t="shared" si="30"/>
        <v>Q4</v>
      </c>
      <c r="F979" t="s">
        <v>715</v>
      </c>
      <c r="G979">
        <v>0</v>
      </c>
      <c r="H979" t="str">
        <f t="shared" si="31"/>
        <v>December-2025</v>
      </c>
    </row>
    <row r="980" spans="1:8">
      <c r="A980" t="s">
        <v>49</v>
      </c>
      <c r="B980" t="s">
        <v>141</v>
      </c>
      <c r="C980" t="s">
        <v>51</v>
      </c>
      <c r="D980">
        <v>2026</v>
      </c>
      <c r="E980" t="str">
        <f t="shared" si="30"/>
        <v>Q1</v>
      </c>
      <c r="F980" t="s">
        <v>716</v>
      </c>
      <c r="G980">
        <v>0</v>
      </c>
      <c r="H980" t="str">
        <f t="shared" si="31"/>
        <v>January-2026</v>
      </c>
    </row>
    <row r="981" spans="1:8">
      <c r="A981" t="s">
        <v>49</v>
      </c>
      <c r="B981" t="s">
        <v>141</v>
      </c>
      <c r="C981" t="s">
        <v>51</v>
      </c>
      <c r="D981">
        <v>2026</v>
      </c>
      <c r="E981" t="str">
        <f t="shared" si="30"/>
        <v>Q1</v>
      </c>
      <c r="F981" t="s">
        <v>717</v>
      </c>
      <c r="G981">
        <v>0</v>
      </c>
      <c r="H981" t="str">
        <f t="shared" si="31"/>
        <v>February-2026</v>
      </c>
    </row>
    <row r="982" spans="1:8">
      <c r="A982" t="s">
        <v>49</v>
      </c>
      <c r="B982" t="s">
        <v>141</v>
      </c>
      <c r="C982" t="s">
        <v>51</v>
      </c>
      <c r="D982">
        <v>2026</v>
      </c>
      <c r="E982" t="str">
        <f t="shared" si="30"/>
        <v>Q1</v>
      </c>
      <c r="F982" t="s">
        <v>718</v>
      </c>
      <c r="G982">
        <v>0</v>
      </c>
      <c r="H982" t="str">
        <f t="shared" si="31"/>
        <v>March-2026</v>
      </c>
    </row>
    <row r="983" spans="1:8">
      <c r="A983" t="s">
        <v>49</v>
      </c>
      <c r="B983" t="s">
        <v>141</v>
      </c>
      <c r="C983" t="s">
        <v>51</v>
      </c>
      <c r="D983">
        <v>2026</v>
      </c>
      <c r="E983" t="str">
        <f t="shared" si="30"/>
        <v>Q2</v>
      </c>
      <c r="F983" t="s">
        <v>719</v>
      </c>
      <c r="G983">
        <v>0</v>
      </c>
      <c r="H983" t="str">
        <f t="shared" si="31"/>
        <v>April-2026</v>
      </c>
    </row>
    <row r="984" spans="1:8">
      <c r="A984" t="s">
        <v>49</v>
      </c>
      <c r="B984" t="s">
        <v>141</v>
      </c>
      <c r="C984" t="s">
        <v>51</v>
      </c>
      <c r="D984">
        <v>2026</v>
      </c>
      <c r="E984" t="str">
        <f t="shared" si="30"/>
        <v>Q2</v>
      </c>
      <c r="F984" t="s">
        <v>720</v>
      </c>
      <c r="G984">
        <v>0</v>
      </c>
      <c r="H984" t="str">
        <f t="shared" si="31"/>
        <v>May-2026</v>
      </c>
    </row>
    <row r="985" spans="1:8">
      <c r="A985" t="s">
        <v>49</v>
      </c>
      <c r="B985" t="s">
        <v>141</v>
      </c>
      <c r="C985" t="s">
        <v>51</v>
      </c>
      <c r="D985">
        <v>2026</v>
      </c>
      <c r="E985" t="str">
        <f t="shared" si="30"/>
        <v>Q2</v>
      </c>
      <c r="F985" t="s">
        <v>721</v>
      </c>
      <c r="G985">
        <v>0</v>
      </c>
      <c r="H985" t="str">
        <f t="shared" si="31"/>
        <v>June-2026</v>
      </c>
    </row>
    <row r="986" spans="1:8">
      <c r="A986" t="s">
        <v>49</v>
      </c>
      <c r="B986" t="s">
        <v>141</v>
      </c>
      <c r="C986" t="s">
        <v>188</v>
      </c>
      <c r="D986">
        <v>2025</v>
      </c>
      <c r="E986" t="str">
        <f t="shared" si="30"/>
        <v>Q3</v>
      </c>
      <c r="F986" t="s">
        <v>710</v>
      </c>
      <c r="G986">
        <v>1</v>
      </c>
      <c r="H986" t="str">
        <f t="shared" si="31"/>
        <v>July-2025</v>
      </c>
    </row>
    <row r="987" spans="1:8">
      <c r="A987" t="s">
        <v>49</v>
      </c>
      <c r="B987" t="s">
        <v>141</v>
      </c>
      <c r="C987" t="s">
        <v>188</v>
      </c>
      <c r="D987">
        <v>2025</v>
      </c>
      <c r="E987" t="str">
        <f t="shared" si="30"/>
        <v>Q3</v>
      </c>
      <c r="F987" t="s">
        <v>711</v>
      </c>
      <c r="G987">
        <v>1</v>
      </c>
      <c r="H987" t="str">
        <f t="shared" si="31"/>
        <v>August-2025</v>
      </c>
    </row>
    <row r="988" spans="1:8">
      <c r="A988" t="s">
        <v>49</v>
      </c>
      <c r="B988" t="s">
        <v>141</v>
      </c>
      <c r="C988" t="s">
        <v>188</v>
      </c>
      <c r="D988">
        <v>2025</v>
      </c>
      <c r="E988" t="str">
        <f t="shared" si="30"/>
        <v>Q3</v>
      </c>
      <c r="F988" t="s">
        <v>712</v>
      </c>
      <c r="G988">
        <v>0</v>
      </c>
      <c r="H988" t="str">
        <f t="shared" si="31"/>
        <v>September-2025</v>
      </c>
    </row>
    <row r="989" spans="1:8">
      <c r="A989" t="s">
        <v>49</v>
      </c>
      <c r="B989" t="s">
        <v>141</v>
      </c>
      <c r="C989" t="s">
        <v>188</v>
      </c>
      <c r="D989">
        <v>2025</v>
      </c>
      <c r="E989" t="str">
        <f t="shared" si="30"/>
        <v>Q4</v>
      </c>
      <c r="F989" t="s">
        <v>713</v>
      </c>
      <c r="G989">
        <v>0</v>
      </c>
      <c r="H989" t="str">
        <f t="shared" si="31"/>
        <v>October-2025</v>
      </c>
    </row>
    <row r="990" spans="1:8">
      <c r="A990" t="s">
        <v>49</v>
      </c>
      <c r="B990" t="s">
        <v>141</v>
      </c>
      <c r="C990" t="s">
        <v>188</v>
      </c>
      <c r="D990">
        <v>2025</v>
      </c>
      <c r="E990" t="str">
        <f t="shared" si="30"/>
        <v>Q4</v>
      </c>
      <c r="F990" t="s">
        <v>714</v>
      </c>
      <c r="G990">
        <v>0</v>
      </c>
      <c r="H990" t="str">
        <f t="shared" si="31"/>
        <v>November-2025</v>
      </c>
    </row>
    <row r="991" spans="1:8">
      <c r="A991" t="s">
        <v>49</v>
      </c>
      <c r="B991" t="s">
        <v>141</v>
      </c>
      <c r="C991" t="s">
        <v>188</v>
      </c>
      <c r="D991">
        <v>2025</v>
      </c>
      <c r="E991" t="str">
        <f t="shared" si="30"/>
        <v>Q4</v>
      </c>
      <c r="F991" t="s">
        <v>715</v>
      </c>
      <c r="G991">
        <v>0</v>
      </c>
      <c r="H991" t="str">
        <f t="shared" si="31"/>
        <v>December-2025</v>
      </c>
    </row>
    <row r="992" spans="1:8">
      <c r="A992" t="s">
        <v>49</v>
      </c>
      <c r="B992" t="s">
        <v>141</v>
      </c>
      <c r="C992" t="s">
        <v>188</v>
      </c>
      <c r="D992">
        <v>2026</v>
      </c>
      <c r="E992" t="str">
        <f t="shared" si="30"/>
        <v>Q1</v>
      </c>
      <c r="F992" t="s">
        <v>716</v>
      </c>
      <c r="G992">
        <v>0</v>
      </c>
      <c r="H992" t="str">
        <f t="shared" si="31"/>
        <v>January-2026</v>
      </c>
    </row>
    <row r="993" spans="1:8">
      <c r="A993" t="s">
        <v>49</v>
      </c>
      <c r="B993" t="s">
        <v>141</v>
      </c>
      <c r="C993" t="s">
        <v>188</v>
      </c>
      <c r="D993">
        <v>2026</v>
      </c>
      <c r="E993" t="str">
        <f t="shared" si="30"/>
        <v>Q1</v>
      </c>
      <c r="F993" t="s">
        <v>717</v>
      </c>
      <c r="G993">
        <v>0</v>
      </c>
      <c r="H993" t="str">
        <f t="shared" si="31"/>
        <v>February-2026</v>
      </c>
    </row>
    <row r="994" spans="1:8">
      <c r="A994" t="s">
        <v>49</v>
      </c>
      <c r="B994" t="s">
        <v>141</v>
      </c>
      <c r="C994" t="s">
        <v>188</v>
      </c>
      <c r="D994">
        <v>2026</v>
      </c>
      <c r="E994" t="str">
        <f t="shared" si="30"/>
        <v>Q1</v>
      </c>
      <c r="F994" t="s">
        <v>718</v>
      </c>
      <c r="G994">
        <v>0</v>
      </c>
      <c r="H994" t="str">
        <f t="shared" si="31"/>
        <v>March-2026</v>
      </c>
    </row>
    <row r="995" spans="1:8">
      <c r="A995" t="s">
        <v>49</v>
      </c>
      <c r="B995" t="s">
        <v>141</v>
      </c>
      <c r="C995" t="s">
        <v>188</v>
      </c>
      <c r="D995">
        <v>2026</v>
      </c>
      <c r="E995" t="str">
        <f t="shared" si="30"/>
        <v>Q2</v>
      </c>
      <c r="F995" t="s">
        <v>719</v>
      </c>
      <c r="G995">
        <v>0</v>
      </c>
      <c r="H995" t="str">
        <f t="shared" si="31"/>
        <v>April-2026</v>
      </c>
    </row>
    <row r="996" spans="1:8">
      <c r="A996" t="s">
        <v>49</v>
      </c>
      <c r="B996" t="s">
        <v>141</v>
      </c>
      <c r="C996" t="s">
        <v>188</v>
      </c>
      <c r="D996">
        <v>2026</v>
      </c>
      <c r="E996" t="str">
        <f t="shared" si="30"/>
        <v>Q2</v>
      </c>
      <c r="F996" t="s">
        <v>720</v>
      </c>
      <c r="G996">
        <v>0</v>
      </c>
      <c r="H996" t="str">
        <f t="shared" si="31"/>
        <v>May-2026</v>
      </c>
    </row>
    <row r="997" spans="1:8">
      <c r="A997" t="s">
        <v>49</v>
      </c>
      <c r="B997" t="s">
        <v>141</v>
      </c>
      <c r="C997" t="s">
        <v>188</v>
      </c>
      <c r="D997">
        <v>2026</v>
      </c>
      <c r="E997" t="str">
        <f t="shared" si="30"/>
        <v>Q2</v>
      </c>
      <c r="F997" t="s">
        <v>721</v>
      </c>
      <c r="G997">
        <v>0</v>
      </c>
      <c r="H997" t="str">
        <f t="shared" si="31"/>
        <v>June-2026</v>
      </c>
    </row>
    <row r="998" spans="1:8">
      <c r="A998" t="s">
        <v>49</v>
      </c>
      <c r="B998" t="s">
        <v>141</v>
      </c>
      <c r="C998" t="s">
        <v>99</v>
      </c>
      <c r="D998">
        <v>2025</v>
      </c>
      <c r="E998" t="str">
        <f t="shared" si="30"/>
        <v>Q3</v>
      </c>
      <c r="F998" t="s">
        <v>710</v>
      </c>
      <c r="G998">
        <v>0</v>
      </c>
      <c r="H998" t="str">
        <f t="shared" si="31"/>
        <v>July-2025</v>
      </c>
    </row>
    <row r="999" spans="1:8">
      <c r="A999" t="s">
        <v>49</v>
      </c>
      <c r="B999" t="s">
        <v>141</v>
      </c>
      <c r="C999" t="s">
        <v>99</v>
      </c>
      <c r="D999">
        <v>2025</v>
      </c>
      <c r="E999" t="str">
        <f t="shared" si="30"/>
        <v>Q3</v>
      </c>
      <c r="F999" t="s">
        <v>711</v>
      </c>
      <c r="G999">
        <v>0</v>
      </c>
      <c r="H999" t="str">
        <f t="shared" si="31"/>
        <v>August-2025</v>
      </c>
    </row>
    <row r="1000" spans="1:8">
      <c r="A1000" t="s">
        <v>49</v>
      </c>
      <c r="B1000" t="s">
        <v>141</v>
      </c>
      <c r="C1000" t="s">
        <v>99</v>
      </c>
      <c r="D1000">
        <v>2025</v>
      </c>
      <c r="E1000" t="str">
        <f t="shared" si="30"/>
        <v>Q3</v>
      </c>
      <c r="F1000" t="s">
        <v>712</v>
      </c>
      <c r="G1000">
        <v>0</v>
      </c>
      <c r="H1000" t="str">
        <f t="shared" si="31"/>
        <v>September-2025</v>
      </c>
    </row>
    <row r="1001" spans="1:8">
      <c r="A1001" t="s">
        <v>49</v>
      </c>
      <c r="B1001" t="s">
        <v>141</v>
      </c>
      <c r="C1001" t="s">
        <v>99</v>
      </c>
      <c r="D1001">
        <v>2025</v>
      </c>
      <c r="E1001" t="str">
        <f t="shared" si="30"/>
        <v>Q4</v>
      </c>
      <c r="F1001" t="s">
        <v>713</v>
      </c>
      <c r="G1001">
        <v>0</v>
      </c>
      <c r="H1001" t="str">
        <f t="shared" si="31"/>
        <v>October-2025</v>
      </c>
    </row>
    <row r="1002" spans="1:8">
      <c r="A1002" t="s">
        <v>49</v>
      </c>
      <c r="B1002" t="s">
        <v>141</v>
      </c>
      <c r="C1002" t="s">
        <v>99</v>
      </c>
      <c r="D1002">
        <v>2025</v>
      </c>
      <c r="E1002" t="str">
        <f t="shared" si="30"/>
        <v>Q4</v>
      </c>
      <c r="F1002" t="s">
        <v>714</v>
      </c>
      <c r="G1002">
        <v>0</v>
      </c>
      <c r="H1002" t="str">
        <f t="shared" si="31"/>
        <v>November-2025</v>
      </c>
    </row>
    <row r="1003" spans="1:8">
      <c r="A1003" t="s">
        <v>49</v>
      </c>
      <c r="B1003" t="s">
        <v>141</v>
      </c>
      <c r="C1003" t="s">
        <v>99</v>
      </c>
      <c r="D1003">
        <v>2025</v>
      </c>
      <c r="E1003" t="str">
        <f t="shared" si="30"/>
        <v>Q4</v>
      </c>
      <c r="F1003" t="s">
        <v>715</v>
      </c>
      <c r="G1003">
        <v>0</v>
      </c>
      <c r="H1003" t="str">
        <f t="shared" si="31"/>
        <v>December-2025</v>
      </c>
    </row>
    <row r="1004" spans="1:8">
      <c r="A1004" t="s">
        <v>49</v>
      </c>
      <c r="B1004" t="s">
        <v>141</v>
      </c>
      <c r="C1004" t="s">
        <v>99</v>
      </c>
      <c r="D1004">
        <v>2026</v>
      </c>
      <c r="E1004" t="str">
        <f t="shared" si="30"/>
        <v>Q1</v>
      </c>
      <c r="F1004" t="s">
        <v>716</v>
      </c>
      <c r="G1004">
        <v>0</v>
      </c>
      <c r="H1004" t="str">
        <f t="shared" si="31"/>
        <v>January-2026</v>
      </c>
    </row>
    <row r="1005" spans="1:8">
      <c r="A1005" t="s">
        <v>49</v>
      </c>
      <c r="B1005" t="s">
        <v>141</v>
      </c>
      <c r="C1005" t="s">
        <v>99</v>
      </c>
      <c r="D1005">
        <v>2026</v>
      </c>
      <c r="E1005" t="str">
        <f t="shared" si="30"/>
        <v>Q1</v>
      </c>
      <c r="F1005" t="s">
        <v>717</v>
      </c>
      <c r="G1005">
        <v>0</v>
      </c>
      <c r="H1005" t="str">
        <f t="shared" si="31"/>
        <v>February-2026</v>
      </c>
    </row>
    <row r="1006" spans="1:8">
      <c r="A1006" t="s">
        <v>49</v>
      </c>
      <c r="B1006" t="s">
        <v>141</v>
      </c>
      <c r="C1006" t="s">
        <v>99</v>
      </c>
      <c r="D1006">
        <v>2026</v>
      </c>
      <c r="E1006" t="str">
        <f t="shared" si="30"/>
        <v>Q1</v>
      </c>
      <c r="F1006" t="s">
        <v>718</v>
      </c>
      <c r="G1006">
        <v>0</v>
      </c>
      <c r="H1006" t="str">
        <f t="shared" si="31"/>
        <v>March-2026</v>
      </c>
    </row>
    <row r="1007" spans="1:8">
      <c r="A1007" t="s">
        <v>49</v>
      </c>
      <c r="B1007" t="s">
        <v>141</v>
      </c>
      <c r="C1007" t="s">
        <v>99</v>
      </c>
      <c r="D1007">
        <v>2026</v>
      </c>
      <c r="E1007" t="str">
        <f t="shared" si="30"/>
        <v>Q2</v>
      </c>
      <c r="F1007" t="s">
        <v>719</v>
      </c>
      <c r="G1007">
        <v>0</v>
      </c>
      <c r="H1007" t="str">
        <f t="shared" si="31"/>
        <v>April-2026</v>
      </c>
    </row>
    <row r="1008" spans="1:8">
      <c r="A1008" t="s">
        <v>49</v>
      </c>
      <c r="B1008" t="s">
        <v>141</v>
      </c>
      <c r="C1008" t="s">
        <v>99</v>
      </c>
      <c r="D1008">
        <v>2026</v>
      </c>
      <c r="E1008" t="str">
        <f t="shared" si="30"/>
        <v>Q2</v>
      </c>
      <c r="F1008" t="s">
        <v>720</v>
      </c>
      <c r="G1008">
        <v>0</v>
      </c>
      <c r="H1008" t="str">
        <f t="shared" si="31"/>
        <v>May-2026</v>
      </c>
    </row>
    <row r="1009" spans="1:8">
      <c r="A1009" t="s">
        <v>49</v>
      </c>
      <c r="B1009" t="s">
        <v>141</v>
      </c>
      <c r="C1009" t="s">
        <v>99</v>
      </c>
      <c r="D1009">
        <v>2026</v>
      </c>
      <c r="E1009" t="str">
        <f t="shared" si="30"/>
        <v>Q2</v>
      </c>
      <c r="F1009" t="s">
        <v>721</v>
      </c>
      <c r="G1009">
        <v>0</v>
      </c>
      <c r="H1009" t="str">
        <f t="shared" si="31"/>
        <v>June-2026</v>
      </c>
    </row>
    <row r="1010" spans="1:8">
      <c r="A1010" t="s">
        <v>49</v>
      </c>
      <c r="B1010" t="s">
        <v>141</v>
      </c>
      <c r="C1010" t="s">
        <v>66</v>
      </c>
      <c r="D1010">
        <v>2025</v>
      </c>
      <c r="E1010" t="str">
        <f t="shared" si="30"/>
        <v>Q3</v>
      </c>
      <c r="F1010" t="s">
        <v>710</v>
      </c>
      <c r="G1010">
        <v>1</v>
      </c>
      <c r="H1010" t="str">
        <f t="shared" si="31"/>
        <v>July-2025</v>
      </c>
    </row>
    <row r="1011" spans="1:8">
      <c r="A1011" t="s">
        <v>49</v>
      </c>
      <c r="B1011" t="s">
        <v>141</v>
      </c>
      <c r="C1011" t="s">
        <v>66</v>
      </c>
      <c r="D1011">
        <v>2025</v>
      </c>
      <c r="E1011" t="str">
        <f t="shared" si="30"/>
        <v>Q3</v>
      </c>
      <c r="F1011" t="s">
        <v>711</v>
      </c>
      <c r="G1011">
        <v>1</v>
      </c>
      <c r="H1011" t="str">
        <f t="shared" si="31"/>
        <v>August-2025</v>
      </c>
    </row>
    <row r="1012" spans="1:8">
      <c r="A1012" t="s">
        <v>49</v>
      </c>
      <c r="B1012" t="s">
        <v>141</v>
      </c>
      <c r="C1012" t="s">
        <v>66</v>
      </c>
      <c r="D1012">
        <v>2025</v>
      </c>
      <c r="E1012" t="str">
        <f t="shared" si="30"/>
        <v>Q3</v>
      </c>
      <c r="F1012" t="s">
        <v>712</v>
      </c>
      <c r="G1012">
        <v>1</v>
      </c>
      <c r="H1012" t="str">
        <f t="shared" si="31"/>
        <v>September-2025</v>
      </c>
    </row>
    <row r="1013" spans="1:8">
      <c r="A1013" t="s">
        <v>49</v>
      </c>
      <c r="B1013" t="s">
        <v>141</v>
      </c>
      <c r="C1013" t="s">
        <v>66</v>
      </c>
      <c r="D1013">
        <v>2025</v>
      </c>
      <c r="E1013" t="str">
        <f t="shared" si="30"/>
        <v>Q4</v>
      </c>
      <c r="F1013" t="s">
        <v>713</v>
      </c>
      <c r="G1013">
        <v>1</v>
      </c>
      <c r="H1013" t="str">
        <f t="shared" si="31"/>
        <v>October-2025</v>
      </c>
    </row>
    <row r="1014" spans="1:8">
      <c r="A1014" t="s">
        <v>49</v>
      </c>
      <c r="B1014" t="s">
        <v>141</v>
      </c>
      <c r="C1014" t="s">
        <v>66</v>
      </c>
      <c r="D1014">
        <v>2025</v>
      </c>
      <c r="E1014" t="str">
        <f t="shared" si="30"/>
        <v>Q4</v>
      </c>
      <c r="F1014" t="s">
        <v>714</v>
      </c>
      <c r="G1014">
        <v>1</v>
      </c>
      <c r="H1014" t="str">
        <f t="shared" si="31"/>
        <v>November-2025</v>
      </c>
    </row>
    <row r="1015" spans="1:8">
      <c r="A1015" t="s">
        <v>49</v>
      </c>
      <c r="B1015" t="s">
        <v>141</v>
      </c>
      <c r="C1015" t="s">
        <v>66</v>
      </c>
      <c r="D1015">
        <v>2025</v>
      </c>
      <c r="E1015" t="str">
        <f t="shared" si="30"/>
        <v>Q4</v>
      </c>
      <c r="F1015" t="s">
        <v>715</v>
      </c>
      <c r="G1015">
        <v>0</v>
      </c>
      <c r="H1015" t="str">
        <f t="shared" si="31"/>
        <v>December-2025</v>
      </c>
    </row>
    <row r="1016" spans="1:8">
      <c r="A1016" t="s">
        <v>49</v>
      </c>
      <c r="B1016" t="s">
        <v>141</v>
      </c>
      <c r="C1016" t="s">
        <v>66</v>
      </c>
      <c r="D1016">
        <v>2026</v>
      </c>
      <c r="E1016" t="str">
        <f t="shared" si="30"/>
        <v>Q1</v>
      </c>
      <c r="F1016" t="s">
        <v>716</v>
      </c>
      <c r="G1016">
        <v>0</v>
      </c>
      <c r="H1016" t="str">
        <f t="shared" si="31"/>
        <v>January-2026</v>
      </c>
    </row>
    <row r="1017" spans="1:8">
      <c r="A1017" t="s">
        <v>49</v>
      </c>
      <c r="B1017" t="s">
        <v>141</v>
      </c>
      <c r="C1017" t="s">
        <v>66</v>
      </c>
      <c r="D1017">
        <v>2026</v>
      </c>
      <c r="E1017" t="str">
        <f t="shared" si="30"/>
        <v>Q1</v>
      </c>
      <c r="F1017" t="s">
        <v>717</v>
      </c>
      <c r="G1017">
        <v>0</v>
      </c>
      <c r="H1017" t="str">
        <f t="shared" si="31"/>
        <v>February-2026</v>
      </c>
    </row>
    <row r="1018" spans="1:8">
      <c r="A1018" t="s">
        <v>49</v>
      </c>
      <c r="B1018" t="s">
        <v>141</v>
      </c>
      <c r="C1018" t="s">
        <v>66</v>
      </c>
      <c r="D1018">
        <v>2026</v>
      </c>
      <c r="E1018" t="str">
        <f t="shared" si="30"/>
        <v>Q1</v>
      </c>
      <c r="F1018" t="s">
        <v>718</v>
      </c>
      <c r="G1018">
        <v>0</v>
      </c>
      <c r="H1018" t="str">
        <f t="shared" si="31"/>
        <v>March-2026</v>
      </c>
    </row>
    <row r="1019" spans="1:8">
      <c r="A1019" t="s">
        <v>49</v>
      </c>
      <c r="B1019" t="s">
        <v>141</v>
      </c>
      <c r="C1019" t="s">
        <v>66</v>
      </c>
      <c r="D1019">
        <v>2026</v>
      </c>
      <c r="E1019" t="str">
        <f t="shared" si="30"/>
        <v>Q2</v>
      </c>
      <c r="F1019" t="s">
        <v>719</v>
      </c>
      <c r="G1019">
        <v>0</v>
      </c>
      <c r="H1019" t="str">
        <f t="shared" si="31"/>
        <v>April-2026</v>
      </c>
    </row>
    <row r="1020" spans="1:8">
      <c r="A1020" t="s">
        <v>49</v>
      </c>
      <c r="B1020" t="s">
        <v>141</v>
      </c>
      <c r="C1020" t="s">
        <v>66</v>
      </c>
      <c r="D1020">
        <v>2026</v>
      </c>
      <c r="E1020" t="str">
        <f t="shared" si="30"/>
        <v>Q2</v>
      </c>
      <c r="F1020" t="s">
        <v>720</v>
      </c>
      <c r="G1020">
        <v>0</v>
      </c>
      <c r="H1020" t="str">
        <f t="shared" si="31"/>
        <v>May-2026</v>
      </c>
    </row>
    <row r="1021" spans="1:8">
      <c r="A1021" t="s">
        <v>49</v>
      </c>
      <c r="B1021" t="s">
        <v>141</v>
      </c>
      <c r="C1021" t="s">
        <v>66</v>
      </c>
      <c r="D1021">
        <v>2026</v>
      </c>
      <c r="E1021" t="str">
        <f t="shared" si="30"/>
        <v>Q2</v>
      </c>
      <c r="F1021" t="s">
        <v>721</v>
      </c>
      <c r="G1021">
        <v>0</v>
      </c>
      <c r="H1021" t="str">
        <f t="shared" si="31"/>
        <v>June-2026</v>
      </c>
    </row>
    <row r="1022" spans="1:8">
      <c r="A1022" t="s">
        <v>49</v>
      </c>
      <c r="B1022" t="s">
        <v>141</v>
      </c>
      <c r="C1022" t="s">
        <v>142</v>
      </c>
      <c r="D1022">
        <v>2025</v>
      </c>
      <c r="E1022" t="str">
        <f t="shared" si="30"/>
        <v>Q3</v>
      </c>
      <c r="F1022" t="s">
        <v>710</v>
      </c>
      <c r="G1022">
        <v>0</v>
      </c>
      <c r="H1022" t="str">
        <f t="shared" si="31"/>
        <v>July-2025</v>
      </c>
    </row>
    <row r="1023" spans="1:8">
      <c r="A1023" t="s">
        <v>49</v>
      </c>
      <c r="B1023" t="s">
        <v>141</v>
      </c>
      <c r="C1023" t="s">
        <v>142</v>
      </c>
      <c r="D1023">
        <v>2025</v>
      </c>
      <c r="E1023" t="str">
        <f t="shared" si="30"/>
        <v>Q3</v>
      </c>
      <c r="F1023" t="s">
        <v>711</v>
      </c>
      <c r="G1023">
        <v>0</v>
      </c>
      <c r="H1023" t="str">
        <f t="shared" si="31"/>
        <v>August-2025</v>
      </c>
    </row>
    <row r="1024" spans="1:8">
      <c r="A1024" t="s">
        <v>49</v>
      </c>
      <c r="B1024" t="s">
        <v>141</v>
      </c>
      <c r="C1024" t="s">
        <v>142</v>
      </c>
      <c r="D1024">
        <v>2025</v>
      </c>
      <c r="E1024" t="str">
        <f t="shared" si="30"/>
        <v>Q3</v>
      </c>
      <c r="F1024" t="s">
        <v>712</v>
      </c>
      <c r="G1024">
        <v>0</v>
      </c>
      <c r="H1024" t="str">
        <f t="shared" si="31"/>
        <v>September-2025</v>
      </c>
    </row>
    <row r="1025" spans="1:8">
      <c r="A1025" t="s">
        <v>49</v>
      </c>
      <c r="B1025" t="s">
        <v>141</v>
      </c>
      <c r="C1025" t="s">
        <v>142</v>
      </c>
      <c r="D1025">
        <v>2025</v>
      </c>
      <c r="E1025" t="str">
        <f t="shared" si="30"/>
        <v>Q4</v>
      </c>
      <c r="F1025" t="s">
        <v>713</v>
      </c>
      <c r="G1025">
        <v>0</v>
      </c>
      <c r="H1025" t="str">
        <f t="shared" si="31"/>
        <v>October-2025</v>
      </c>
    </row>
    <row r="1026" spans="1:8">
      <c r="A1026" t="s">
        <v>49</v>
      </c>
      <c r="B1026" t="s">
        <v>141</v>
      </c>
      <c r="C1026" t="s">
        <v>142</v>
      </c>
      <c r="D1026">
        <v>2025</v>
      </c>
      <c r="E1026" t="str">
        <f t="shared" si="30"/>
        <v>Q4</v>
      </c>
      <c r="F1026" t="s">
        <v>714</v>
      </c>
      <c r="G1026">
        <v>0</v>
      </c>
      <c r="H1026" t="str">
        <f t="shared" si="31"/>
        <v>November-2025</v>
      </c>
    </row>
    <row r="1027" spans="1:8">
      <c r="A1027" t="s">
        <v>49</v>
      </c>
      <c r="B1027" t="s">
        <v>141</v>
      </c>
      <c r="C1027" t="s">
        <v>142</v>
      </c>
      <c r="D1027">
        <v>2025</v>
      </c>
      <c r="E1027" t="str">
        <f t="shared" ref="E1027:E1090" si="32">"Q"&amp;ROUNDUP(MONTH(DATEVALUE(F1027&amp;" 1"))/3,0)</f>
        <v>Q4</v>
      </c>
      <c r="F1027" t="s">
        <v>715</v>
      </c>
      <c r="G1027">
        <v>0</v>
      </c>
      <c r="H1027" t="str">
        <f t="shared" ref="H1027:H1090" si="33">_xlfn.CONCAT(F1027,"-",D1027)</f>
        <v>December-2025</v>
      </c>
    </row>
    <row r="1028" spans="1:8">
      <c r="A1028" t="s">
        <v>49</v>
      </c>
      <c r="B1028" t="s">
        <v>141</v>
      </c>
      <c r="C1028" t="s">
        <v>142</v>
      </c>
      <c r="D1028">
        <v>2026</v>
      </c>
      <c r="E1028" t="str">
        <f t="shared" si="32"/>
        <v>Q1</v>
      </c>
      <c r="F1028" t="s">
        <v>716</v>
      </c>
      <c r="G1028">
        <v>0</v>
      </c>
      <c r="H1028" t="str">
        <f t="shared" si="33"/>
        <v>January-2026</v>
      </c>
    </row>
    <row r="1029" spans="1:8">
      <c r="A1029" t="s">
        <v>49</v>
      </c>
      <c r="B1029" t="s">
        <v>141</v>
      </c>
      <c r="C1029" t="s">
        <v>142</v>
      </c>
      <c r="D1029">
        <v>2026</v>
      </c>
      <c r="E1029" t="str">
        <f t="shared" si="32"/>
        <v>Q1</v>
      </c>
      <c r="F1029" t="s">
        <v>717</v>
      </c>
      <c r="G1029">
        <v>0</v>
      </c>
      <c r="H1029" t="str">
        <f t="shared" si="33"/>
        <v>February-2026</v>
      </c>
    </row>
    <row r="1030" spans="1:8">
      <c r="A1030" t="s">
        <v>49</v>
      </c>
      <c r="B1030" t="s">
        <v>141</v>
      </c>
      <c r="C1030" t="s">
        <v>142</v>
      </c>
      <c r="D1030">
        <v>2026</v>
      </c>
      <c r="E1030" t="str">
        <f t="shared" si="32"/>
        <v>Q1</v>
      </c>
      <c r="F1030" t="s">
        <v>718</v>
      </c>
      <c r="G1030">
        <v>0</v>
      </c>
      <c r="H1030" t="str">
        <f t="shared" si="33"/>
        <v>March-2026</v>
      </c>
    </row>
    <row r="1031" spans="1:8">
      <c r="A1031" t="s">
        <v>49</v>
      </c>
      <c r="B1031" t="s">
        <v>141</v>
      </c>
      <c r="C1031" t="s">
        <v>142</v>
      </c>
      <c r="D1031">
        <v>2026</v>
      </c>
      <c r="E1031" t="str">
        <f t="shared" si="32"/>
        <v>Q2</v>
      </c>
      <c r="F1031" t="s">
        <v>719</v>
      </c>
      <c r="G1031">
        <v>0</v>
      </c>
      <c r="H1031" t="str">
        <f t="shared" si="33"/>
        <v>April-2026</v>
      </c>
    </row>
    <row r="1032" spans="1:8">
      <c r="A1032" t="s">
        <v>49</v>
      </c>
      <c r="B1032" t="s">
        <v>141</v>
      </c>
      <c r="C1032" t="s">
        <v>142</v>
      </c>
      <c r="D1032">
        <v>2026</v>
      </c>
      <c r="E1032" t="str">
        <f t="shared" si="32"/>
        <v>Q2</v>
      </c>
      <c r="F1032" t="s">
        <v>720</v>
      </c>
      <c r="G1032">
        <v>0</v>
      </c>
      <c r="H1032" t="str">
        <f t="shared" si="33"/>
        <v>May-2026</v>
      </c>
    </row>
    <row r="1033" spans="1:8">
      <c r="A1033" t="s">
        <v>49</v>
      </c>
      <c r="B1033" t="s">
        <v>141</v>
      </c>
      <c r="C1033" t="s">
        <v>142</v>
      </c>
      <c r="D1033">
        <v>2026</v>
      </c>
      <c r="E1033" t="str">
        <f t="shared" si="32"/>
        <v>Q2</v>
      </c>
      <c r="F1033" t="s">
        <v>721</v>
      </c>
      <c r="G1033">
        <v>0</v>
      </c>
      <c r="H1033" t="str">
        <f t="shared" si="33"/>
        <v>June-2026</v>
      </c>
    </row>
    <row r="1034" spans="1:8">
      <c r="A1034" t="s">
        <v>49</v>
      </c>
      <c r="B1034" t="s">
        <v>89</v>
      </c>
      <c r="C1034" t="s">
        <v>66</v>
      </c>
      <c r="D1034">
        <v>2025</v>
      </c>
      <c r="E1034" t="str">
        <f t="shared" si="32"/>
        <v>Q3</v>
      </c>
      <c r="F1034" t="s">
        <v>710</v>
      </c>
      <c r="G1034">
        <v>0</v>
      </c>
      <c r="H1034" t="str">
        <f t="shared" si="33"/>
        <v>July-2025</v>
      </c>
    </row>
    <row r="1035" spans="1:8">
      <c r="A1035" t="s">
        <v>49</v>
      </c>
      <c r="B1035" t="s">
        <v>89</v>
      </c>
      <c r="C1035" t="s">
        <v>66</v>
      </c>
      <c r="D1035">
        <v>2025</v>
      </c>
      <c r="E1035" t="str">
        <f t="shared" si="32"/>
        <v>Q3</v>
      </c>
      <c r="F1035" t="s">
        <v>711</v>
      </c>
      <c r="G1035">
        <v>0</v>
      </c>
      <c r="H1035" t="str">
        <f t="shared" si="33"/>
        <v>August-2025</v>
      </c>
    </row>
    <row r="1036" spans="1:8">
      <c r="A1036" t="s">
        <v>49</v>
      </c>
      <c r="B1036" t="s">
        <v>89</v>
      </c>
      <c r="C1036" t="s">
        <v>66</v>
      </c>
      <c r="D1036">
        <v>2025</v>
      </c>
      <c r="E1036" t="str">
        <f t="shared" si="32"/>
        <v>Q3</v>
      </c>
      <c r="F1036" t="s">
        <v>712</v>
      </c>
      <c r="G1036">
        <v>0</v>
      </c>
      <c r="H1036" t="str">
        <f t="shared" si="33"/>
        <v>September-2025</v>
      </c>
    </row>
    <row r="1037" spans="1:8">
      <c r="A1037" t="s">
        <v>49</v>
      </c>
      <c r="B1037" t="s">
        <v>89</v>
      </c>
      <c r="C1037" t="s">
        <v>66</v>
      </c>
      <c r="D1037">
        <v>2025</v>
      </c>
      <c r="E1037" t="str">
        <f t="shared" si="32"/>
        <v>Q4</v>
      </c>
      <c r="F1037" t="s">
        <v>713</v>
      </c>
      <c r="G1037">
        <v>0</v>
      </c>
      <c r="H1037" t="str">
        <f t="shared" si="33"/>
        <v>October-2025</v>
      </c>
    </row>
    <row r="1038" spans="1:8">
      <c r="A1038" t="s">
        <v>49</v>
      </c>
      <c r="B1038" t="s">
        <v>89</v>
      </c>
      <c r="C1038" t="s">
        <v>66</v>
      </c>
      <c r="D1038">
        <v>2025</v>
      </c>
      <c r="E1038" t="str">
        <f t="shared" si="32"/>
        <v>Q4</v>
      </c>
      <c r="F1038" t="s">
        <v>714</v>
      </c>
      <c r="G1038">
        <v>0</v>
      </c>
      <c r="H1038" t="str">
        <f t="shared" si="33"/>
        <v>November-2025</v>
      </c>
    </row>
    <row r="1039" spans="1:8">
      <c r="A1039" t="s">
        <v>49</v>
      </c>
      <c r="B1039" t="s">
        <v>89</v>
      </c>
      <c r="C1039" t="s">
        <v>66</v>
      </c>
      <c r="D1039">
        <v>2025</v>
      </c>
      <c r="E1039" t="str">
        <f t="shared" si="32"/>
        <v>Q4</v>
      </c>
      <c r="F1039" t="s">
        <v>715</v>
      </c>
      <c r="G1039">
        <v>0</v>
      </c>
      <c r="H1039" t="str">
        <f t="shared" si="33"/>
        <v>December-2025</v>
      </c>
    </row>
    <row r="1040" spans="1:8">
      <c r="A1040" t="s">
        <v>49</v>
      </c>
      <c r="B1040" t="s">
        <v>89</v>
      </c>
      <c r="C1040" t="s">
        <v>66</v>
      </c>
      <c r="D1040">
        <v>2026</v>
      </c>
      <c r="E1040" t="str">
        <f t="shared" si="32"/>
        <v>Q1</v>
      </c>
      <c r="F1040" t="s">
        <v>716</v>
      </c>
      <c r="G1040">
        <v>0</v>
      </c>
      <c r="H1040" t="str">
        <f t="shared" si="33"/>
        <v>January-2026</v>
      </c>
    </row>
    <row r="1041" spans="1:8">
      <c r="A1041" t="s">
        <v>49</v>
      </c>
      <c r="B1041" t="s">
        <v>89</v>
      </c>
      <c r="C1041" t="s">
        <v>66</v>
      </c>
      <c r="D1041">
        <v>2026</v>
      </c>
      <c r="E1041" t="str">
        <f t="shared" si="32"/>
        <v>Q1</v>
      </c>
      <c r="F1041" t="s">
        <v>717</v>
      </c>
      <c r="G1041">
        <v>0</v>
      </c>
      <c r="H1041" t="str">
        <f t="shared" si="33"/>
        <v>February-2026</v>
      </c>
    </row>
    <row r="1042" spans="1:8">
      <c r="A1042" t="s">
        <v>49</v>
      </c>
      <c r="B1042" t="s">
        <v>89</v>
      </c>
      <c r="C1042" t="s">
        <v>66</v>
      </c>
      <c r="D1042">
        <v>2026</v>
      </c>
      <c r="E1042" t="str">
        <f t="shared" si="32"/>
        <v>Q1</v>
      </c>
      <c r="F1042" t="s">
        <v>718</v>
      </c>
      <c r="G1042">
        <v>0</v>
      </c>
      <c r="H1042" t="str">
        <f t="shared" si="33"/>
        <v>March-2026</v>
      </c>
    </row>
    <row r="1043" spans="1:8">
      <c r="A1043" t="s">
        <v>49</v>
      </c>
      <c r="B1043" t="s">
        <v>89</v>
      </c>
      <c r="C1043" t="s">
        <v>66</v>
      </c>
      <c r="D1043">
        <v>2026</v>
      </c>
      <c r="E1043" t="str">
        <f t="shared" si="32"/>
        <v>Q2</v>
      </c>
      <c r="F1043" t="s">
        <v>719</v>
      </c>
      <c r="G1043">
        <v>0</v>
      </c>
      <c r="H1043" t="str">
        <f t="shared" si="33"/>
        <v>April-2026</v>
      </c>
    </row>
    <row r="1044" spans="1:8">
      <c r="A1044" t="s">
        <v>49</v>
      </c>
      <c r="B1044" t="s">
        <v>89</v>
      </c>
      <c r="C1044" t="s">
        <v>66</v>
      </c>
      <c r="D1044">
        <v>2026</v>
      </c>
      <c r="E1044" t="str">
        <f t="shared" si="32"/>
        <v>Q2</v>
      </c>
      <c r="F1044" t="s">
        <v>720</v>
      </c>
      <c r="G1044">
        <v>0</v>
      </c>
      <c r="H1044" t="str">
        <f t="shared" si="33"/>
        <v>May-2026</v>
      </c>
    </row>
    <row r="1045" spans="1:8">
      <c r="A1045" t="s">
        <v>49</v>
      </c>
      <c r="B1045" t="s">
        <v>89</v>
      </c>
      <c r="C1045" t="s">
        <v>66</v>
      </c>
      <c r="D1045">
        <v>2026</v>
      </c>
      <c r="E1045" t="str">
        <f t="shared" si="32"/>
        <v>Q2</v>
      </c>
      <c r="F1045" t="s">
        <v>721</v>
      </c>
      <c r="G1045">
        <v>0</v>
      </c>
      <c r="H1045" t="str">
        <f t="shared" si="33"/>
        <v>June-2026</v>
      </c>
    </row>
    <row r="1046" spans="1:8">
      <c r="A1046" t="s">
        <v>49</v>
      </c>
      <c r="B1046" t="s">
        <v>50</v>
      </c>
      <c r="C1046" t="s">
        <v>188</v>
      </c>
      <c r="D1046">
        <v>2025</v>
      </c>
      <c r="E1046" t="str">
        <f t="shared" si="32"/>
        <v>Q3</v>
      </c>
      <c r="F1046" t="s">
        <v>710</v>
      </c>
      <c r="G1046">
        <v>0</v>
      </c>
      <c r="H1046" t="str">
        <f t="shared" si="33"/>
        <v>July-2025</v>
      </c>
    </row>
    <row r="1047" spans="1:8">
      <c r="A1047" t="s">
        <v>49</v>
      </c>
      <c r="B1047" t="s">
        <v>50</v>
      </c>
      <c r="C1047" t="s">
        <v>188</v>
      </c>
      <c r="D1047">
        <v>2025</v>
      </c>
      <c r="E1047" t="str">
        <f t="shared" si="32"/>
        <v>Q3</v>
      </c>
      <c r="F1047" t="s">
        <v>711</v>
      </c>
      <c r="G1047">
        <v>0</v>
      </c>
      <c r="H1047" t="str">
        <f t="shared" si="33"/>
        <v>August-2025</v>
      </c>
    </row>
    <row r="1048" spans="1:8">
      <c r="A1048" t="s">
        <v>49</v>
      </c>
      <c r="B1048" t="s">
        <v>50</v>
      </c>
      <c r="C1048" t="s">
        <v>188</v>
      </c>
      <c r="D1048">
        <v>2025</v>
      </c>
      <c r="E1048" t="str">
        <f t="shared" si="32"/>
        <v>Q3</v>
      </c>
      <c r="F1048" t="s">
        <v>712</v>
      </c>
      <c r="G1048">
        <v>0</v>
      </c>
      <c r="H1048" t="str">
        <f t="shared" si="33"/>
        <v>September-2025</v>
      </c>
    </row>
    <row r="1049" spans="1:8">
      <c r="A1049" t="s">
        <v>49</v>
      </c>
      <c r="B1049" t="s">
        <v>50</v>
      </c>
      <c r="C1049" t="s">
        <v>188</v>
      </c>
      <c r="D1049">
        <v>2025</v>
      </c>
      <c r="E1049" t="str">
        <f t="shared" si="32"/>
        <v>Q4</v>
      </c>
      <c r="F1049" t="s">
        <v>713</v>
      </c>
      <c r="G1049">
        <v>0</v>
      </c>
      <c r="H1049" t="str">
        <f t="shared" si="33"/>
        <v>October-2025</v>
      </c>
    </row>
    <row r="1050" spans="1:8">
      <c r="A1050" t="s">
        <v>49</v>
      </c>
      <c r="B1050" t="s">
        <v>50</v>
      </c>
      <c r="C1050" t="s">
        <v>188</v>
      </c>
      <c r="D1050">
        <v>2025</v>
      </c>
      <c r="E1050" t="str">
        <f t="shared" si="32"/>
        <v>Q4</v>
      </c>
      <c r="F1050" t="s">
        <v>714</v>
      </c>
      <c r="G1050">
        <v>0</v>
      </c>
      <c r="H1050" t="str">
        <f t="shared" si="33"/>
        <v>November-2025</v>
      </c>
    </row>
    <row r="1051" spans="1:8">
      <c r="A1051" t="s">
        <v>49</v>
      </c>
      <c r="B1051" t="s">
        <v>50</v>
      </c>
      <c r="C1051" t="s">
        <v>188</v>
      </c>
      <c r="D1051">
        <v>2025</v>
      </c>
      <c r="E1051" t="str">
        <f t="shared" si="32"/>
        <v>Q4</v>
      </c>
      <c r="F1051" t="s">
        <v>715</v>
      </c>
      <c r="G1051">
        <v>0</v>
      </c>
      <c r="H1051" t="str">
        <f t="shared" si="33"/>
        <v>December-2025</v>
      </c>
    </row>
    <row r="1052" spans="1:8">
      <c r="A1052" t="s">
        <v>49</v>
      </c>
      <c r="B1052" t="s">
        <v>50</v>
      </c>
      <c r="C1052" t="s">
        <v>188</v>
      </c>
      <c r="D1052">
        <v>2026</v>
      </c>
      <c r="E1052" t="str">
        <f t="shared" si="32"/>
        <v>Q1</v>
      </c>
      <c r="F1052" t="s">
        <v>716</v>
      </c>
      <c r="G1052">
        <v>0</v>
      </c>
      <c r="H1052" t="str">
        <f t="shared" si="33"/>
        <v>January-2026</v>
      </c>
    </row>
    <row r="1053" spans="1:8">
      <c r="A1053" t="s">
        <v>49</v>
      </c>
      <c r="B1053" t="s">
        <v>50</v>
      </c>
      <c r="C1053" t="s">
        <v>188</v>
      </c>
      <c r="D1053">
        <v>2026</v>
      </c>
      <c r="E1053" t="str">
        <f t="shared" si="32"/>
        <v>Q1</v>
      </c>
      <c r="F1053" t="s">
        <v>717</v>
      </c>
      <c r="G1053">
        <v>0</v>
      </c>
      <c r="H1053" t="str">
        <f t="shared" si="33"/>
        <v>February-2026</v>
      </c>
    </row>
    <row r="1054" spans="1:8">
      <c r="A1054" t="s">
        <v>49</v>
      </c>
      <c r="B1054" t="s">
        <v>50</v>
      </c>
      <c r="C1054" t="s">
        <v>188</v>
      </c>
      <c r="D1054">
        <v>2026</v>
      </c>
      <c r="E1054" t="str">
        <f t="shared" si="32"/>
        <v>Q1</v>
      </c>
      <c r="F1054" t="s">
        <v>718</v>
      </c>
      <c r="G1054">
        <v>0</v>
      </c>
      <c r="H1054" t="str">
        <f t="shared" si="33"/>
        <v>March-2026</v>
      </c>
    </row>
    <row r="1055" spans="1:8">
      <c r="A1055" t="s">
        <v>49</v>
      </c>
      <c r="B1055" t="s">
        <v>50</v>
      </c>
      <c r="C1055" t="s">
        <v>188</v>
      </c>
      <c r="D1055">
        <v>2026</v>
      </c>
      <c r="E1055" t="str">
        <f t="shared" si="32"/>
        <v>Q2</v>
      </c>
      <c r="F1055" t="s">
        <v>719</v>
      </c>
      <c r="G1055">
        <v>0</v>
      </c>
      <c r="H1055" t="str">
        <f t="shared" si="33"/>
        <v>April-2026</v>
      </c>
    </row>
    <row r="1056" spans="1:8">
      <c r="A1056" t="s">
        <v>49</v>
      </c>
      <c r="B1056" t="s">
        <v>50</v>
      </c>
      <c r="C1056" t="s">
        <v>188</v>
      </c>
      <c r="D1056">
        <v>2026</v>
      </c>
      <c r="E1056" t="str">
        <f t="shared" si="32"/>
        <v>Q2</v>
      </c>
      <c r="F1056" t="s">
        <v>720</v>
      </c>
      <c r="G1056">
        <v>0</v>
      </c>
      <c r="H1056" t="str">
        <f t="shared" si="33"/>
        <v>May-2026</v>
      </c>
    </row>
    <row r="1057" spans="1:8">
      <c r="A1057" t="s">
        <v>49</v>
      </c>
      <c r="B1057" t="s">
        <v>50</v>
      </c>
      <c r="C1057" t="s">
        <v>188</v>
      </c>
      <c r="D1057">
        <v>2026</v>
      </c>
      <c r="E1057" t="str">
        <f t="shared" si="32"/>
        <v>Q2</v>
      </c>
      <c r="F1057" t="s">
        <v>721</v>
      </c>
      <c r="G1057">
        <v>0</v>
      </c>
      <c r="H1057" t="str">
        <f t="shared" si="33"/>
        <v>June-2026</v>
      </c>
    </row>
    <row r="1058" spans="1:8">
      <c r="A1058" t="s">
        <v>49</v>
      </c>
      <c r="B1058" t="s">
        <v>50</v>
      </c>
      <c r="C1058" t="s">
        <v>251</v>
      </c>
      <c r="D1058">
        <v>2025</v>
      </c>
      <c r="E1058" t="str">
        <f t="shared" si="32"/>
        <v>Q3</v>
      </c>
      <c r="F1058" t="s">
        <v>710</v>
      </c>
      <c r="G1058">
        <v>1</v>
      </c>
      <c r="H1058" t="str">
        <f t="shared" si="33"/>
        <v>July-2025</v>
      </c>
    </row>
    <row r="1059" spans="1:8">
      <c r="A1059" t="s">
        <v>49</v>
      </c>
      <c r="B1059" t="s">
        <v>50</v>
      </c>
      <c r="C1059" t="s">
        <v>251</v>
      </c>
      <c r="D1059">
        <v>2025</v>
      </c>
      <c r="E1059" t="str">
        <f t="shared" si="32"/>
        <v>Q3</v>
      </c>
      <c r="F1059" t="s">
        <v>711</v>
      </c>
      <c r="G1059">
        <v>1</v>
      </c>
      <c r="H1059" t="str">
        <f t="shared" si="33"/>
        <v>August-2025</v>
      </c>
    </row>
    <row r="1060" spans="1:8">
      <c r="A1060" t="s">
        <v>49</v>
      </c>
      <c r="B1060" t="s">
        <v>50</v>
      </c>
      <c r="C1060" t="s">
        <v>251</v>
      </c>
      <c r="D1060">
        <v>2025</v>
      </c>
      <c r="E1060" t="str">
        <f t="shared" si="32"/>
        <v>Q3</v>
      </c>
      <c r="F1060" t="s">
        <v>712</v>
      </c>
      <c r="G1060">
        <v>0</v>
      </c>
      <c r="H1060" t="str">
        <f t="shared" si="33"/>
        <v>September-2025</v>
      </c>
    </row>
    <row r="1061" spans="1:8">
      <c r="A1061" t="s">
        <v>49</v>
      </c>
      <c r="B1061" t="s">
        <v>50</v>
      </c>
      <c r="C1061" t="s">
        <v>251</v>
      </c>
      <c r="D1061">
        <v>2025</v>
      </c>
      <c r="E1061" t="str">
        <f t="shared" si="32"/>
        <v>Q4</v>
      </c>
      <c r="F1061" t="s">
        <v>713</v>
      </c>
      <c r="G1061">
        <v>0</v>
      </c>
      <c r="H1061" t="str">
        <f t="shared" si="33"/>
        <v>October-2025</v>
      </c>
    </row>
    <row r="1062" spans="1:8">
      <c r="A1062" t="s">
        <v>49</v>
      </c>
      <c r="B1062" t="s">
        <v>50</v>
      </c>
      <c r="C1062" t="s">
        <v>251</v>
      </c>
      <c r="D1062">
        <v>2025</v>
      </c>
      <c r="E1062" t="str">
        <f t="shared" si="32"/>
        <v>Q4</v>
      </c>
      <c r="F1062" t="s">
        <v>714</v>
      </c>
      <c r="G1062">
        <v>0</v>
      </c>
      <c r="H1062" t="str">
        <f t="shared" si="33"/>
        <v>November-2025</v>
      </c>
    </row>
    <row r="1063" spans="1:8">
      <c r="A1063" t="s">
        <v>49</v>
      </c>
      <c r="B1063" t="s">
        <v>50</v>
      </c>
      <c r="C1063" t="s">
        <v>251</v>
      </c>
      <c r="D1063">
        <v>2025</v>
      </c>
      <c r="E1063" t="str">
        <f t="shared" si="32"/>
        <v>Q4</v>
      </c>
      <c r="F1063" t="s">
        <v>715</v>
      </c>
      <c r="G1063">
        <v>0</v>
      </c>
      <c r="H1063" t="str">
        <f t="shared" si="33"/>
        <v>December-2025</v>
      </c>
    </row>
    <row r="1064" spans="1:8">
      <c r="A1064" t="s">
        <v>49</v>
      </c>
      <c r="B1064" t="s">
        <v>50</v>
      </c>
      <c r="C1064" t="s">
        <v>251</v>
      </c>
      <c r="D1064">
        <v>2026</v>
      </c>
      <c r="E1064" t="str">
        <f t="shared" si="32"/>
        <v>Q1</v>
      </c>
      <c r="F1064" t="s">
        <v>716</v>
      </c>
      <c r="G1064">
        <v>0</v>
      </c>
      <c r="H1064" t="str">
        <f t="shared" si="33"/>
        <v>January-2026</v>
      </c>
    </row>
    <row r="1065" spans="1:8">
      <c r="A1065" t="s">
        <v>49</v>
      </c>
      <c r="B1065" t="s">
        <v>50</v>
      </c>
      <c r="C1065" t="s">
        <v>251</v>
      </c>
      <c r="D1065">
        <v>2026</v>
      </c>
      <c r="E1065" t="str">
        <f t="shared" si="32"/>
        <v>Q1</v>
      </c>
      <c r="F1065" t="s">
        <v>717</v>
      </c>
      <c r="G1065">
        <v>0</v>
      </c>
      <c r="H1065" t="str">
        <f t="shared" si="33"/>
        <v>February-2026</v>
      </c>
    </row>
    <row r="1066" spans="1:8">
      <c r="A1066" t="s">
        <v>49</v>
      </c>
      <c r="B1066" t="s">
        <v>50</v>
      </c>
      <c r="C1066" t="s">
        <v>251</v>
      </c>
      <c r="D1066">
        <v>2026</v>
      </c>
      <c r="E1066" t="str">
        <f t="shared" si="32"/>
        <v>Q1</v>
      </c>
      <c r="F1066" t="s">
        <v>718</v>
      </c>
      <c r="G1066">
        <v>0</v>
      </c>
      <c r="H1066" t="str">
        <f t="shared" si="33"/>
        <v>March-2026</v>
      </c>
    </row>
    <row r="1067" spans="1:8">
      <c r="A1067" t="s">
        <v>49</v>
      </c>
      <c r="B1067" t="s">
        <v>50</v>
      </c>
      <c r="C1067" t="s">
        <v>251</v>
      </c>
      <c r="D1067">
        <v>2026</v>
      </c>
      <c r="E1067" t="str">
        <f t="shared" si="32"/>
        <v>Q2</v>
      </c>
      <c r="F1067" t="s">
        <v>719</v>
      </c>
      <c r="G1067">
        <v>0</v>
      </c>
      <c r="H1067" t="str">
        <f t="shared" si="33"/>
        <v>April-2026</v>
      </c>
    </row>
    <row r="1068" spans="1:8">
      <c r="A1068" t="s">
        <v>49</v>
      </c>
      <c r="B1068" t="s">
        <v>50</v>
      </c>
      <c r="C1068" t="s">
        <v>251</v>
      </c>
      <c r="D1068">
        <v>2026</v>
      </c>
      <c r="E1068" t="str">
        <f t="shared" si="32"/>
        <v>Q2</v>
      </c>
      <c r="F1068" t="s">
        <v>720</v>
      </c>
      <c r="G1068">
        <v>0</v>
      </c>
      <c r="H1068" t="str">
        <f t="shared" si="33"/>
        <v>May-2026</v>
      </c>
    </row>
    <row r="1069" spans="1:8">
      <c r="A1069" t="s">
        <v>49</v>
      </c>
      <c r="B1069" t="s">
        <v>50</v>
      </c>
      <c r="C1069" t="s">
        <v>251</v>
      </c>
      <c r="D1069">
        <v>2026</v>
      </c>
      <c r="E1069" t="str">
        <f t="shared" si="32"/>
        <v>Q2</v>
      </c>
      <c r="F1069" t="s">
        <v>721</v>
      </c>
      <c r="G1069">
        <v>0</v>
      </c>
      <c r="H1069" t="str">
        <f t="shared" si="33"/>
        <v>June-2026</v>
      </c>
    </row>
    <row r="1070" spans="1:8">
      <c r="A1070" t="s">
        <v>49</v>
      </c>
      <c r="B1070" t="s">
        <v>92</v>
      </c>
      <c r="C1070" t="s">
        <v>51</v>
      </c>
      <c r="D1070">
        <v>2025</v>
      </c>
      <c r="E1070" t="str">
        <f t="shared" si="32"/>
        <v>Q3</v>
      </c>
      <c r="F1070" t="s">
        <v>710</v>
      </c>
      <c r="G1070">
        <v>1</v>
      </c>
      <c r="H1070" t="str">
        <f t="shared" si="33"/>
        <v>July-2025</v>
      </c>
    </row>
    <row r="1071" spans="1:8">
      <c r="A1071" t="s">
        <v>49</v>
      </c>
      <c r="B1071" t="s">
        <v>92</v>
      </c>
      <c r="C1071" t="s">
        <v>51</v>
      </c>
      <c r="D1071">
        <v>2025</v>
      </c>
      <c r="E1071" t="str">
        <f t="shared" si="32"/>
        <v>Q3</v>
      </c>
      <c r="F1071" t="s">
        <v>711</v>
      </c>
      <c r="G1071">
        <v>1</v>
      </c>
      <c r="H1071" t="str">
        <f t="shared" si="33"/>
        <v>August-2025</v>
      </c>
    </row>
    <row r="1072" spans="1:8">
      <c r="A1072" t="s">
        <v>49</v>
      </c>
      <c r="B1072" t="s">
        <v>92</v>
      </c>
      <c r="C1072" t="s">
        <v>51</v>
      </c>
      <c r="D1072">
        <v>2025</v>
      </c>
      <c r="E1072" t="str">
        <f t="shared" si="32"/>
        <v>Q3</v>
      </c>
      <c r="F1072" t="s">
        <v>712</v>
      </c>
      <c r="G1072">
        <v>0</v>
      </c>
      <c r="H1072" t="str">
        <f t="shared" si="33"/>
        <v>September-2025</v>
      </c>
    </row>
    <row r="1073" spans="1:8">
      <c r="A1073" t="s">
        <v>49</v>
      </c>
      <c r="B1073" t="s">
        <v>92</v>
      </c>
      <c r="C1073" t="s">
        <v>51</v>
      </c>
      <c r="D1073">
        <v>2025</v>
      </c>
      <c r="E1073" t="str">
        <f t="shared" si="32"/>
        <v>Q4</v>
      </c>
      <c r="F1073" t="s">
        <v>713</v>
      </c>
      <c r="G1073">
        <v>0</v>
      </c>
      <c r="H1073" t="str">
        <f t="shared" si="33"/>
        <v>October-2025</v>
      </c>
    </row>
    <row r="1074" spans="1:8">
      <c r="A1074" t="s">
        <v>49</v>
      </c>
      <c r="B1074" t="s">
        <v>92</v>
      </c>
      <c r="C1074" t="s">
        <v>51</v>
      </c>
      <c r="D1074">
        <v>2025</v>
      </c>
      <c r="E1074" t="str">
        <f t="shared" si="32"/>
        <v>Q4</v>
      </c>
      <c r="F1074" t="s">
        <v>714</v>
      </c>
      <c r="G1074">
        <v>0</v>
      </c>
      <c r="H1074" t="str">
        <f t="shared" si="33"/>
        <v>November-2025</v>
      </c>
    </row>
    <row r="1075" spans="1:8">
      <c r="A1075" t="s">
        <v>49</v>
      </c>
      <c r="B1075" t="s">
        <v>92</v>
      </c>
      <c r="C1075" t="s">
        <v>51</v>
      </c>
      <c r="D1075">
        <v>2025</v>
      </c>
      <c r="E1075" t="str">
        <f t="shared" si="32"/>
        <v>Q4</v>
      </c>
      <c r="F1075" t="s">
        <v>715</v>
      </c>
      <c r="G1075">
        <v>0</v>
      </c>
      <c r="H1075" t="str">
        <f t="shared" si="33"/>
        <v>December-2025</v>
      </c>
    </row>
    <row r="1076" spans="1:8">
      <c r="A1076" t="s">
        <v>49</v>
      </c>
      <c r="B1076" t="s">
        <v>92</v>
      </c>
      <c r="C1076" t="s">
        <v>51</v>
      </c>
      <c r="D1076">
        <v>2026</v>
      </c>
      <c r="E1076" t="str">
        <f t="shared" si="32"/>
        <v>Q1</v>
      </c>
      <c r="F1076" t="s">
        <v>716</v>
      </c>
      <c r="G1076">
        <v>0</v>
      </c>
      <c r="H1076" t="str">
        <f t="shared" si="33"/>
        <v>January-2026</v>
      </c>
    </row>
    <row r="1077" spans="1:8">
      <c r="A1077" t="s">
        <v>49</v>
      </c>
      <c r="B1077" t="s">
        <v>92</v>
      </c>
      <c r="C1077" t="s">
        <v>51</v>
      </c>
      <c r="D1077">
        <v>2026</v>
      </c>
      <c r="E1077" t="str">
        <f t="shared" si="32"/>
        <v>Q1</v>
      </c>
      <c r="F1077" t="s">
        <v>717</v>
      </c>
      <c r="G1077">
        <v>0</v>
      </c>
      <c r="H1077" t="str">
        <f t="shared" si="33"/>
        <v>February-2026</v>
      </c>
    </row>
    <row r="1078" spans="1:8">
      <c r="A1078" t="s">
        <v>49</v>
      </c>
      <c r="B1078" t="s">
        <v>92</v>
      </c>
      <c r="C1078" t="s">
        <v>51</v>
      </c>
      <c r="D1078">
        <v>2026</v>
      </c>
      <c r="E1078" t="str">
        <f t="shared" si="32"/>
        <v>Q1</v>
      </c>
      <c r="F1078" t="s">
        <v>718</v>
      </c>
      <c r="G1078">
        <v>0</v>
      </c>
      <c r="H1078" t="str">
        <f t="shared" si="33"/>
        <v>March-2026</v>
      </c>
    </row>
    <row r="1079" spans="1:8">
      <c r="A1079" t="s">
        <v>49</v>
      </c>
      <c r="B1079" t="s">
        <v>92</v>
      </c>
      <c r="C1079" t="s">
        <v>51</v>
      </c>
      <c r="D1079">
        <v>2026</v>
      </c>
      <c r="E1079" t="str">
        <f t="shared" si="32"/>
        <v>Q2</v>
      </c>
      <c r="F1079" t="s">
        <v>719</v>
      </c>
      <c r="G1079">
        <v>0</v>
      </c>
      <c r="H1079" t="str">
        <f t="shared" si="33"/>
        <v>April-2026</v>
      </c>
    </row>
    <row r="1080" spans="1:8">
      <c r="A1080" t="s">
        <v>49</v>
      </c>
      <c r="B1080" t="s">
        <v>92</v>
      </c>
      <c r="C1080" t="s">
        <v>51</v>
      </c>
      <c r="D1080">
        <v>2026</v>
      </c>
      <c r="E1080" t="str">
        <f t="shared" si="32"/>
        <v>Q2</v>
      </c>
      <c r="F1080" t="s">
        <v>720</v>
      </c>
      <c r="G1080">
        <v>0</v>
      </c>
      <c r="H1080" t="str">
        <f t="shared" si="33"/>
        <v>May-2026</v>
      </c>
    </row>
    <row r="1081" spans="1:8">
      <c r="A1081" t="s">
        <v>49</v>
      </c>
      <c r="B1081" t="s">
        <v>92</v>
      </c>
      <c r="C1081" t="s">
        <v>51</v>
      </c>
      <c r="D1081">
        <v>2026</v>
      </c>
      <c r="E1081" t="str">
        <f t="shared" si="32"/>
        <v>Q2</v>
      </c>
      <c r="F1081" t="s">
        <v>721</v>
      </c>
      <c r="G1081">
        <v>0</v>
      </c>
      <c r="H1081" t="str">
        <f t="shared" si="33"/>
        <v>June-2026</v>
      </c>
    </row>
    <row r="1082" spans="1:8">
      <c r="A1082" t="s">
        <v>49</v>
      </c>
      <c r="B1082" t="s">
        <v>92</v>
      </c>
      <c r="C1082" t="s">
        <v>66</v>
      </c>
      <c r="D1082">
        <v>2025</v>
      </c>
      <c r="E1082" t="str">
        <f t="shared" si="32"/>
        <v>Q3</v>
      </c>
      <c r="F1082" t="s">
        <v>710</v>
      </c>
      <c r="G1082">
        <v>1</v>
      </c>
      <c r="H1082" t="str">
        <f t="shared" si="33"/>
        <v>July-2025</v>
      </c>
    </row>
    <row r="1083" spans="1:8">
      <c r="A1083" t="s">
        <v>49</v>
      </c>
      <c r="B1083" t="s">
        <v>92</v>
      </c>
      <c r="C1083" t="s">
        <v>66</v>
      </c>
      <c r="D1083">
        <v>2025</v>
      </c>
      <c r="E1083" t="str">
        <f t="shared" si="32"/>
        <v>Q3</v>
      </c>
      <c r="F1083" t="s">
        <v>711</v>
      </c>
      <c r="G1083">
        <v>0</v>
      </c>
      <c r="H1083" t="str">
        <f t="shared" si="33"/>
        <v>August-2025</v>
      </c>
    </row>
    <row r="1084" spans="1:8">
      <c r="A1084" t="s">
        <v>49</v>
      </c>
      <c r="B1084" t="s">
        <v>92</v>
      </c>
      <c r="C1084" t="s">
        <v>66</v>
      </c>
      <c r="D1084">
        <v>2025</v>
      </c>
      <c r="E1084" t="str">
        <f t="shared" si="32"/>
        <v>Q3</v>
      </c>
      <c r="F1084" t="s">
        <v>712</v>
      </c>
      <c r="G1084">
        <v>0</v>
      </c>
      <c r="H1084" t="str">
        <f t="shared" si="33"/>
        <v>September-2025</v>
      </c>
    </row>
    <row r="1085" spans="1:8">
      <c r="A1085" t="s">
        <v>49</v>
      </c>
      <c r="B1085" t="s">
        <v>92</v>
      </c>
      <c r="C1085" t="s">
        <v>66</v>
      </c>
      <c r="D1085">
        <v>2025</v>
      </c>
      <c r="E1085" t="str">
        <f t="shared" si="32"/>
        <v>Q4</v>
      </c>
      <c r="F1085" t="s">
        <v>713</v>
      </c>
      <c r="G1085">
        <v>0</v>
      </c>
      <c r="H1085" t="str">
        <f t="shared" si="33"/>
        <v>October-2025</v>
      </c>
    </row>
    <row r="1086" spans="1:8">
      <c r="A1086" t="s">
        <v>49</v>
      </c>
      <c r="B1086" t="s">
        <v>92</v>
      </c>
      <c r="C1086" t="s">
        <v>66</v>
      </c>
      <c r="D1086">
        <v>2025</v>
      </c>
      <c r="E1086" t="str">
        <f t="shared" si="32"/>
        <v>Q4</v>
      </c>
      <c r="F1086" t="s">
        <v>714</v>
      </c>
      <c r="G1086">
        <v>0</v>
      </c>
      <c r="H1086" t="str">
        <f t="shared" si="33"/>
        <v>November-2025</v>
      </c>
    </row>
    <row r="1087" spans="1:8">
      <c r="A1087" t="s">
        <v>49</v>
      </c>
      <c r="B1087" t="s">
        <v>92</v>
      </c>
      <c r="C1087" t="s">
        <v>66</v>
      </c>
      <c r="D1087">
        <v>2025</v>
      </c>
      <c r="E1087" t="str">
        <f t="shared" si="32"/>
        <v>Q4</v>
      </c>
      <c r="F1087" t="s">
        <v>715</v>
      </c>
      <c r="G1087">
        <v>0</v>
      </c>
      <c r="H1087" t="str">
        <f t="shared" si="33"/>
        <v>December-2025</v>
      </c>
    </row>
    <row r="1088" spans="1:8">
      <c r="A1088" t="s">
        <v>49</v>
      </c>
      <c r="B1088" t="s">
        <v>92</v>
      </c>
      <c r="C1088" t="s">
        <v>66</v>
      </c>
      <c r="D1088">
        <v>2026</v>
      </c>
      <c r="E1088" t="str">
        <f t="shared" si="32"/>
        <v>Q1</v>
      </c>
      <c r="F1088" t="s">
        <v>716</v>
      </c>
      <c r="G1088">
        <v>0</v>
      </c>
      <c r="H1088" t="str">
        <f t="shared" si="33"/>
        <v>January-2026</v>
      </c>
    </row>
    <row r="1089" spans="1:8">
      <c r="A1089" t="s">
        <v>49</v>
      </c>
      <c r="B1089" t="s">
        <v>92</v>
      </c>
      <c r="C1089" t="s">
        <v>66</v>
      </c>
      <c r="D1089">
        <v>2026</v>
      </c>
      <c r="E1089" t="str">
        <f t="shared" si="32"/>
        <v>Q1</v>
      </c>
      <c r="F1089" t="s">
        <v>717</v>
      </c>
      <c r="G1089">
        <v>0</v>
      </c>
      <c r="H1089" t="str">
        <f t="shared" si="33"/>
        <v>February-2026</v>
      </c>
    </row>
    <row r="1090" spans="1:8">
      <c r="A1090" t="s">
        <v>49</v>
      </c>
      <c r="B1090" t="s">
        <v>92</v>
      </c>
      <c r="C1090" t="s">
        <v>66</v>
      </c>
      <c r="D1090">
        <v>2026</v>
      </c>
      <c r="E1090" t="str">
        <f t="shared" si="32"/>
        <v>Q1</v>
      </c>
      <c r="F1090" t="s">
        <v>718</v>
      </c>
      <c r="G1090">
        <v>0</v>
      </c>
      <c r="H1090" t="str">
        <f t="shared" si="33"/>
        <v>March-2026</v>
      </c>
    </row>
    <row r="1091" spans="1:8">
      <c r="A1091" t="s">
        <v>49</v>
      </c>
      <c r="B1091" t="s">
        <v>92</v>
      </c>
      <c r="C1091" t="s">
        <v>66</v>
      </c>
      <c r="D1091">
        <v>2026</v>
      </c>
      <c r="E1091" t="str">
        <f t="shared" ref="E1091:E1154" si="34">"Q"&amp;ROUNDUP(MONTH(DATEVALUE(F1091&amp;" 1"))/3,0)</f>
        <v>Q2</v>
      </c>
      <c r="F1091" t="s">
        <v>719</v>
      </c>
      <c r="G1091">
        <v>0</v>
      </c>
      <c r="H1091" t="str">
        <f t="shared" ref="H1091:H1154" si="35">_xlfn.CONCAT(F1091,"-",D1091)</f>
        <v>April-2026</v>
      </c>
    </row>
    <row r="1092" spans="1:8">
      <c r="A1092" t="s">
        <v>49</v>
      </c>
      <c r="B1092" t="s">
        <v>92</v>
      </c>
      <c r="C1092" t="s">
        <v>66</v>
      </c>
      <c r="D1092">
        <v>2026</v>
      </c>
      <c r="E1092" t="str">
        <f t="shared" si="34"/>
        <v>Q2</v>
      </c>
      <c r="F1092" t="s">
        <v>720</v>
      </c>
      <c r="G1092">
        <v>0</v>
      </c>
      <c r="H1092" t="str">
        <f t="shared" si="35"/>
        <v>May-2026</v>
      </c>
    </row>
    <row r="1093" spans="1:8">
      <c r="A1093" t="s">
        <v>49</v>
      </c>
      <c r="B1093" t="s">
        <v>92</v>
      </c>
      <c r="C1093" t="s">
        <v>66</v>
      </c>
      <c r="D1093">
        <v>2026</v>
      </c>
      <c r="E1093" t="str">
        <f t="shared" si="34"/>
        <v>Q2</v>
      </c>
      <c r="F1093" t="s">
        <v>721</v>
      </c>
      <c r="G1093">
        <v>0</v>
      </c>
      <c r="H1093" t="str">
        <f t="shared" si="35"/>
        <v>June-2026</v>
      </c>
    </row>
    <row r="1094" spans="1:8">
      <c r="A1094" t="s">
        <v>49</v>
      </c>
      <c r="B1094" t="s">
        <v>127</v>
      </c>
      <c r="C1094" t="s">
        <v>251</v>
      </c>
      <c r="D1094">
        <v>2025</v>
      </c>
      <c r="E1094" t="str">
        <f t="shared" si="34"/>
        <v>Q3</v>
      </c>
      <c r="F1094" t="s">
        <v>710</v>
      </c>
      <c r="G1094">
        <v>0</v>
      </c>
      <c r="H1094" t="str">
        <f t="shared" si="35"/>
        <v>July-2025</v>
      </c>
    </row>
    <row r="1095" spans="1:8">
      <c r="A1095" t="s">
        <v>49</v>
      </c>
      <c r="B1095" t="s">
        <v>127</v>
      </c>
      <c r="C1095" t="s">
        <v>251</v>
      </c>
      <c r="D1095">
        <v>2025</v>
      </c>
      <c r="E1095" t="str">
        <f t="shared" si="34"/>
        <v>Q3</v>
      </c>
      <c r="F1095" t="s">
        <v>711</v>
      </c>
      <c r="G1095">
        <v>0</v>
      </c>
      <c r="H1095" t="str">
        <f t="shared" si="35"/>
        <v>August-2025</v>
      </c>
    </row>
    <row r="1096" spans="1:8">
      <c r="A1096" t="s">
        <v>49</v>
      </c>
      <c r="B1096" t="s">
        <v>127</v>
      </c>
      <c r="C1096" t="s">
        <v>251</v>
      </c>
      <c r="D1096">
        <v>2025</v>
      </c>
      <c r="E1096" t="str">
        <f t="shared" si="34"/>
        <v>Q3</v>
      </c>
      <c r="F1096" t="s">
        <v>712</v>
      </c>
      <c r="G1096">
        <v>0</v>
      </c>
      <c r="H1096" t="str">
        <f t="shared" si="35"/>
        <v>September-2025</v>
      </c>
    </row>
    <row r="1097" spans="1:8">
      <c r="A1097" t="s">
        <v>49</v>
      </c>
      <c r="B1097" t="s">
        <v>127</v>
      </c>
      <c r="C1097" t="s">
        <v>251</v>
      </c>
      <c r="D1097">
        <v>2025</v>
      </c>
      <c r="E1097" t="str">
        <f t="shared" si="34"/>
        <v>Q4</v>
      </c>
      <c r="F1097" t="s">
        <v>713</v>
      </c>
      <c r="G1097">
        <v>0</v>
      </c>
      <c r="H1097" t="str">
        <f t="shared" si="35"/>
        <v>October-2025</v>
      </c>
    </row>
    <row r="1098" spans="1:8">
      <c r="A1098" t="s">
        <v>49</v>
      </c>
      <c r="B1098" t="s">
        <v>127</v>
      </c>
      <c r="C1098" t="s">
        <v>251</v>
      </c>
      <c r="D1098">
        <v>2025</v>
      </c>
      <c r="E1098" t="str">
        <f t="shared" si="34"/>
        <v>Q4</v>
      </c>
      <c r="F1098" t="s">
        <v>714</v>
      </c>
      <c r="G1098">
        <v>0</v>
      </c>
      <c r="H1098" t="str">
        <f t="shared" si="35"/>
        <v>November-2025</v>
      </c>
    </row>
    <row r="1099" spans="1:8">
      <c r="A1099" t="s">
        <v>49</v>
      </c>
      <c r="B1099" t="s">
        <v>127</v>
      </c>
      <c r="C1099" t="s">
        <v>251</v>
      </c>
      <c r="D1099">
        <v>2025</v>
      </c>
      <c r="E1099" t="str">
        <f t="shared" si="34"/>
        <v>Q4</v>
      </c>
      <c r="F1099" t="s">
        <v>715</v>
      </c>
      <c r="G1099">
        <v>0</v>
      </c>
      <c r="H1099" t="str">
        <f t="shared" si="35"/>
        <v>December-2025</v>
      </c>
    </row>
    <row r="1100" spans="1:8">
      <c r="A1100" t="s">
        <v>49</v>
      </c>
      <c r="B1100" t="s">
        <v>127</v>
      </c>
      <c r="C1100" t="s">
        <v>251</v>
      </c>
      <c r="D1100">
        <v>2026</v>
      </c>
      <c r="E1100" t="str">
        <f t="shared" si="34"/>
        <v>Q1</v>
      </c>
      <c r="F1100" t="s">
        <v>716</v>
      </c>
      <c r="G1100">
        <v>0</v>
      </c>
      <c r="H1100" t="str">
        <f t="shared" si="35"/>
        <v>January-2026</v>
      </c>
    </row>
    <row r="1101" spans="1:8">
      <c r="A1101" t="s">
        <v>49</v>
      </c>
      <c r="B1101" t="s">
        <v>127</v>
      </c>
      <c r="C1101" t="s">
        <v>251</v>
      </c>
      <c r="D1101">
        <v>2026</v>
      </c>
      <c r="E1101" t="str">
        <f t="shared" si="34"/>
        <v>Q1</v>
      </c>
      <c r="F1101" t="s">
        <v>717</v>
      </c>
      <c r="G1101">
        <v>0</v>
      </c>
      <c r="H1101" t="str">
        <f t="shared" si="35"/>
        <v>February-2026</v>
      </c>
    </row>
    <row r="1102" spans="1:8">
      <c r="A1102" t="s">
        <v>49</v>
      </c>
      <c r="B1102" t="s">
        <v>127</v>
      </c>
      <c r="C1102" t="s">
        <v>251</v>
      </c>
      <c r="D1102">
        <v>2026</v>
      </c>
      <c r="E1102" t="str">
        <f t="shared" si="34"/>
        <v>Q1</v>
      </c>
      <c r="F1102" t="s">
        <v>718</v>
      </c>
      <c r="G1102">
        <v>0</v>
      </c>
      <c r="H1102" t="str">
        <f t="shared" si="35"/>
        <v>March-2026</v>
      </c>
    </row>
    <row r="1103" spans="1:8">
      <c r="A1103" t="s">
        <v>49</v>
      </c>
      <c r="B1103" t="s">
        <v>127</v>
      </c>
      <c r="C1103" t="s">
        <v>251</v>
      </c>
      <c r="D1103">
        <v>2026</v>
      </c>
      <c r="E1103" t="str">
        <f t="shared" si="34"/>
        <v>Q2</v>
      </c>
      <c r="F1103" t="s">
        <v>719</v>
      </c>
      <c r="G1103">
        <v>0</v>
      </c>
      <c r="H1103" t="str">
        <f t="shared" si="35"/>
        <v>April-2026</v>
      </c>
    </row>
    <row r="1104" spans="1:8">
      <c r="A1104" t="s">
        <v>49</v>
      </c>
      <c r="B1104" t="s">
        <v>127</v>
      </c>
      <c r="C1104" t="s">
        <v>251</v>
      </c>
      <c r="D1104">
        <v>2026</v>
      </c>
      <c r="E1104" t="str">
        <f t="shared" si="34"/>
        <v>Q2</v>
      </c>
      <c r="F1104" t="s">
        <v>720</v>
      </c>
      <c r="G1104">
        <v>0</v>
      </c>
      <c r="H1104" t="str">
        <f t="shared" si="35"/>
        <v>May-2026</v>
      </c>
    </row>
    <row r="1105" spans="1:8">
      <c r="A1105" t="s">
        <v>49</v>
      </c>
      <c r="B1105" t="s">
        <v>127</v>
      </c>
      <c r="C1105" t="s">
        <v>251</v>
      </c>
      <c r="D1105">
        <v>2026</v>
      </c>
      <c r="E1105" t="str">
        <f t="shared" si="34"/>
        <v>Q2</v>
      </c>
      <c r="F1105" t="s">
        <v>721</v>
      </c>
      <c r="G1105">
        <v>0</v>
      </c>
      <c r="H1105" t="str">
        <f t="shared" si="35"/>
        <v>June-2026</v>
      </c>
    </row>
    <row r="1106" spans="1:8">
      <c r="A1106" t="s">
        <v>49</v>
      </c>
      <c r="B1106" t="s">
        <v>127</v>
      </c>
      <c r="C1106" t="s">
        <v>66</v>
      </c>
      <c r="D1106">
        <v>2025</v>
      </c>
      <c r="E1106" t="str">
        <f t="shared" si="34"/>
        <v>Q3</v>
      </c>
      <c r="F1106" t="s">
        <v>710</v>
      </c>
      <c r="G1106">
        <v>0</v>
      </c>
      <c r="H1106" t="str">
        <f t="shared" si="35"/>
        <v>July-2025</v>
      </c>
    </row>
    <row r="1107" spans="1:8">
      <c r="A1107" t="s">
        <v>49</v>
      </c>
      <c r="B1107" t="s">
        <v>127</v>
      </c>
      <c r="C1107" t="s">
        <v>66</v>
      </c>
      <c r="D1107">
        <v>2025</v>
      </c>
      <c r="E1107" t="str">
        <f t="shared" si="34"/>
        <v>Q3</v>
      </c>
      <c r="F1107" t="s">
        <v>711</v>
      </c>
      <c r="G1107">
        <v>0</v>
      </c>
      <c r="H1107" t="str">
        <f t="shared" si="35"/>
        <v>August-2025</v>
      </c>
    </row>
    <row r="1108" spans="1:8">
      <c r="A1108" t="s">
        <v>49</v>
      </c>
      <c r="B1108" t="s">
        <v>127</v>
      </c>
      <c r="C1108" t="s">
        <v>66</v>
      </c>
      <c r="D1108">
        <v>2025</v>
      </c>
      <c r="E1108" t="str">
        <f t="shared" si="34"/>
        <v>Q3</v>
      </c>
      <c r="F1108" t="s">
        <v>712</v>
      </c>
      <c r="G1108">
        <v>0</v>
      </c>
      <c r="H1108" t="str">
        <f t="shared" si="35"/>
        <v>September-2025</v>
      </c>
    </row>
    <row r="1109" spans="1:8">
      <c r="A1109" t="s">
        <v>49</v>
      </c>
      <c r="B1109" t="s">
        <v>127</v>
      </c>
      <c r="C1109" t="s">
        <v>66</v>
      </c>
      <c r="D1109">
        <v>2025</v>
      </c>
      <c r="E1109" t="str">
        <f t="shared" si="34"/>
        <v>Q4</v>
      </c>
      <c r="F1109" t="s">
        <v>713</v>
      </c>
      <c r="G1109">
        <v>0</v>
      </c>
      <c r="H1109" t="str">
        <f t="shared" si="35"/>
        <v>October-2025</v>
      </c>
    </row>
    <row r="1110" spans="1:8">
      <c r="A1110" t="s">
        <v>49</v>
      </c>
      <c r="B1110" t="s">
        <v>127</v>
      </c>
      <c r="C1110" t="s">
        <v>66</v>
      </c>
      <c r="D1110">
        <v>2025</v>
      </c>
      <c r="E1110" t="str">
        <f t="shared" si="34"/>
        <v>Q4</v>
      </c>
      <c r="F1110" t="s">
        <v>714</v>
      </c>
      <c r="G1110">
        <v>0</v>
      </c>
      <c r="H1110" t="str">
        <f t="shared" si="35"/>
        <v>November-2025</v>
      </c>
    </row>
    <row r="1111" spans="1:8">
      <c r="A1111" t="s">
        <v>49</v>
      </c>
      <c r="B1111" t="s">
        <v>127</v>
      </c>
      <c r="C1111" t="s">
        <v>66</v>
      </c>
      <c r="D1111">
        <v>2025</v>
      </c>
      <c r="E1111" t="str">
        <f t="shared" si="34"/>
        <v>Q4</v>
      </c>
      <c r="F1111" t="s">
        <v>715</v>
      </c>
      <c r="G1111">
        <v>0</v>
      </c>
      <c r="H1111" t="str">
        <f t="shared" si="35"/>
        <v>December-2025</v>
      </c>
    </row>
    <row r="1112" spans="1:8">
      <c r="A1112" t="s">
        <v>49</v>
      </c>
      <c r="B1112" t="s">
        <v>127</v>
      </c>
      <c r="C1112" t="s">
        <v>66</v>
      </c>
      <c r="D1112">
        <v>2026</v>
      </c>
      <c r="E1112" t="str">
        <f t="shared" si="34"/>
        <v>Q1</v>
      </c>
      <c r="F1112" t="s">
        <v>716</v>
      </c>
      <c r="G1112">
        <v>0</v>
      </c>
      <c r="H1112" t="str">
        <f t="shared" si="35"/>
        <v>January-2026</v>
      </c>
    </row>
    <row r="1113" spans="1:8">
      <c r="A1113" t="s">
        <v>49</v>
      </c>
      <c r="B1113" t="s">
        <v>127</v>
      </c>
      <c r="C1113" t="s">
        <v>66</v>
      </c>
      <c r="D1113">
        <v>2026</v>
      </c>
      <c r="E1113" t="str">
        <f t="shared" si="34"/>
        <v>Q1</v>
      </c>
      <c r="F1113" t="s">
        <v>717</v>
      </c>
      <c r="G1113">
        <v>0</v>
      </c>
      <c r="H1113" t="str">
        <f t="shared" si="35"/>
        <v>February-2026</v>
      </c>
    </row>
    <row r="1114" spans="1:8">
      <c r="A1114" t="s">
        <v>49</v>
      </c>
      <c r="B1114" t="s">
        <v>127</v>
      </c>
      <c r="C1114" t="s">
        <v>66</v>
      </c>
      <c r="D1114">
        <v>2026</v>
      </c>
      <c r="E1114" t="str">
        <f t="shared" si="34"/>
        <v>Q1</v>
      </c>
      <c r="F1114" t="s">
        <v>718</v>
      </c>
      <c r="G1114">
        <v>0</v>
      </c>
      <c r="H1114" t="str">
        <f t="shared" si="35"/>
        <v>March-2026</v>
      </c>
    </row>
    <row r="1115" spans="1:8">
      <c r="A1115" t="s">
        <v>49</v>
      </c>
      <c r="B1115" t="s">
        <v>127</v>
      </c>
      <c r="C1115" t="s">
        <v>66</v>
      </c>
      <c r="D1115">
        <v>2026</v>
      </c>
      <c r="E1115" t="str">
        <f t="shared" si="34"/>
        <v>Q2</v>
      </c>
      <c r="F1115" t="s">
        <v>719</v>
      </c>
      <c r="G1115">
        <v>0</v>
      </c>
      <c r="H1115" t="str">
        <f t="shared" si="35"/>
        <v>April-2026</v>
      </c>
    </row>
    <row r="1116" spans="1:8">
      <c r="A1116" t="s">
        <v>49</v>
      </c>
      <c r="B1116" t="s">
        <v>127</v>
      </c>
      <c r="C1116" t="s">
        <v>66</v>
      </c>
      <c r="D1116">
        <v>2026</v>
      </c>
      <c r="E1116" t="str">
        <f t="shared" si="34"/>
        <v>Q2</v>
      </c>
      <c r="F1116" t="s">
        <v>720</v>
      </c>
      <c r="G1116">
        <v>0</v>
      </c>
      <c r="H1116" t="str">
        <f t="shared" si="35"/>
        <v>May-2026</v>
      </c>
    </row>
    <row r="1117" spans="1:8">
      <c r="A1117" t="s">
        <v>49</v>
      </c>
      <c r="B1117" t="s">
        <v>127</v>
      </c>
      <c r="C1117" t="s">
        <v>66</v>
      </c>
      <c r="D1117">
        <v>2026</v>
      </c>
      <c r="E1117" t="str">
        <f t="shared" si="34"/>
        <v>Q2</v>
      </c>
      <c r="F1117" t="s">
        <v>721</v>
      </c>
      <c r="G1117">
        <v>0</v>
      </c>
      <c r="H1117" t="str">
        <f t="shared" si="35"/>
        <v>June-2026</v>
      </c>
    </row>
    <row r="1118" spans="1:8">
      <c r="A1118" t="s">
        <v>49</v>
      </c>
      <c r="B1118" t="s">
        <v>209</v>
      </c>
      <c r="C1118" t="s">
        <v>188</v>
      </c>
      <c r="D1118">
        <v>2025</v>
      </c>
      <c r="E1118" t="str">
        <f t="shared" si="34"/>
        <v>Q3</v>
      </c>
      <c r="F1118" t="s">
        <v>710</v>
      </c>
      <c r="G1118">
        <v>0</v>
      </c>
      <c r="H1118" t="str">
        <f t="shared" si="35"/>
        <v>July-2025</v>
      </c>
    </row>
    <row r="1119" spans="1:8">
      <c r="A1119" t="s">
        <v>49</v>
      </c>
      <c r="B1119" t="s">
        <v>209</v>
      </c>
      <c r="C1119" t="s">
        <v>188</v>
      </c>
      <c r="D1119">
        <v>2025</v>
      </c>
      <c r="E1119" t="str">
        <f t="shared" si="34"/>
        <v>Q3</v>
      </c>
      <c r="F1119" t="s">
        <v>711</v>
      </c>
      <c r="G1119">
        <v>0</v>
      </c>
      <c r="H1119" t="str">
        <f t="shared" si="35"/>
        <v>August-2025</v>
      </c>
    </row>
    <row r="1120" spans="1:8">
      <c r="A1120" t="s">
        <v>49</v>
      </c>
      <c r="B1120" t="s">
        <v>209</v>
      </c>
      <c r="C1120" t="s">
        <v>188</v>
      </c>
      <c r="D1120">
        <v>2025</v>
      </c>
      <c r="E1120" t="str">
        <f t="shared" si="34"/>
        <v>Q3</v>
      </c>
      <c r="F1120" t="s">
        <v>712</v>
      </c>
      <c r="G1120">
        <v>0</v>
      </c>
      <c r="H1120" t="str">
        <f t="shared" si="35"/>
        <v>September-2025</v>
      </c>
    </row>
    <row r="1121" spans="1:8">
      <c r="A1121" t="s">
        <v>49</v>
      </c>
      <c r="B1121" t="s">
        <v>209</v>
      </c>
      <c r="C1121" t="s">
        <v>188</v>
      </c>
      <c r="D1121">
        <v>2025</v>
      </c>
      <c r="E1121" t="str">
        <f t="shared" si="34"/>
        <v>Q4</v>
      </c>
      <c r="F1121" t="s">
        <v>713</v>
      </c>
      <c r="G1121">
        <v>0</v>
      </c>
      <c r="H1121" t="str">
        <f t="shared" si="35"/>
        <v>October-2025</v>
      </c>
    </row>
    <row r="1122" spans="1:8">
      <c r="A1122" t="s">
        <v>49</v>
      </c>
      <c r="B1122" t="s">
        <v>209</v>
      </c>
      <c r="C1122" t="s">
        <v>188</v>
      </c>
      <c r="D1122">
        <v>2025</v>
      </c>
      <c r="E1122" t="str">
        <f t="shared" si="34"/>
        <v>Q4</v>
      </c>
      <c r="F1122" t="s">
        <v>714</v>
      </c>
      <c r="G1122">
        <v>0</v>
      </c>
      <c r="H1122" t="str">
        <f t="shared" si="35"/>
        <v>November-2025</v>
      </c>
    </row>
    <row r="1123" spans="1:8">
      <c r="A1123" t="s">
        <v>49</v>
      </c>
      <c r="B1123" t="s">
        <v>209</v>
      </c>
      <c r="C1123" t="s">
        <v>188</v>
      </c>
      <c r="D1123">
        <v>2025</v>
      </c>
      <c r="E1123" t="str">
        <f t="shared" si="34"/>
        <v>Q4</v>
      </c>
      <c r="F1123" t="s">
        <v>715</v>
      </c>
      <c r="G1123">
        <v>0</v>
      </c>
      <c r="H1123" t="str">
        <f t="shared" si="35"/>
        <v>December-2025</v>
      </c>
    </row>
    <row r="1124" spans="1:8">
      <c r="A1124" t="s">
        <v>49</v>
      </c>
      <c r="B1124" t="s">
        <v>209</v>
      </c>
      <c r="C1124" t="s">
        <v>188</v>
      </c>
      <c r="D1124">
        <v>2026</v>
      </c>
      <c r="E1124" t="str">
        <f t="shared" si="34"/>
        <v>Q1</v>
      </c>
      <c r="F1124" t="s">
        <v>716</v>
      </c>
      <c r="G1124">
        <v>0</v>
      </c>
      <c r="H1124" t="str">
        <f t="shared" si="35"/>
        <v>January-2026</v>
      </c>
    </row>
    <row r="1125" spans="1:8">
      <c r="A1125" t="s">
        <v>49</v>
      </c>
      <c r="B1125" t="s">
        <v>209</v>
      </c>
      <c r="C1125" t="s">
        <v>188</v>
      </c>
      <c r="D1125">
        <v>2026</v>
      </c>
      <c r="E1125" t="str">
        <f t="shared" si="34"/>
        <v>Q1</v>
      </c>
      <c r="F1125" t="s">
        <v>717</v>
      </c>
      <c r="G1125">
        <v>0</v>
      </c>
      <c r="H1125" t="str">
        <f t="shared" si="35"/>
        <v>February-2026</v>
      </c>
    </row>
    <row r="1126" spans="1:8">
      <c r="A1126" t="s">
        <v>49</v>
      </c>
      <c r="B1126" t="s">
        <v>209</v>
      </c>
      <c r="C1126" t="s">
        <v>188</v>
      </c>
      <c r="D1126">
        <v>2026</v>
      </c>
      <c r="E1126" t="str">
        <f t="shared" si="34"/>
        <v>Q1</v>
      </c>
      <c r="F1126" t="s">
        <v>718</v>
      </c>
      <c r="G1126">
        <v>0</v>
      </c>
      <c r="H1126" t="str">
        <f t="shared" si="35"/>
        <v>March-2026</v>
      </c>
    </row>
    <row r="1127" spans="1:8">
      <c r="A1127" t="s">
        <v>49</v>
      </c>
      <c r="B1127" t="s">
        <v>209</v>
      </c>
      <c r="C1127" t="s">
        <v>188</v>
      </c>
      <c r="D1127">
        <v>2026</v>
      </c>
      <c r="E1127" t="str">
        <f t="shared" si="34"/>
        <v>Q2</v>
      </c>
      <c r="F1127" t="s">
        <v>719</v>
      </c>
      <c r="G1127">
        <v>0</v>
      </c>
      <c r="H1127" t="str">
        <f t="shared" si="35"/>
        <v>April-2026</v>
      </c>
    </row>
    <row r="1128" spans="1:8">
      <c r="A1128" t="s">
        <v>49</v>
      </c>
      <c r="B1128" t="s">
        <v>209</v>
      </c>
      <c r="C1128" t="s">
        <v>188</v>
      </c>
      <c r="D1128">
        <v>2026</v>
      </c>
      <c r="E1128" t="str">
        <f t="shared" si="34"/>
        <v>Q2</v>
      </c>
      <c r="F1128" t="s">
        <v>720</v>
      </c>
      <c r="G1128">
        <v>0</v>
      </c>
      <c r="H1128" t="str">
        <f t="shared" si="35"/>
        <v>May-2026</v>
      </c>
    </row>
    <row r="1129" spans="1:8">
      <c r="A1129" t="s">
        <v>49</v>
      </c>
      <c r="B1129" t="s">
        <v>209</v>
      </c>
      <c r="C1129" t="s">
        <v>188</v>
      </c>
      <c r="D1129">
        <v>2026</v>
      </c>
      <c r="E1129" t="str">
        <f t="shared" si="34"/>
        <v>Q2</v>
      </c>
      <c r="F1129" t="s">
        <v>721</v>
      </c>
      <c r="G1129">
        <v>0</v>
      </c>
      <c r="H1129" t="str">
        <f t="shared" si="35"/>
        <v>June-2026</v>
      </c>
    </row>
    <row r="1130" spans="1:8">
      <c r="A1130" t="s">
        <v>49</v>
      </c>
      <c r="B1130" t="s">
        <v>209</v>
      </c>
      <c r="C1130" t="s">
        <v>99</v>
      </c>
      <c r="D1130">
        <v>2025</v>
      </c>
      <c r="E1130" t="str">
        <f t="shared" si="34"/>
        <v>Q3</v>
      </c>
      <c r="F1130" t="s">
        <v>710</v>
      </c>
      <c r="G1130">
        <v>1</v>
      </c>
      <c r="H1130" t="str">
        <f t="shared" si="35"/>
        <v>July-2025</v>
      </c>
    </row>
    <row r="1131" spans="1:8">
      <c r="A1131" t="s">
        <v>49</v>
      </c>
      <c r="B1131" t="s">
        <v>209</v>
      </c>
      <c r="C1131" t="s">
        <v>99</v>
      </c>
      <c r="D1131">
        <v>2025</v>
      </c>
      <c r="E1131" t="str">
        <f t="shared" si="34"/>
        <v>Q3</v>
      </c>
      <c r="F1131" t="s">
        <v>711</v>
      </c>
      <c r="G1131">
        <v>1</v>
      </c>
      <c r="H1131" t="str">
        <f t="shared" si="35"/>
        <v>August-2025</v>
      </c>
    </row>
    <row r="1132" spans="1:8">
      <c r="A1132" t="s">
        <v>49</v>
      </c>
      <c r="B1132" t="s">
        <v>209</v>
      </c>
      <c r="C1132" t="s">
        <v>99</v>
      </c>
      <c r="D1132">
        <v>2025</v>
      </c>
      <c r="E1132" t="str">
        <f t="shared" si="34"/>
        <v>Q3</v>
      </c>
      <c r="F1132" t="s">
        <v>712</v>
      </c>
      <c r="G1132">
        <v>1</v>
      </c>
      <c r="H1132" t="str">
        <f t="shared" si="35"/>
        <v>September-2025</v>
      </c>
    </row>
    <row r="1133" spans="1:8">
      <c r="A1133" t="s">
        <v>49</v>
      </c>
      <c r="B1133" t="s">
        <v>209</v>
      </c>
      <c r="C1133" t="s">
        <v>99</v>
      </c>
      <c r="D1133">
        <v>2025</v>
      </c>
      <c r="E1133" t="str">
        <f t="shared" si="34"/>
        <v>Q4</v>
      </c>
      <c r="F1133" t="s">
        <v>713</v>
      </c>
      <c r="G1133">
        <v>0</v>
      </c>
      <c r="H1133" t="str">
        <f t="shared" si="35"/>
        <v>October-2025</v>
      </c>
    </row>
    <row r="1134" spans="1:8">
      <c r="A1134" t="s">
        <v>49</v>
      </c>
      <c r="B1134" t="s">
        <v>209</v>
      </c>
      <c r="C1134" t="s">
        <v>99</v>
      </c>
      <c r="D1134">
        <v>2025</v>
      </c>
      <c r="E1134" t="str">
        <f t="shared" si="34"/>
        <v>Q4</v>
      </c>
      <c r="F1134" t="s">
        <v>714</v>
      </c>
      <c r="G1134">
        <v>0</v>
      </c>
      <c r="H1134" t="str">
        <f t="shared" si="35"/>
        <v>November-2025</v>
      </c>
    </row>
    <row r="1135" spans="1:8">
      <c r="A1135" t="s">
        <v>49</v>
      </c>
      <c r="B1135" t="s">
        <v>209</v>
      </c>
      <c r="C1135" t="s">
        <v>99</v>
      </c>
      <c r="D1135">
        <v>2025</v>
      </c>
      <c r="E1135" t="str">
        <f t="shared" si="34"/>
        <v>Q4</v>
      </c>
      <c r="F1135" t="s">
        <v>715</v>
      </c>
      <c r="G1135">
        <v>0</v>
      </c>
      <c r="H1135" t="str">
        <f t="shared" si="35"/>
        <v>December-2025</v>
      </c>
    </row>
    <row r="1136" spans="1:8">
      <c r="A1136" t="s">
        <v>49</v>
      </c>
      <c r="B1136" t="s">
        <v>209</v>
      </c>
      <c r="C1136" t="s">
        <v>99</v>
      </c>
      <c r="D1136">
        <v>2026</v>
      </c>
      <c r="E1136" t="str">
        <f t="shared" si="34"/>
        <v>Q1</v>
      </c>
      <c r="F1136" t="s">
        <v>716</v>
      </c>
      <c r="G1136">
        <v>0</v>
      </c>
      <c r="H1136" t="str">
        <f t="shared" si="35"/>
        <v>January-2026</v>
      </c>
    </row>
    <row r="1137" spans="1:8">
      <c r="A1137" t="s">
        <v>49</v>
      </c>
      <c r="B1137" t="s">
        <v>209</v>
      </c>
      <c r="C1137" t="s">
        <v>99</v>
      </c>
      <c r="D1137">
        <v>2026</v>
      </c>
      <c r="E1137" t="str">
        <f t="shared" si="34"/>
        <v>Q1</v>
      </c>
      <c r="F1137" t="s">
        <v>717</v>
      </c>
      <c r="G1137">
        <v>0</v>
      </c>
      <c r="H1137" t="str">
        <f t="shared" si="35"/>
        <v>February-2026</v>
      </c>
    </row>
    <row r="1138" spans="1:8">
      <c r="A1138" t="s">
        <v>49</v>
      </c>
      <c r="B1138" t="s">
        <v>209</v>
      </c>
      <c r="C1138" t="s">
        <v>99</v>
      </c>
      <c r="D1138">
        <v>2026</v>
      </c>
      <c r="E1138" t="str">
        <f t="shared" si="34"/>
        <v>Q1</v>
      </c>
      <c r="F1138" t="s">
        <v>718</v>
      </c>
      <c r="G1138">
        <v>0</v>
      </c>
      <c r="H1138" t="str">
        <f t="shared" si="35"/>
        <v>March-2026</v>
      </c>
    </row>
    <row r="1139" spans="1:8">
      <c r="A1139" t="s">
        <v>49</v>
      </c>
      <c r="B1139" t="s">
        <v>209</v>
      </c>
      <c r="C1139" t="s">
        <v>99</v>
      </c>
      <c r="D1139">
        <v>2026</v>
      </c>
      <c r="E1139" t="str">
        <f t="shared" si="34"/>
        <v>Q2</v>
      </c>
      <c r="F1139" t="s">
        <v>719</v>
      </c>
      <c r="G1139">
        <v>0</v>
      </c>
      <c r="H1139" t="str">
        <f t="shared" si="35"/>
        <v>April-2026</v>
      </c>
    </row>
    <row r="1140" spans="1:8">
      <c r="A1140" t="s">
        <v>49</v>
      </c>
      <c r="B1140" t="s">
        <v>209</v>
      </c>
      <c r="C1140" t="s">
        <v>99</v>
      </c>
      <c r="D1140">
        <v>2026</v>
      </c>
      <c r="E1140" t="str">
        <f t="shared" si="34"/>
        <v>Q2</v>
      </c>
      <c r="F1140" t="s">
        <v>720</v>
      </c>
      <c r="G1140">
        <v>0</v>
      </c>
      <c r="H1140" t="str">
        <f t="shared" si="35"/>
        <v>May-2026</v>
      </c>
    </row>
    <row r="1141" spans="1:8">
      <c r="A1141" t="s">
        <v>49</v>
      </c>
      <c r="B1141" t="s">
        <v>209</v>
      </c>
      <c r="C1141" t="s">
        <v>99</v>
      </c>
      <c r="D1141">
        <v>2026</v>
      </c>
      <c r="E1141" t="str">
        <f t="shared" si="34"/>
        <v>Q2</v>
      </c>
      <c r="F1141" t="s">
        <v>721</v>
      </c>
      <c r="G1141">
        <v>0</v>
      </c>
      <c r="H1141" t="str">
        <f t="shared" si="35"/>
        <v>June-2026</v>
      </c>
    </row>
    <row r="1142" spans="1:8">
      <c r="A1142" t="s">
        <v>49</v>
      </c>
      <c r="B1142" t="s">
        <v>209</v>
      </c>
      <c r="C1142" t="s">
        <v>142</v>
      </c>
      <c r="D1142">
        <v>2025</v>
      </c>
      <c r="E1142" t="str">
        <f t="shared" si="34"/>
        <v>Q3</v>
      </c>
      <c r="F1142" t="s">
        <v>710</v>
      </c>
      <c r="G1142">
        <v>0</v>
      </c>
      <c r="H1142" t="str">
        <f t="shared" si="35"/>
        <v>July-2025</v>
      </c>
    </row>
    <row r="1143" spans="1:8">
      <c r="A1143" t="s">
        <v>49</v>
      </c>
      <c r="B1143" t="s">
        <v>209</v>
      </c>
      <c r="C1143" t="s">
        <v>142</v>
      </c>
      <c r="D1143">
        <v>2025</v>
      </c>
      <c r="E1143" t="str">
        <f t="shared" si="34"/>
        <v>Q3</v>
      </c>
      <c r="F1143" t="s">
        <v>711</v>
      </c>
      <c r="G1143">
        <v>0</v>
      </c>
      <c r="H1143" t="str">
        <f t="shared" si="35"/>
        <v>August-2025</v>
      </c>
    </row>
    <row r="1144" spans="1:8">
      <c r="A1144" t="s">
        <v>49</v>
      </c>
      <c r="B1144" t="s">
        <v>209</v>
      </c>
      <c r="C1144" t="s">
        <v>142</v>
      </c>
      <c r="D1144">
        <v>2025</v>
      </c>
      <c r="E1144" t="str">
        <f t="shared" si="34"/>
        <v>Q3</v>
      </c>
      <c r="F1144" t="s">
        <v>712</v>
      </c>
      <c r="G1144">
        <v>0</v>
      </c>
      <c r="H1144" t="str">
        <f t="shared" si="35"/>
        <v>September-2025</v>
      </c>
    </row>
    <row r="1145" spans="1:8">
      <c r="A1145" t="s">
        <v>49</v>
      </c>
      <c r="B1145" t="s">
        <v>209</v>
      </c>
      <c r="C1145" t="s">
        <v>142</v>
      </c>
      <c r="D1145">
        <v>2025</v>
      </c>
      <c r="E1145" t="str">
        <f t="shared" si="34"/>
        <v>Q4</v>
      </c>
      <c r="F1145" t="s">
        <v>713</v>
      </c>
      <c r="G1145">
        <v>0</v>
      </c>
      <c r="H1145" t="str">
        <f t="shared" si="35"/>
        <v>October-2025</v>
      </c>
    </row>
    <row r="1146" spans="1:8">
      <c r="A1146" t="s">
        <v>49</v>
      </c>
      <c r="B1146" t="s">
        <v>209</v>
      </c>
      <c r="C1146" t="s">
        <v>142</v>
      </c>
      <c r="D1146">
        <v>2025</v>
      </c>
      <c r="E1146" t="str">
        <f t="shared" si="34"/>
        <v>Q4</v>
      </c>
      <c r="F1146" t="s">
        <v>714</v>
      </c>
      <c r="G1146">
        <v>0</v>
      </c>
      <c r="H1146" t="str">
        <f t="shared" si="35"/>
        <v>November-2025</v>
      </c>
    </row>
    <row r="1147" spans="1:8">
      <c r="A1147" t="s">
        <v>49</v>
      </c>
      <c r="B1147" t="s">
        <v>209</v>
      </c>
      <c r="C1147" t="s">
        <v>142</v>
      </c>
      <c r="D1147">
        <v>2025</v>
      </c>
      <c r="E1147" t="str">
        <f t="shared" si="34"/>
        <v>Q4</v>
      </c>
      <c r="F1147" t="s">
        <v>715</v>
      </c>
      <c r="G1147">
        <v>0</v>
      </c>
      <c r="H1147" t="str">
        <f t="shared" si="35"/>
        <v>December-2025</v>
      </c>
    </row>
    <row r="1148" spans="1:8">
      <c r="A1148" t="s">
        <v>49</v>
      </c>
      <c r="B1148" t="s">
        <v>209</v>
      </c>
      <c r="C1148" t="s">
        <v>142</v>
      </c>
      <c r="D1148">
        <v>2026</v>
      </c>
      <c r="E1148" t="str">
        <f t="shared" si="34"/>
        <v>Q1</v>
      </c>
      <c r="F1148" t="s">
        <v>716</v>
      </c>
      <c r="G1148">
        <v>0</v>
      </c>
      <c r="H1148" t="str">
        <f t="shared" si="35"/>
        <v>January-2026</v>
      </c>
    </row>
    <row r="1149" spans="1:8">
      <c r="A1149" t="s">
        <v>49</v>
      </c>
      <c r="B1149" t="s">
        <v>209</v>
      </c>
      <c r="C1149" t="s">
        <v>142</v>
      </c>
      <c r="D1149">
        <v>2026</v>
      </c>
      <c r="E1149" t="str">
        <f t="shared" si="34"/>
        <v>Q1</v>
      </c>
      <c r="F1149" t="s">
        <v>717</v>
      </c>
      <c r="G1149">
        <v>0</v>
      </c>
      <c r="H1149" t="str">
        <f t="shared" si="35"/>
        <v>February-2026</v>
      </c>
    </row>
    <row r="1150" spans="1:8">
      <c r="A1150" t="s">
        <v>49</v>
      </c>
      <c r="B1150" t="s">
        <v>209</v>
      </c>
      <c r="C1150" t="s">
        <v>142</v>
      </c>
      <c r="D1150">
        <v>2026</v>
      </c>
      <c r="E1150" t="str">
        <f t="shared" si="34"/>
        <v>Q1</v>
      </c>
      <c r="F1150" t="s">
        <v>718</v>
      </c>
      <c r="G1150">
        <v>0</v>
      </c>
      <c r="H1150" t="str">
        <f t="shared" si="35"/>
        <v>March-2026</v>
      </c>
    </row>
    <row r="1151" spans="1:8">
      <c r="A1151" t="s">
        <v>49</v>
      </c>
      <c r="B1151" t="s">
        <v>209</v>
      </c>
      <c r="C1151" t="s">
        <v>142</v>
      </c>
      <c r="D1151">
        <v>2026</v>
      </c>
      <c r="E1151" t="str">
        <f t="shared" si="34"/>
        <v>Q2</v>
      </c>
      <c r="F1151" t="s">
        <v>719</v>
      </c>
      <c r="G1151">
        <v>0</v>
      </c>
      <c r="H1151" t="str">
        <f t="shared" si="35"/>
        <v>April-2026</v>
      </c>
    </row>
    <row r="1152" spans="1:8">
      <c r="A1152" t="s">
        <v>49</v>
      </c>
      <c r="B1152" t="s">
        <v>209</v>
      </c>
      <c r="C1152" t="s">
        <v>142</v>
      </c>
      <c r="D1152">
        <v>2026</v>
      </c>
      <c r="E1152" t="str">
        <f t="shared" si="34"/>
        <v>Q2</v>
      </c>
      <c r="F1152" t="s">
        <v>720</v>
      </c>
      <c r="G1152">
        <v>0</v>
      </c>
      <c r="H1152" t="str">
        <f t="shared" si="35"/>
        <v>May-2026</v>
      </c>
    </row>
    <row r="1153" spans="1:8">
      <c r="A1153" t="s">
        <v>49</v>
      </c>
      <c r="B1153" t="s">
        <v>209</v>
      </c>
      <c r="C1153" t="s">
        <v>142</v>
      </c>
      <c r="D1153">
        <v>2026</v>
      </c>
      <c r="E1153" t="str">
        <f t="shared" si="34"/>
        <v>Q2</v>
      </c>
      <c r="F1153" t="s">
        <v>721</v>
      </c>
      <c r="G1153">
        <v>0</v>
      </c>
      <c r="H1153" t="str">
        <f t="shared" si="35"/>
        <v>June-2026</v>
      </c>
    </row>
    <row r="1154" spans="1:8">
      <c r="A1154" t="s">
        <v>49</v>
      </c>
      <c r="B1154" t="s">
        <v>98</v>
      </c>
      <c r="C1154" t="s">
        <v>99</v>
      </c>
      <c r="D1154">
        <v>2025</v>
      </c>
      <c r="E1154" t="str">
        <f t="shared" si="34"/>
        <v>Q3</v>
      </c>
      <c r="F1154" t="s">
        <v>710</v>
      </c>
      <c r="G1154">
        <v>0</v>
      </c>
      <c r="H1154" t="str">
        <f t="shared" si="35"/>
        <v>July-2025</v>
      </c>
    </row>
    <row r="1155" spans="1:8">
      <c r="A1155" t="s">
        <v>49</v>
      </c>
      <c r="B1155" t="s">
        <v>98</v>
      </c>
      <c r="C1155" t="s">
        <v>99</v>
      </c>
      <c r="D1155">
        <v>2025</v>
      </c>
      <c r="E1155" t="str">
        <f t="shared" ref="E1155:E1201" si="36">"Q"&amp;ROUNDUP(MONTH(DATEVALUE(F1155&amp;" 1"))/3,0)</f>
        <v>Q3</v>
      </c>
      <c r="F1155" t="s">
        <v>711</v>
      </c>
      <c r="G1155">
        <v>0</v>
      </c>
      <c r="H1155" t="str">
        <f t="shared" ref="H1155:H1201" si="37">_xlfn.CONCAT(F1155,"-",D1155)</f>
        <v>August-2025</v>
      </c>
    </row>
    <row r="1156" spans="1:8">
      <c r="A1156" t="s">
        <v>49</v>
      </c>
      <c r="B1156" t="s">
        <v>98</v>
      </c>
      <c r="C1156" t="s">
        <v>99</v>
      </c>
      <c r="D1156">
        <v>2025</v>
      </c>
      <c r="E1156" t="str">
        <f t="shared" si="36"/>
        <v>Q3</v>
      </c>
      <c r="F1156" t="s">
        <v>712</v>
      </c>
      <c r="G1156">
        <v>0</v>
      </c>
      <c r="H1156" t="str">
        <f t="shared" si="37"/>
        <v>September-2025</v>
      </c>
    </row>
    <row r="1157" spans="1:8">
      <c r="A1157" t="s">
        <v>49</v>
      </c>
      <c r="B1157" t="s">
        <v>98</v>
      </c>
      <c r="C1157" t="s">
        <v>99</v>
      </c>
      <c r="D1157">
        <v>2025</v>
      </c>
      <c r="E1157" t="str">
        <f t="shared" si="36"/>
        <v>Q4</v>
      </c>
      <c r="F1157" t="s">
        <v>713</v>
      </c>
      <c r="G1157">
        <v>0</v>
      </c>
      <c r="H1157" t="str">
        <f t="shared" si="37"/>
        <v>October-2025</v>
      </c>
    </row>
    <row r="1158" spans="1:8">
      <c r="A1158" t="s">
        <v>49</v>
      </c>
      <c r="B1158" t="s">
        <v>98</v>
      </c>
      <c r="C1158" t="s">
        <v>99</v>
      </c>
      <c r="D1158">
        <v>2025</v>
      </c>
      <c r="E1158" t="str">
        <f t="shared" si="36"/>
        <v>Q4</v>
      </c>
      <c r="F1158" t="s">
        <v>714</v>
      </c>
      <c r="G1158">
        <v>0</v>
      </c>
      <c r="H1158" t="str">
        <f t="shared" si="37"/>
        <v>November-2025</v>
      </c>
    </row>
    <row r="1159" spans="1:8">
      <c r="A1159" t="s">
        <v>49</v>
      </c>
      <c r="B1159" t="s">
        <v>98</v>
      </c>
      <c r="C1159" t="s">
        <v>99</v>
      </c>
      <c r="D1159">
        <v>2025</v>
      </c>
      <c r="E1159" t="str">
        <f t="shared" si="36"/>
        <v>Q4</v>
      </c>
      <c r="F1159" t="s">
        <v>715</v>
      </c>
      <c r="G1159">
        <v>0</v>
      </c>
      <c r="H1159" t="str">
        <f t="shared" si="37"/>
        <v>December-2025</v>
      </c>
    </row>
    <row r="1160" spans="1:8">
      <c r="A1160" t="s">
        <v>49</v>
      </c>
      <c r="B1160" t="s">
        <v>98</v>
      </c>
      <c r="C1160" t="s">
        <v>99</v>
      </c>
      <c r="D1160">
        <v>2026</v>
      </c>
      <c r="E1160" t="str">
        <f t="shared" si="36"/>
        <v>Q1</v>
      </c>
      <c r="F1160" t="s">
        <v>716</v>
      </c>
      <c r="G1160">
        <v>0</v>
      </c>
      <c r="H1160" t="str">
        <f t="shared" si="37"/>
        <v>January-2026</v>
      </c>
    </row>
    <row r="1161" spans="1:8">
      <c r="A1161" t="s">
        <v>49</v>
      </c>
      <c r="B1161" t="s">
        <v>98</v>
      </c>
      <c r="C1161" t="s">
        <v>99</v>
      </c>
      <c r="D1161">
        <v>2026</v>
      </c>
      <c r="E1161" t="str">
        <f t="shared" si="36"/>
        <v>Q1</v>
      </c>
      <c r="F1161" t="s">
        <v>717</v>
      </c>
      <c r="G1161">
        <v>0</v>
      </c>
      <c r="H1161" t="str">
        <f t="shared" si="37"/>
        <v>February-2026</v>
      </c>
    </row>
    <row r="1162" spans="1:8">
      <c r="A1162" t="s">
        <v>49</v>
      </c>
      <c r="B1162" t="s">
        <v>98</v>
      </c>
      <c r="C1162" t="s">
        <v>99</v>
      </c>
      <c r="D1162">
        <v>2026</v>
      </c>
      <c r="E1162" t="str">
        <f t="shared" si="36"/>
        <v>Q1</v>
      </c>
      <c r="F1162" t="s">
        <v>718</v>
      </c>
      <c r="G1162">
        <v>0</v>
      </c>
      <c r="H1162" t="str">
        <f t="shared" si="37"/>
        <v>March-2026</v>
      </c>
    </row>
    <row r="1163" spans="1:8">
      <c r="A1163" t="s">
        <v>49</v>
      </c>
      <c r="B1163" t="s">
        <v>98</v>
      </c>
      <c r="C1163" t="s">
        <v>99</v>
      </c>
      <c r="D1163">
        <v>2026</v>
      </c>
      <c r="E1163" t="str">
        <f t="shared" si="36"/>
        <v>Q2</v>
      </c>
      <c r="F1163" t="s">
        <v>719</v>
      </c>
      <c r="G1163">
        <v>0</v>
      </c>
      <c r="H1163" t="str">
        <f t="shared" si="37"/>
        <v>April-2026</v>
      </c>
    </row>
    <row r="1164" spans="1:8">
      <c r="A1164" t="s">
        <v>49</v>
      </c>
      <c r="B1164" t="s">
        <v>98</v>
      </c>
      <c r="C1164" t="s">
        <v>99</v>
      </c>
      <c r="D1164">
        <v>2026</v>
      </c>
      <c r="E1164" t="str">
        <f t="shared" si="36"/>
        <v>Q2</v>
      </c>
      <c r="F1164" t="s">
        <v>720</v>
      </c>
      <c r="G1164">
        <v>0</v>
      </c>
      <c r="H1164" t="str">
        <f t="shared" si="37"/>
        <v>May-2026</v>
      </c>
    </row>
    <row r="1165" spans="1:8">
      <c r="A1165" t="s">
        <v>49</v>
      </c>
      <c r="B1165" t="s">
        <v>98</v>
      </c>
      <c r="C1165" t="s">
        <v>99</v>
      </c>
      <c r="D1165">
        <v>2026</v>
      </c>
      <c r="E1165" t="str">
        <f t="shared" si="36"/>
        <v>Q2</v>
      </c>
      <c r="F1165" t="s">
        <v>721</v>
      </c>
      <c r="G1165">
        <v>0</v>
      </c>
      <c r="H1165" t="str">
        <f t="shared" si="37"/>
        <v>June-2026</v>
      </c>
    </row>
    <row r="1166" spans="1:8">
      <c r="A1166" t="s">
        <v>49</v>
      </c>
      <c r="B1166" t="s">
        <v>98</v>
      </c>
      <c r="C1166" t="s">
        <v>142</v>
      </c>
      <c r="D1166">
        <v>2025</v>
      </c>
      <c r="E1166" t="str">
        <f t="shared" si="36"/>
        <v>Q3</v>
      </c>
      <c r="F1166" t="s">
        <v>710</v>
      </c>
      <c r="G1166">
        <v>1</v>
      </c>
      <c r="H1166" t="str">
        <f t="shared" si="37"/>
        <v>July-2025</v>
      </c>
    </row>
    <row r="1167" spans="1:8">
      <c r="A1167" t="s">
        <v>49</v>
      </c>
      <c r="B1167" t="s">
        <v>98</v>
      </c>
      <c r="C1167" t="s">
        <v>142</v>
      </c>
      <c r="D1167">
        <v>2025</v>
      </c>
      <c r="E1167" t="str">
        <f t="shared" si="36"/>
        <v>Q3</v>
      </c>
      <c r="F1167" t="s">
        <v>711</v>
      </c>
      <c r="G1167">
        <v>1</v>
      </c>
      <c r="H1167" t="str">
        <f t="shared" si="37"/>
        <v>August-2025</v>
      </c>
    </row>
    <row r="1168" spans="1:8">
      <c r="A1168" t="s">
        <v>49</v>
      </c>
      <c r="B1168" t="s">
        <v>98</v>
      </c>
      <c r="C1168" t="s">
        <v>142</v>
      </c>
      <c r="D1168">
        <v>2025</v>
      </c>
      <c r="E1168" t="str">
        <f t="shared" si="36"/>
        <v>Q3</v>
      </c>
      <c r="F1168" t="s">
        <v>712</v>
      </c>
      <c r="G1168">
        <v>1</v>
      </c>
      <c r="H1168" t="str">
        <f t="shared" si="37"/>
        <v>September-2025</v>
      </c>
    </row>
    <row r="1169" spans="1:8">
      <c r="A1169" t="s">
        <v>49</v>
      </c>
      <c r="B1169" t="s">
        <v>98</v>
      </c>
      <c r="C1169" t="s">
        <v>142</v>
      </c>
      <c r="D1169">
        <v>2025</v>
      </c>
      <c r="E1169" t="str">
        <f t="shared" si="36"/>
        <v>Q4</v>
      </c>
      <c r="F1169" t="s">
        <v>713</v>
      </c>
      <c r="G1169">
        <v>1</v>
      </c>
      <c r="H1169" t="str">
        <f t="shared" si="37"/>
        <v>October-2025</v>
      </c>
    </row>
    <row r="1170" spans="1:8">
      <c r="A1170" t="s">
        <v>49</v>
      </c>
      <c r="B1170" t="s">
        <v>98</v>
      </c>
      <c r="C1170" t="s">
        <v>142</v>
      </c>
      <c r="D1170">
        <v>2025</v>
      </c>
      <c r="E1170" t="str">
        <f t="shared" si="36"/>
        <v>Q4</v>
      </c>
      <c r="F1170" t="s">
        <v>714</v>
      </c>
      <c r="G1170">
        <v>0</v>
      </c>
      <c r="H1170" t="str">
        <f t="shared" si="37"/>
        <v>November-2025</v>
      </c>
    </row>
    <row r="1171" spans="1:8">
      <c r="A1171" t="s">
        <v>49</v>
      </c>
      <c r="B1171" t="s">
        <v>98</v>
      </c>
      <c r="C1171" t="s">
        <v>142</v>
      </c>
      <c r="D1171">
        <v>2025</v>
      </c>
      <c r="E1171" t="str">
        <f t="shared" si="36"/>
        <v>Q4</v>
      </c>
      <c r="F1171" t="s">
        <v>715</v>
      </c>
      <c r="G1171">
        <v>0</v>
      </c>
      <c r="H1171" t="str">
        <f t="shared" si="37"/>
        <v>December-2025</v>
      </c>
    </row>
    <row r="1172" spans="1:8">
      <c r="A1172" t="s">
        <v>49</v>
      </c>
      <c r="B1172" t="s">
        <v>98</v>
      </c>
      <c r="C1172" t="s">
        <v>142</v>
      </c>
      <c r="D1172">
        <v>2026</v>
      </c>
      <c r="E1172" t="str">
        <f t="shared" si="36"/>
        <v>Q1</v>
      </c>
      <c r="F1172" t="s">
        <v>716</v>
      </c>
      <c r="G1172">
        <v>0</v>
      </c>
      <c r="H1172" t="str">
        <f t="shared" si="37"/>
        <v>January-2026</v>
      </c>
    </row>
    <row r="1173" spans="1:8">
      <c r="A1173" t="s">
        <v>49</v>
      </c>
      <c r="B1173" t="s">
        <v>98</v>
      </c>
      <c r="C1173" t="s">
        <v>142</v>
      </c>
      <c r="D1173">
        <v>2026</v>
      </c>
      <c r="E1173" t="str">
        <f t="shared" si="36"/>
        <v>Q1</v>
      </c>
      <c r="F1173" t="s">
        <v>717</v>
      </c>
      <c r="G1173">
        <v>0</v>
      </c>
      <c r="H1173" t="str">
        <f t="shared" si="37"/>
        <v>February-2026</v>
      </c>
    </row>
    <row r="1174" spans="1:8">
      <c r="A1174" t="s">
        <v>49</v>
      </c>
      <c r="B1174" t="s">
        <v>98</v>
      </c>
      <c r="C1174" t="s">
        <v>142</v>
      </c>
      <c r="D1174">
        <v>2026</v>
      </c>
      <c r="E1174" t="str">
        <f t="shared" si="36"/>
        <v>Q1</v>
      </c>
      <c r="F1174" t="s">
        <v>718</v>
      </c>
      <c r="G1174">
        <v>0</v>
      </c>
      <c r="H1174" t="str">
        <f t="shared" si="37"/>
        <v>March-2026</v>
      </c>
    </row>
    <row r="1175" spans="1:8">
      <c r="A1175" t="s">
        <v>49</v>
      </c>
      <c r="B1175" t="s">
        <v>98</v>
      </c>
      <c r="C1175" t="s">
        <v>142</v>
      </c>
      <c r="D1175">
        <v>2026</v>
      </c>
      <c r="E1175" t="str">
        <f t="shared" si="36"/>
        <v>Q2</v>
      </c>
      <c r="F1175" t="s">
        <v>719</v>
      </c>
      <c r="G1175">
        <v>0</v>
      </c>
      <c r="H1175" t="str">
        <f t="shared" si="37"/>
        <v>April-2026</v>
      </c>
    </row>
    <row r="1176" spans="1:8">
      <c r="A1176" t="s">
        <v>49</v>
      </c>
      <c r="B1176" t="s">
        <v>98</v>
      </c>
      <c r="C1176" t="s">
        <v>142</v>
      </c>
      <c r="D1176">
        <v>2026</v>
      </c>
      <c r="E1176" t="str">
        <f t="shared" si="36"/>
        <v>Q2</v>
      </c>
      <c r="F1176" t="s">
        <v>720</v>
      </c>
      <c r="G1176">
        <v>0</v>
      </c>
      <c r="H1176" t="str">
        <f t="shared" si="37"/>
        <v>May-2026</v>
      </c>
    </row>
    <row r="1177" spans="1:8">
      <c r="A1177" t="s">
        <v>49</v>
      </c>
      <c r="B1177" t="s">
        <v>98</v>
      </c>
      <c r="C1177" t="s">
        <v>142</v>
      </c>
      <c r="D1177">
        <v>2026</v>
      </c>
      <c r="E1177" t="str">
        <f t="shared" si="36"/>
        <v>Q2</v>
      </c>
      <c r="F1177" t="s">
        <v>721</v>
      </c>
      <c r="G1177">
        <v>0</v>
      </c>
      <c r="H1177" t="str">
        <f t="shared" si="37"/>
        <v>June-2026</v>
      </c>
    </row>
    <row r="1178" spans="1:8">
      <c r="A1178" t="s">
        <v>49</v>
      </c>
      <c r="B1178" t="s">
        <v>432</v>
      </c>
      <c r="C1178" t="s">
        <v>99</v>
      </c>
      <c r="D1178">
        <v>2025</v>
      </c>
      <c r="E1178" t="str">
        <f t="shared" si="36"/>
        <v>Q3</v>
      </c>
      <c r="F1178" t="s">
        <v>710</v>
      </c>
      <c r="G1178">
        <v>1</v>
      </c>
      <c r="H1178" t="str">
        <f t="shared" si="37"/>
        <v>July-2025</v>
      </c>
    </row>
    <row r="1179" spans="1:8">
      <c r="A1179" t="s">
        <v>49</v>
      </c>
      <c r="B1179" t="s">
        <v>432</v>
      </c>
      <c r="C1179" t="s">
        <v>99</v>
      </c>
      <c r="D1179">
        <v>2025</v>
      </c>
      <c r="E1179" t="str">
        <f t="shared" si="36"/>
        <v>Q3</v>
      </c>
      <c r="F1179" t="s">
        <v>711</v>
      </c>
      <c r="G1179">
        <v>0</v>
      </c>
      <c r="H1179" t="str">
        <f t="shared" si="37"/>
        <v>August-2025</v>
      </c>
    </row>
    <row r="1180" spans="1:8">
      <c r="A1180" t="s">
        <v>49</v>
      </c>
      <c r="B1180" t="s">
        <v>432</v>
      </c>
      <c r="C1180" t="s">
        <v>99</v>
      </c>
      <c r="D1180">
        <v>2025</v>
      </c>
      <c r="E1180" t="str">
        <f t="shared" si="36"/>
        <v>Q3</v>
      </c>
      <c r="F1180" t="s">
        <v>712</v>
      </c>
      <c r="G1180">
        <v>0</v>
      </c>
      <c r="H1180" t="str">
        <f t="shared" si="37"/>
        <v>September-2025</v>
      </c>
    </row>
    <row r="1181" spans="1:8">
      <c r="A1181" t="s">
        <v>49</v>
      </c>
      <c r="B1181" t="s">
        <v>432</v>
      </c>
      <c r="C1181" t="s">
        <v>99</v>
      </c>
      <c r="D1181">
        <v>2025</v>
      </c>
      <c r="E1181" t="str">
        <f t="shared" si="36"/>
        <v>Q4</v>
      </c>
      <c r="F1181" t="s">
        <v>713</v>
      </c>
      <c r="G1181">
        <v>0</v>
      </c>
      <c r="H1181" t="str">
        <f t="shared" si="37"/>
        <v>October-2025</v>
      </c>
    </row>
    <row r="1182" spans="1:8">
      <c r="A1182" t="s">
        <v>49</v>
      </c>
      <c r="B1182" t="s">
        <v>432</v>
      </c>
      <c r="C1182" t="s">
        <v>99</v>
      </c>
      <c r="D1182">
        <v>2025</v>
      </c>
      <c r="E1182" t="str">
        <f t="shared" si="36"/>
        <v>Q4</v>
      </c>
      <c r="F1182" t="s">
        <v>714</v>
      </c>
      <c r="G1182">
        <v>0</v>
      </c>
      <c r="H1182" t="str">
        <f t="shared" si="37"/>
        <v>November-2025</v>
      </c>
    </row>
    <row r="1183" spans="1:8">
      <c r="A1183" t="s">
        <v>49</v>
      </c>
      <c r="B1183" t="s">
        <v>432</v>
      </c>
      <c r="C1183" t="s">
        <v>99</v>
      </c>
      <c r="D1183">
        <v>2025</v>
      </c>
      <c r="E1183" t="str">
        <f t="shared" si="36"/>
        <v>Q4</v>
      </c>
      <c r="F1183" t="s">
        <v>715</v>
      </c>
      <c r="G1183">
        <v>0</v>
      </c>
      <c r="H1183" t="str">
        <f t="shared" si="37"/>
        <v>December-2025</v>
      </c>
    </row>
    <row r="1184" spans="1:8">
      <c r="A1184" t="s">
        <v>49</v>
      </c>
      <c r="B1184" t="s">
        <v>432</v>
      </c>
      <c r="C1184" t="s">
        <v>99</v>
      </c>
      <c r="D1184">
        <v>2026</v>
      </c>
      <c r="E1184" t="str">
        <f t="shared" si="36"/>
        <v>Q1</v>
      </c>
      <c r="F1184" t="s">
        <v>716</v>
      </c>
      <c r="G1184">
        <v>0</v>
      </c>
      <c r="H1184" t="str">
        <f t="shared" si="37"/>
        <v>January-2026</v>
      </c>
    </row>
    <row r="1185" spans="1:8">
      <c r="A1185" t="s">
        <v>49</v>
      </c>
      <c r="B1185" t="s">
        <v>432</v>
      </c>
      <c r="C1185" t="s">
        <v>99</v>
      </c>
      <c r="D1185">
        <v>2026</v>
      </c>
      <c r="E1185" t="str">
        <f t="shared" si="36"/>
        <v>Q1</v>
      </c>
      <c r="F1185" t="s">
        <v>717</v>
      </c>
      <c r="G1185">
        <v>0</v>
      </c>
      <c r="H1185" t="str">
        <f t="shared" si="37"/>
        <v>February-2026</v>
      </c>
    </row>
    <row r="1186" spans="1:8">
      <c r="A1186" t="s">
        <v>49</v>
      </c>
      <c r="B1186" t="s">
        <v>432</v>
      </c>
      <c r="C1186" t="s">
        <v>99</v>
      </c>
      <c r="D1186">
        <v>2026</v>
      </c>
      <c r="E1186" t="str">
        <f t="shared" si="36"/>
        <v>Q1</v>
      </c>
      <c r="F1186" t="s">
        <v>718</v>
      </c>
      <c r="G1186">
        <v>0</v>
      </c>
      <c r="H1186" t="str">
        <f t="shared" si="37"/>
        <v>March-2026</v>
      </c>
    </row>
    <row r="1187" spans="1:8">
      <c r="A1187" t="s">
        <v>49</v>
      </c>
      <c r="B1187" t="s">
        <v>432</v>
      </c>
      <c r="C1187" t="s">
        <v>99</v>
      </c>
      <c r="D1187">
        <v>2026</v>
      </c>
      <c r="E1187" t="str">
        <f t="shared" si="36"/>
        <v>Q2</v>
      </c>
      <c r="F1187" t="s">
        <v>719</v>
      </c>
      <c r="G1187">
        <v>0</v>
      </c>
      <c r="H1187" t="str">
        <f t="shared" si="37"/>
        <v>April-2026</v>
      </c>
    </row>
    <row r="1188" spans="1:8">
      <c r="A1188" t="s">
        <v>49</v>
      </c>
      <c r="B1188" t="s">
        <v>432</v>
      </c>
      <c r="C1188" t="s">
        <v>99</v>
      </c>
      <c r="D1188">
        <v>2026</v>
      </c>
      <c r="E1188" t="str">
        <f t="shared" si="36"/>
        <v>Q2</v>
      </c>
      <c r="F1188" t="s">
        <v>720</v>
      </c>
      <c r="G1188">
        <v>0</v>
      </c>
      <c r="H1188" t="str">
        <f t="shared" si="37"/>
        <v>May-2026</v>
      </c>
    </row>
    <row r="1189" spans="1:8">
      <c r="A1189" t="s">
        <v>49</v>
      </c>
      <c r="B1189" t="s">
        <v>432</v>
      </c>
      <c r="C1189" t="s">
        <v>99</v>
      </c>
      <c r="D1189">
        <v>2026</v>
      </c>
      <c r="E1189" t="str">
        <f t="shared" si="36"/>
        <v>Q2</v>
      </c>
      <c r="F1189" t="s">
        <v>721</v>
      </c>
      <c r="G1189">
        <v>0</v>
      </c>
      <c r="H1189" t="str">
        <f t="shared" si="37"/>
        <v>June-2026</v>
      </c>
    </row>
    <row r="1190" spans="1:8">
      <c r="A1190" t="s">
        <v>49</v>
      </c>
      <c r="B1190" t="s">
        <v>432</v>
      </c>
      <c r="C1190" t="s">
        <v>66</v>
      </c>
      <c r="D1190">
        <v>2025</v>
      </c>
      <c r="E1190" t="str">
        <f t="shared" si="36"/>
        <v>Q3</v>
      </c>
      <c r="F1190" t="s">
        <v>710</v>
      </c>
      <c r="G1190">
        <v>1</v>
      </c>
      <c r="H1190" t="str">
        <f t="shared" si="37"/>
        <v>July-2025</v>
      </c>
    </row>
    <row r="1191" spans="1:8">
      <c r="A1191" t="s">
        <v>49</v>
      </c>
      <c r="B1191" t="s">
        <v>432</v>
      </c>
      <c r="C1191" t="s">
        <v>66</v>
      </c>
      <c r="D1191">
        <v>2025</v>
      </c>
      <c r="E1191" t="str">
        <f t="shared" si="36"/>
        <v>Q3</v>
      </c>
      <c r="F1191" t="s">
        <v>711</v>
      </c>
      <c r="G1191">
        <v>1</v>
      </c>
      <c r="H1191" t="str">
        <f t="shared" si="37"/>
        <v>August-2025</v>
      </c>
    </row>
    <row r="1192" spans="1:8">
      <c r="A1192" t="s">
        <v>49</v>
      </c>
      <c r="B1192" t="s">
        <v>432</v>
      </c>
      <c r="C1192" t="s">
        <v>66</v>
      </c>
      <c r="D1192">
        <v>2025</v>
      </c>
      <c r="E1192" t="str">
        <f t="shared" si="36"/>
        <v>Q3</v>
      </c>
      <c r="F1192" t="s">
        <v>712</v>
      </c>
      <c r="G1192">
        <v>1</v>
      </c>
      <c r="H1192" t="str">
        <f t="shared" si="37"/>
        <v>September-2025</v>
      </c>
    </row>
    <row r="1193" spans="1:8">
      <c r="A1193" t="s">
        <v>49</v>
      </c>
      <c r="B1193" t="s">
        <v>432</v>
      </c>
      <c r="C1193" t="s">
        <v>66</v>
      </c>
      <c r="D1193">
        <v>2025</v>
      </c>
      <c r="E1193" t="str">
        <f t="shared" si="36"/>
        <v>Q4</v>
      </c>
      <c r="F1193" t="s">
        <v>713</v>
      </c>
      <c r="G1193">
        <v>1</v>
      </c>
      <c r="H1193" t="str">
        <f t="shared" si="37"/>
        <v>October-2025</v>
      </c>
    </row>
    <row r="1194" spans="1:8">
      <c r="A1194" t="s">
        <v>49</v>
      </c>
      <c r="B1194" t="s">
        <v>432</v>
      </c>
      <c r="C1194" t="s">
        <v>66</v>
      </c>
      <c r="D1194">
        <v>2025</v>
      </c>
      <c r="E1194" t="str">
        <f t="shared" si="36"/>
        <v>Q4</v>
      </c>
      <c r="F1194" t="s">
        <v>714</v>
      </c>
      <c r="G1194">
        <v>1</v>
      </c>
      <c r="H1194" t="str">
        <f t="shared" si="37"/>
        <v>November-2025</v>
      </c>
    </row>
    <row r="1195" spans="1:8">
      <c r="A1195" t="s">
        <v>49</v>
      </c>
      <c r="B1195" t="s">
        <v>432</v>
      </c>
      <c r="C1195" t="s">
        <v>66</v>
      </c>
      <c r="D1195">
        <v>2025</v>
      </c>
      <c r="E1195" t="str">
        <f t="shared" si="36"/>
        <v>Q4</v>
      </c>
      <c r="F1195" t="s">
        <v>715</v>
      </c>
      <c r="G1195">
        <v>0</v>
      </c>
      <c r="H1195" t="str">
        <f t="shared" si="37"/>
        <v>December-2025</v>
      </c>
    </row>
    <row r="1196" spans="1:8">
      <c r="A1196" t="s">
        <v>49</v>
      </c>
      <c r="B1196" t="s">
        <v>432</v>
      </c>
      <c r="C1196" t="s">
        <v>66</v>
      </c>
      <c r="D1196">
        <v>2026</v>
      </c>
      <c r="E1196" t="str">
        <f t="shared" si="36"/>
        <v>Q1</v>
      </c>
      <c r="F1196" t="s">
        <v>716</v>
      </c>
      <c r="G1196">
        <v>0</v>
      </c>
      <c r="H1196" t="str">
        <f t="shared" si="37"/>
        <v>January-2026</v>
      </c>
    </row>
    <row r="1197" spans="1:8">
      <c r="A1197" t="s">
        <v>49</v>
      </c>
      <c r="B1197" t="s">
        <v>432</v>
      </c>
      <c r="C1197" t="s">
        <v>66</v>
      </c>
      <c r="D1197">
        <v>2026</v>
      </c>
      <c r="E1197" t="str">
        <f t="shared" si="36"/>
        <v>Q1</v>
      </c>
      <c r="F1197" t="s">
        <v>717</v>
      </c>
      <c r="G1197">
        <v>0</v>
      </c>
      <c r="H1197" t="str">
        <f t="shared" si="37"/>
        <v>February-2026</v>
      </c>
    </row>
    <row r="1198" spans="1:8">
      <c r="A1198" t="s">
        <v>49</v>
      </c>
      <c r="B1198" t="s">
        <v>432</v>
      </c>
      <c r="C1198" t="s">
        <v>66</v>
      </c>
      <c r="D1198">
        <v>2026</v>
      </c>
      <c r="E1198" t="str">
        <f t="shared" si="36"/>
        <v>Q1</v>
      </c>
      <c r="F1198" t="s">
        <v>718</v>
      </c>
      <c r="G1198">
        <v>0</v>
      </c>
      <c r="H1198" t="str">
        <f t="shared" si="37"/>
        <v>March-2026</v>
      </c>
    </row>
    <row r="1199" spans="1:8">
      <c r="A1199" t="s">
        <v>49</v>
      </c>
      <c r="B1199" t="s">
        <v>432</v>
      </c>
      <c r="C1199" t="s">
        <v>66</v>
      </c>
      <c r="D1199">
        <v>2026</v>
      </c>
      <c r="E1199" t="str">
        <f t="shared" si="36"/>
        <v>Q2</v>
      </c>
      <c r="F1199" t="s">
        <v>719</v>
      </c>
      <c r="G1199">
        <v>0</v>
      </c>
      <c r="H1199" t="str">
        <f t="shared" si="37"/>
        <v>April-2026</v>
      </c>
    </row>
    <row r="1200" spans="1:8">
      <c r="A1200" t="s">
        <v>49</v>
      </c>
      <c r="B1200" t="s">
        <v>432</v>
      </c>
      <c r="C1200" t="s">
        <v>66</v>
      </c>
      <c r="D1200">
        <v>2026</v>
      </c>
      <c r="E1200" t="str">
        <f t="shared" si="36"/>
        <v>Q2</v>
      </c>
      <c r="F1200" t="s">
        <v>720</v>
      </c>
      <c r="G1200">
        <v>0</v>
      </c>
      <c r="H1200" t="str">
        <f t="shared" si="37"/>
        <v>May-2026</v>
      </c>
    </row>
    <row r="1201" spans="1:8">
      <c r="A1201" t="s">
        <v>49</v>
      </c>
      <c r="B1201" t="s">
        <v>432</v>
      </c>
      <c r="C1201" t="s">
        <v>66</v>
      </c>
      <c r="D1201">
        <v>2026</v>
      </c>
      <c r="E1201" t="str">
        <f t="shared" si="36"/>
        <v>Q2</v>
      </c>
      <c r="F1201" t="s">
        <v>721</v>
      </c>
      <c r="G1201">
        <v>0</v>
      </c>
      <c r="H1201" t="str">
        <f t="shared" si="37"/>
        <v>June-2026</v>
      </c>
    </row>
  </sheetData>
  <autoFilter ref="A1:G1201" xr:uid="{CD6950D0-0F74-49EB-8D4F-DBC36EA77D4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D33A-2A01-476D-862A-C741DE9AFB62}">
  <dimension ref="A1:Y17"/>
  <sheetViews>
    <sheetView topLeftCell="P1" workbookViewId="0">
      <selection activeCell="AC2" sqref="AC2"/>
    </sheetView>
  </sheetViews>
  <sheetFormatPr defaultRowHeight="14.5"/>
  <cols>
    <col min="1" max="1" width="4.81640625" bestFit="1" customWidth="1"/>
    <col min="2" max="2" width="7.453125" bestFit="1" customWidth="1"/>
    <col min="3" max="3" width="9.81640625" bestFit="1" customWidth="1"/>
    <col min="4" max="4" width="18.453125" bestFit="1" customWidth="1"/>
    <col min="5" max="5" width="9" bestFit="1" customWidth="1"/>
    <col min="6" max="6" width="12.453125" bestFit="1" customWidth="1"/>
    <col min="7" max="7" width="29.453125" bestFit="1" customWidth="1"/>
    <col min="8" max="8" width="15.81640625" bestFit="1" customWidth="1"/>
    <col min="9" max="9" width="15.81640625" customWidth="1"/>
    <col min="10" max="10" width="22.81640625" customWidth="1"/>
    <col min="11" max="11" width="39.7265625" customWidth="1"/>
    <col min="12" max="12" width="24.1796875" customWidth="1"/>
    <col min="13" max="13" width="21.81640625" customWidth="1"/>
    <col min="14" max="14" width="19.26953125" customWidth="1"/>
    <col min="15" max="15" width="18.453125" customWidth="1"/>
    <col min="16" max="16" width="17.1796875" customWidth="1"/>
    <col min="17" max="17" width="9.54296875" customWidth="1"/>
    <col min="18" max="18" width="10.81640625" customWidth="1"/>
    <col min="19" max="19" width="26" customWidth="1"/>
    <col min="20" max="21" width="11.81640625" customWidth="1"/>
    <col min="22" max="22" width="13.26953125" bestFit="1" customWidth="1"/>
    <col min="23" max="23" width="3.7265625" bestFit="1" customWidth="1"/>
    <col min="24" max="24" width="13.1796875" bestFit="1" customWidth="1"/>
  </cols>
  <sheetData>
    <row r="1" spans="1:25">
      <c r="A1" s="16" t="s">
        <v>705</v>
      </c>
      <c r="B1" s="16" t="s">
        <v>706</v>
      </c>
      <c r="C1" s="16" t="s">
        <v>707</v>
      </c>
      <c r="D1" s="16" t="s">
        <v>722</v>
      </c>
      <c r="E1" s="16" t="s">
        <v>702</v>
      </c>
      <c r="F1" s="16" t="s">
        <v>723</v>
      </c>
      <c r="G1" s="16" t="s">
        <v>724</v>
      </c>
      <c r="H1" s="16" t="s">
        <v>725</v>
      </c>
      <c r="I1" s="16" t="s">
        <v>726</v>
      </c>
      <c r="J1" s="16" t="s">
        <v>727</v>
      </c>
      <c r="K1" s="16" t="s">
        <v>728</v>
      </c>
      <c r="L1" s="16" t="s">
        <v>729</v>
      </c>
      <c r="M1" s="16" t="s">
        <v>730</v>
      </c>
      <c r="N1" s="16" t="s">
        <v>731</v>
      </c>
      <c r="O1" s="16" t="s">
        <v>732</v>
      </c>
      <c r="P1" s="16" t="s">
        <v>733</v>
      </c>
      <c r="Q1" s="16" t="s">
        <v>734</v>
      </c>
      <c r="R1" s="16" t="s">
        <v>735</v>
      </c>
      <c r="S1" s="16" t="s">
        <v>736</v>
      </c>
      <c r="T1" s="16" t="s">
        <v>737</v>
      </c>
      <c r="U1" s="16" t="s">
        <v>738</v>
      </c>
      <c r="V1" s="16" t="s">
        <v>739</v>
      </c>
      <c r="W1" s="16" t="s">
        <v>740</v>
      </c>
      <c r="X1" s="16" t="s">
        <v>741</v>
      </c>
      <c r="Y1" s="16" t="s">
        <v>742</v>
      </c>
    </row>
    <row r="2" spans="1:25">
      <c r="A2" s="16">
        <v>2025</v>
      </c>
      <c r="B2" s="16" t="str">
        <f>"Q"&amp;ROUNDUP(MONTH(DATEVALUE(C2&amp;" 1"))/3,0)</f>
        <v>Q3</v>
      </c>
      <c r="C2" s="16" t="s">
        <v>710</v>
      </c>
      <c r="D2" s="16" t="str">
        <f>CONCATENATE(A2,"_",B2,"_",C2)</f>
        <v>2025_Q3_July</v>
      </c>
      <c r="E2" s="16">
        <v>1</v>
      </c>
      <c r="F2" s="16">
        <v>4.2</v>
      </c>
      <c r="G2" s="24">
        <v>0.98</v>
      </c>
      <c r="H2" s="16">
        <v>1</v>
      </c>
      <c r="I2" s="16">
        <v>3</v>
      </c>
      <c r="J2" s="16">
        <v>248</v>
      </c>
      <c r="K2" s="25">
        <v>0.28125</v>
      </c>
      <c r="L2" s="25">
        <v>6.25E-2</v>
      </c>
      <c r="M2" s="25">
        <v>0.65625</v>
      </c>
      <c r="N2" s="25">
        <v>0.16835699797160245</v>
      </c>
      <c r="O2" s="25">
        <v>0.70588235294117652</v>
      </c>
      <c r="P2" s="25">
        <v>0.12576064908722109</v>
      </c>
      <c r="Q2" s="16">
        <v>0</v>
      </c>
      <c r="R2" s="16">
        <v>1</v>
      </c>
      <c r="S2" s="16">
        <v>0.5</v>
      </c>
      <c r="T2" s="16">
        <v>0</v>
      </c>
      <c r="U2" s="16">
        <v>53</v>
      </c>
      <c r="V2" s="16">
        <v>32</v>
      </c>
      <c r="W2" s="16">
        <v>89</v>
      </c>
      <c r="X2" s="16">
        <v>127</v>
      </c>
      <c r="Y2" s="16" t="s">
        <v>743</v>
      </c>
    </row>
    <row r="3" spans="1:25">
      <c r="A3" s="16">
        <v>2025</v>
      </c>
      <c r="B3" s="16" t="str">
        <f t="shared" ref="B3:B5" si="0">"Q"&amp;ROUNDUP(MONTH(DATEVALUE(C3&amp;" 1"))/3,0)</f>
        <v>Q3</v>
      </c>
      <c r="C3" s="16" t="s">
        <v>710</v>
      </c>
      <c r="D3" s="16" t="str">
        <f t="shared" ref="D3:D5" si="1">CONCATENATE(A3,"_",B3,"_",C3)</f>
        <v>2025_Q3_July</v>
      </c>
      <c r="E3" s="16">
        <v>2</v>
      </c>
      <c r="F3" s="16">
        <v>4.3600000000000003</v>
      </c>
      <c r="G3" s="24">
        <v>0.92</v>
      </c>
      <c r="H3" s="16">
        <v>0</v>
      </c>
      <c r="I3" s="16">
        <v>4</v>
      </c>
      <c r="J3" s="16">
        <v>440</v>
      </c>
      <c r="K3" s="25">
        <v>0.41891891891891891</v>
      </c>
      <c r="L3" s="25">
        <v>0.10810810810810811</v>
      </c>
      <c r="M3" s="25">
        <v>0.47297297297297297</v>
      </c>
      <c r="N3" s="25">
        <v>0.20382165605095542</v>
      </c>
      <c r="O3" s="25">
        <v>0.68789808917197448</v>
      </c>
      <c r="P3" s="25">
        <v>0.10828025477707007</v>
      </c>
      <c r="Q3" s="24">
        <v>1</v>
      </c>
      <c r="R3" s="16">
        <v>0</v>
      </c>
      <c r="S3" s="16">
        <v>0.8</v>
      </c>
      <c r="T3" s="16">
        <v>1</v>
      </c>
      <c r="U3" s="16">
        <v>74</v>
      </c>
      <c r="V3" s="16">
        <v>68</v>
      </c>
      <c r="W3" s="16">
        <v>46</v>
      </c>
      <c r="X3" s="16">
        <v>65</v>
      </c>
      <c r="Y3" s="26" t="s">
        <v>744</v>
      </c>
    </row>
    <row r="4" spans="1:25">
      <c r="A4" s="16">
        <v>2025</v>
      </c>
      <c r="B4" s="16" t="str">
        <f t="shared" si="0"/>
        <v>Q3</v>
      </c>
      <c r="C4" s="16" t="s">
        <v>710</v>
      </c>
      <c r="D4" s="16" t="str">
        <f t="shared" si="1"/>
        <v>2025_Q3_July</v>
      </c>
      <c r="E4" s="16">
        <v>3</v>
      </c>
      <c r="F4" s="16">
        <v>4.2300000000000004</v>
      </c>
      <c r="G4" s="24">
        <v>0.9</v>
      </c>
      <c r="H4" s="16">
        <v>2</v>
      </c>
      <c r="I4" s="16">
        <v>5</v>
      </c>
      <c r="J4" s="16">
        <v>320</v>
      </c>
      <c r="K4" s="25">
        <v>0.28125</v>
      </c>
      <c r="L4" s="25">
        <v>6.25E-2</v>
      </c>
      <c r="M4" s="25">
        <v>0.65625</v>
      </c>
      <c r="N4" s="25">
        <v>0.16835699797160245</v>
      </c>
      <c r="O4" s="25">
        <v>0.70588235294117652</v>
      </c>
      <c r="P4" s="25">
        <v>0.12576064908722109</v>
      </c>
      <c r="Q4" s="16">
        <v>0</v>
      </c>
      <c r="R4" s="16">
        <v>0</v>
      </c>
      <c r="S4" s="16">
        <v>0.5</v>
      </c>
      <c r="T4" s="16">
        <v>0</v>
      </c>
      <c r="U4" s="16">
        <v>60</v>
      </c>
      <c r="V4" s="16">
        <v>49</v>
      </c>
      <c r="W4" s="16">
        <v>40</v>
      </c>
      <c r="X4" s="16">
        <v>51</v>
      </c>
      <c r="Y4" s="26" t="s">
        <v>745</v>
      </c>
    </row>
    <row r="5" spans="1:25">
      <c r="A5" s="16">
        <v>2025</v>
      </c>
      <c r="B5" s="16" t="str">
        <f t="shared" si="0"/>
        <v>Q3</v>
      </c>
      <c r="C5" s="16" t="s">
        <v>710</v>
      </c>
      <c r="D5" s="16" t="str">
        <f t="shared" si="1"/>
        <v>2025_Q3_July</v>
      </c>
      <c r="E5" s="16">
        <v>4</v>
      </c>
      <c r="F5" s="16">
        <v>4.0999999999999996</v>
      </c>
      <c r="G5" s="24">
        <v>0.85</v>
      </c>
      <c r="H5" s="16">
        <v>1</v>
      </c>
      <c r="I5" s="16">
        <v>2</v>
      </c>
      <c r="J5" s="16">
        <v>328</v>
      </c>
      <c r="K5" s="25">
        <v>0.41891891891891891</v>
      </c>
      <c r="L5" s="25">
        <v>0.10810810810810811</v>
      </c>
      <c r="M5" s="25">
        <v>0.47297297297297297</v>
      </c>
      <c r="N5" s="25">
        <v>0.20382165605095542</v>
      </c>
      <c r="O5" s="25">
        <v>0.68789808917197448</v>
      </c>
      <c r="P5" s="25">
        <v>0.10828025477707007</v>
      </c>
      <c r="Q5" s="16">
        <v>0</v>
      </c>
      <c r="R5" s="16">
        <v>0</v>
      </c>
      <c r="S5" s="16">
        <v>0.8</v>
      </c>
      <c r="T5" s="16">
        <v>0</v>
      </c>
      <c r="U5" s="16">
        <v>100</v>
      </c>
      <c r="V5" s="16">
        <v>70</v>
      </c>
      <c r="W5" s="16">
        <v>48</v>
      </c>
      <c r="X5" s="16">
        <v>58</v>
      </c>
      <c r="Y5" s="26" t="s">
        <v>743</v>
      </c>
    </row>
    <row r="6" spans="1:25">
      <c r="A6" s="16">
        <v>2025</v>
      </c>
      <c r="B6" s="16" t="str">
        <f>"Q"&amp;ROUNDUP(MONTH(DATEVALUE(C6&amp;" 1"))/3,0)</f>
        <v>Q3</v>
      </c>
      <c r="C6" s="16" t="s">
        <v>711</v>
      </c>
      <c r="D6" s="16" t="str">
        <f>CONCATENATE(A6,"_",B6,"_",C6)</f>
        <v>2025_Q3_August</v>
      </c>
      <c r="E6" s="16">
        <v>1</v>
      </c>
      <c r="F6" s="16">
        <v>4.2</v>
      </c>
      <c r="G6" s="24">
        <v>0.98</v>
      </c>
      <c r="H6" s="16">
        <v>1</v>
      </c>
      <c r="I6" s="16">
        <v>3</v>
      </c>
      <c r="J6" s="16">
        <v>248</v>
      </c>
      <c r="K6" s="25">
        <v>0.28125</v>
      </c>
      <c r="L6" s="25">
        <v>6.25E-2</v>
      </c>
      <c r="M6" s="25">
        <v>0.65625</v>
      </c>
      <c r="N6" s="25">
        <v>0.16835699797160245</v>
      </c>
      <c r="O6" s="25">
        <v>0.70588235294117652</v>
      </c>
      <c r="P6" s="25">
        <v>0.12576064908722109</v>
      </c>
      <c r="Q6" s="16">
        <v>0</v>
      </c>
      <c r="R6" s="16">
        <v>1</v>
      </c>
      <c r="S6" s="16">
        <v>0.5</v>
      </c>
      <c r="T6" s="16">
        <v>0</v>
      </c>
      <c r="U6" s="16">
        <v>53</v>
      </c>
      <c r="V6" s="16">
        <v>32</v>
      </c>
      <c r="W6" s="16">
        <v>89</v>
      </c>
      <c r="X6" s="16">
        <v>127</v>
      </c>
      <c r="Y6" s="16" t="s">
        <v>743</v>
      </c>
    </row>
    <row r="7" spans="1:25">
      <c r="A7" s="16">
        <v>2025</v>
      </c>
      <c r="B7" s="16" t="str">
        <f t="shared" ref="B7:B9" si="2">"Q"&amp;ROUNDUP(MONTH(DATEVALUE(C7&amp;" 1"))/3,0)</f>
        <v>Q3</v>
      </c>
      <c r="C7" s="16" t="s">
        <v>711</v>
      </c>
      <c r="D7" s="16" t="str">
        <f t="shared" ref="D7:D9" si="3">CONCATENATE(A7,"_",B7,"_",C7)</f>
        <v>2025_Q3_August</v>
      </c>
      <c r="E7" s="16">
        <v>2</v>
      </c>
      <c r="F7" s="16">
        <v>4.3600000000000003</v>
      </c>
      <c r="G7" s="24">
        <v>0.92</v>
      </c>
      <c r="H7" s="16">
        <v>0</v>
      </c>
      <c r="I7" s="16">
        <v>4</v>
      </c>
      <c r="J7" s="16">
        <v>440</v>
      </c>
      <c r="K7" s="25">
        <v>0.41891891891891891</v>
      </c>
      <c r="L7" s="25">
        <v>0.10810810810810811</v>
      </c>
      <c r="M7" s="25">
        <v>0.47297297297297297</v>
      </c>
      <c r="N7" s="25">
        <v>0.20382165605095542</v>
      </c>
      <c r="O7" s="25">
        <v>0.68789808917197448</v>
      </c>
      <c r="P7" s="25">
        <v>0.10828025477707007</v>
      </c>
      <c r="Q7" s="24">
        <v>1</v>
      </c>
      <c r="R7" s="16">
        <v>0</v>
      </c>
      <c r="S7" s="16">
        <v>0.8</v>
      </c>
      <c r="T7" s="16">
        <v>1</v>
      </c>
      <c r="U7" s="16">
        <v>74</v>
      </c>
      <c r="V7" s="16">
        <v>68</v>
      </c>
      <c r="W7" s="16">
        <v>46</v>
      </c>
      <c r="X7" s="16">
        <v>65</v>
      </c>
      <c r="Y7" s="26" t="s">
        <v>744</v>
      </c>
    </row>
    <row r="8" spans="1:25">
      <c r="A8" s="16">
        <v>2025</v>
      </c>
      <c r="B8" s="16" t="str">
        <f t="shared" si="2"/>
        <v>Q3</v>
      </c>
      <c r="C8" s="16" t="s">
        <v>711</v>
      </c>
      <c r="D8" s="16" t="str">
        <f t="shared" si="3"/>
        <v>2025_Q3_August</v>
      </c>
      <c r="E8" s="16">
        <v>3</v>
      </c>
      <c r="F8" s="16">
        <v>4.2300000000000004</v>
      </c>
      <c r="G8" s="24">
        <v>0.9</v>
      </c>
      <c r="H8" s="16">
        <v>2</v>
      </c>
      <c r="I8" s="16">
        <v>5</v>
      </c>
      <c r="J8" s="16">
        <v>320</v>
      </c>
      <c r="K8" s="25">
        <v>0.28125</v>
      </c>
      <c r="L8" s="25">
        <v>6.25E-2</v>
      </c>
      <c r="M8" s="25">
        <v>0.65625</v>
      </c>
      <c r="N8" s="25">
        <v>0.16835699797160245</v>
      </c>
      <c r="O8" s="25">
        <v>0.70588235294117652</v>
      </c>
      <c r="P8" s="25">
        <v>0.12576064908722109</v>
      </c>
      <c r="Q8" s="16">
        <v>0</v>
      </c>
      <c r="R8" s="16">
        <v>0</v>
      </c>
      <c r="S8" s="16">
        <v>0.5</v>
      </c>
      <c r="T8" s="16">
        <v>0</v>
      </c>
      <c r="U8" s="16">
        <v>60</v>
      </c>
      <c r="V8" s="16">
        <v>49</v>
      </c>
      <c r="W8" s="16">
        <v>40</v>
      </c>
      <c r="X8" s="16">
        <v>51</v>
      </c>
      <c r="Y8" s="26" t="s">
        <v>745</v>
      </c>
    </row>
    <row r="9" spans="1:25">
      <c r="A9" s="16">
        <v>2025</v>
      </c>
      <c r="B9" s="16" t="str">
        <f t="shared" si="2"/>
        <v>Q3</v>
      </c>
      <c r="C9" s="16" t="s">
        <v>711</v>
      </c>
      <c r="D9" s="16" t="str">
        <f t="shared" si="3"/>
        <v>2025_Q3_August</v>
      </c>
      <c r="E9" s="16">
        <v>4</v>
      </c>
      <c r="F9" s="16">
        <v>4.0999999999999996</v>
      </c>
      <c r="G9" s="24">
        <v>0.85</v>
      </c>
      <c r="H9" s="16">
        <v>1</v>
      </c>
      <c r="I9" s="16">
        <v>2</v>
      </c>
      <c r="J9" s="16">
        <v>328</v>
      </c>
      <c r="K9" s="25">
        <v>0.41891891891891891</v>
      </c>
      <c r="L9" s="25">
        <v>0.10810810810810811</v>
      </c>
      <c r="M9" s="25">
        <v>0.47297297297297297</v>
      </c>
      <c r="N9" s="25">
        <v>0.20382165605095542</v>
      </c>
      <c r="O9" s="25">
        <v>0.68789808917197448</v>
      </c>
      <c r="P9" s="25">
        <v>0.10828025477707007</v>
      </c>
      <c r="Q9" s="16">
        <v>0</v>
      </c>
      <c r="R9" s="16">
        <v>0</v>
      </c>
      <c r="S9" s="16">
        <v>0.8</v>
      </c>
      <c r="T9" s="16">
        <v>0</v>
      </c>
      <c r="U9" s="16">
        <v>100</v>
      </c>
      <c r="V9" s="16">
        <v>70</v>
      </c>
      <c r="W9" s="16">
        <v>48</v>
      </c>
      <c r="X9" s="16">
        <v>58</v>
      </c>
      <c r="Y9" s="26" t="s">
        <v>743</v>
      </c>
    </row>
    <row r="10" spans="1:25">
      <c r="A10" s="16">
        <v>2025</v>
      </c>
      <c r="B10" s="16" t="str">
        <f>"Q"&amp;ROUNDUP(MONTH(DATEVALUE(C10&amp;" 1"))/3,0)</f>
        <v>Q3</v>
      </c>
      <c r="C10" s="16" t="s">
        <v>712</v>
      </c>
      <c r="D10" s="16" t="str">
        <f>CONCATENATE(A10,"_",B10,"_",C10)</f>
        <v>2025_Q3_September</v>
      </c>
      <c r="E10" s="16">
        <v>1</v>
      </c>
      <c r="F10" s="16">
        <v>4.2</v>
      </c>
      <c r="G10" s="24">
        <v>0.98</v>
      </c>
      <c r="H10" s="16">
        <v>1</v>
      </c>
      <c r="I10" s="16">
        <v>3</v>
      </c>
      <c r="J10" s="16">
        <v>248</v>
      </c>
      <c r="K10" s="25">
        <v>0.28125</v>
      </c>
      <c r="L10" s="25">
        <v>6.25E-2</v>
      </c>
      <c r="M10" s="25">
        <v>0.65625</v>
      </c>
      <c r="N10" s="25">
        <v>0.16835699797160245</v>
      </c>
      <c r="O10" s="25">
        <v>0.70588235294117652</v>
      </c>
      <c r="P10" s="25">
        <v>0.12576064908722109</v>
      </c>
      <c r="Q10" s="16">
        <v>0</v>
      </c>
      <c r="R10" s="16">
        <v>1</v>
      </c>
      <c r="S10" s="16">
        <v>0.5</v>
      </c>
      <c r="T10" s="16">
        <v>0</v>
      </c>
      <c r="U10" s="16">
        <v>53</v>
      </c>
      <c r="V10" s="16">
        <v>32</v>
      </c>
      <c r="W10" s="16">
        <v>89</v>
      </c>
      <c r="X10" s="16">
        <v>127</v>
      </c>
      <c r="Y10" s="16" t="s">
        <v>743</v>
      </c>
    </row>
    <row r="11" spans="1:25">
      <c r="A11" s="16">
        <v>2025</v>
      </c>
      <c r="B11" s="16" t="str">
        <f t="shared" ref="B11:B13" si="4">"Q"&amp;ROUNDUP(MONTH(DATEVALUE(C11&amp;" 1"))/3,0)</f>
        <v>Q3</v>
      </c>
      <c r="C11" s="16" t="s">
        <v>712</v>
      </c>
      <c r="D11" s="16" t="str">
        <f t="shared" ref="D11:D13" si="5">CONCATENATE(A11,"_",B11,"_",C11)</f>
        <v>2025_Q3_September</v>
      </c>
      <c r="E11" s="16">
        <v>2</v>
      </c>
      <c r="F11" s="16">
        <v>4.3600000000000003</v>
      </c>
      <c r="G11" s="24">
        <v>0.92</v>
      </c>
      <c r="H11" s="16">
        <v>0</v>
      </c>
      <c r="I11" s="16">
        <v>4</v>
      </c>
      <c r="J11" s="16">
        <v>440</v>
      </c>
      <c r="K11" s="25">
        <v>0.41891891891891891</v>
      </c>
      <c r="L11" s="25">
        <v>0.10810810810810811</v>
      </c>
      <c r="M11" s="25">
        <v>0.47297297297297297</v>
      </c>
      <c r="N11" s="25">
        <v>0.20382165605095542</v>
      </c>
      <c r="O11" s="25">
        <v>0.68789808917197448</v>
      </c>
      <c r="P11" s="25">
        <v>0.10828025477707007</v>
      </c>
      <c r="Q11" s="24">
        <v>1</v>
      </c>
      <c r="R11" s="16">
        <v>0</v>
      </c>
      <c r="S11" s="16">
        <v>0.8</v>
      </c>
      <c r="T11" s="16">
        <v>1</v>
      </c>
      <c r="U11" s="16">
        <v>74</v>
      </c>
      <c r="V11" s="16">
        <v>68</v>
      </c>
      <c r="W11" s="16">
        <v>46</v>
      </c>
      <c r="X11" s="16">
        <v>65</v>
      </c>
      <c r="Y11" s="26" t="s">
        <v>744</v>
      </c>
    </row>
    <row r="12" spans="1:25">
      <c r="A12" s="16">
        <v>2025</v>
      </c>
      <c r="B12" s="16" t="str">
        <f t="shared" si="4"/>
        <v>Q3</v>
      </c>
      <c r="C12" s="16" t="s">
        <v>712</v>
      </c>
      <c r="D12" s="16" t="str">
        <f t="shared" si="5"/>
        <v>2025_Q3_September</v>
      </c>
      <c r="E12" s="16">
        <v>3</v>
      </c>
      <c r="F12" s="16">
        <v>4.2300000000000004</v>
      </c>
      <c r="G12" s="24">
        <v>0.9</v>
      </c>
      <c r="H12" s="16">
        <v>2</v>
      </c>
      <c r="I12" s="16">
        <v>5</v>
      </c>
      <c r="J12" s="16">
        <v>320</v>
      </c>
      <c r="K12" s="25">
        <v>0.28125</v>
      </c>
      <c r="L12" s="25">
        <v>6.25E-2</v>
      </c>
      <c r="M12" s="25">
        <v>0.65625</v>
      </c>
      <c r="N12" s="25">
        <v>0.16835699797160245</v>
      </c>
      <c r="O12" s="25">
        <v>0.70588235294117652</v>
      </c>
      <c r="P12" s="25">
        <v>0.12576064908722109</v>
      </c>
      <c r="Q12" s="16">
        <v>0</v>
      </c>
      <c r="R12" s="16">
        <v>0</v>
      </c>
      <c r="S12" s="16">
        <v>0.5</v>
      </c>
      <c r="T12" s="16">
        <v>0</v>
      </c>
      <c r="U12" s="16">
        <v>60</v>
      </c>
      <c r="V12" s="16">
        <v>49</v>
      </c>
      <c r="W12" s="16">
        <v>40</v>
      </c>
      <c r="X12" s="16">
        <v>51</v>
      </c>
      <c r="Y12" s="26" t="s">
        <v>745</v>
      </c>
    </row>
    <row r="13" spans="1:25">
      <c r="A13" s="16">
        <v>2025</v>
      </c>
      <c r="B13" s="16" t="str">
        <f t="shared" si="4"/>
        <v>Q3</v>
      </c>
      <c r="C13" s="16" t="s">
        <v>712</v>
      </c>
      <c r="D13" s="16" t="str">
        <f t="shared" si="5"/>
        <v>2025_Q3_September</v>
      </c>
      <c r="E13" s="16">
        <v>4</v>
      </c>
      <c r="F13" s="16">
        <v>4.0999999999999996</v>
      </c>
      <c r="G13" s="24">
        <v>0.85</v>
      </c>
      <c r="H13" s="16">
        <v>1</v>
      </c>
      <c r="I13" s="16">
        <v>2</v>
      </c>
      <c r="J13" s="16">
        <v>328</v>
      </c>
      <c r="K13" s="25">
        <v>0.41891891891891891</v>
      </c>
      <c r="L13" s="25">
        <v>0.10810810810810811</v>
      </c>
      <c r="M13" s="25">
        <v>0.47297297297297297</v>
      </c>
      <c r="N13" s="25">
        <v>0.20382165605095542</v>
      </c>
      <c r="O13" s="25">
        <v>0.68789808917197448</v>
      </c>
      <c r="P13" s="25">
        <v>0.10828025477707007</v>
      </c>
      <c r="Q13" s="16">
        <v>0</v>
      </c>
      <c r="R13" s="16">
        <v>0</v>
      </c>
      <c r="S13" s="16">
        <v>0.8</v>
      </c>
      <c r="T13" s="16">
        <v>0</v>
      </c>
      <c r="U13" s="16">
        <v>100</v>
      </c>
      <c r="V13" s="16">
        <v>70</v>
      </c>
      <c r="W13" s="16">
        <v>48</v>
      </c>
      <c r="X13" s="16">
        <v>58</v>
      </c>
      <c r="Y13" s="26" t="s">
        <v>743</v>
      </c>
    </row>
    <row r="14" spans="1:25">
      <c r="A14" s="16">
        <v>2025</v>
      </c>
      <c r="B14" s="16" t="str">
        <f>"Q"&amp;ROUNDUP(MONTH(DATEVALUE(C14&amp;" 1"))/3,0)</f>
        <v>Q4</v>
      </c>
      <c r="C14" s="16" t="s">
        <v>713</v>
      </c>
      <c r="D14" s="16" t="str">
        <f>CONCATENATE(A14,"_",B14,"_",C14)</f>
        <v>2025_Q4_October</v>
      </c>
      <c r="E14" s="16">
        <v>1</v>
      </c>
      <c r="F14" s="16">
        <v>4.2</v>
      </c>
      <c r="G14" s="24">
        <v>0.98</v>
      </c>
      <c r="H14" s="16">
        <v>1</v>
      </c>
      <c r="I14" s="16">
        <v>3</v>
      </c>
      <c r="J14" s="16">
        <v>248</v>
      </c>
      <c r="K14" s="25">
        <v>0.28125</v>
      </c>
      <c r="L14" s="25">
        <v>6.25E-2</v>
      </c>
      <c r="M14" s="25">
        <v>0.65625</v>
      </c>
      <c r="N14" s="25">
        <v>0.16835699797160245</v>
      </c>
      <c r="O14" s="25">
        <v>0.70588235294117652</v>
      </c>
      <c r="P14" s="25">
        <v>0.12576064908722109</v>
      </c>
      <c r="Q14" s="16">
        <v>0</v>
      </c>
      <c r="R14" s="16">
        <v>1</v>
      </c>
      <c r="S14" s="16">
        <v>0.5</v>
      </c>
      <c r="T14" s="16">
        <v>0</v>
      </c>
      <c r="U14" s="16">
        <v>53</v>
      </c>
      <c r="V14" s="16">
        <v>32</v>
      </c>
      <c r="W14" s="16">
        <v>89</v>
      </c>
      <c r="X14" s="16">
        <v>127</v>
      </c>
      <c r="Y14" s="16" t="s">
        <v>743</v>
      </c>
    </row>
    <row r="15" spans="1:25">
      <c r="A15" s="16">
        <v>2025</v>
      </c>
      <c r="B15" s="16" t="str">
        <f t="shared" ref="B15:B17" si="6">"Q"&amp;ROUNDUP(MONTH(DATEVALUE(C15&amp;" 1"))/3,0)</f>
        <v>Q4</v>
      </c>
      <c r="C15" s="16" t="s">
        <v>713</v>
      </c>
      <c r="D15" s="16" t="str">
        <f t="shared" ref="D15:D17" si="7">CONCATENATE(A15,"_",B15,"_",C15)</f>
        <v>2025_Q4_October</v>
      </c>
      <c r="E15" s="16">
        <v>2</v>
      </c>
      <c r="F15" s="16">
        <v>4.3600000000000003</v>
      </c>
      <c r="G15" s="24">
        <v>0.92</v>
      </c>
      <c r="H15" s="16">
        <v>0</v>
      </c>
      <c r="I15" s="16">
        <v>4</v>
      </c>
      <c r="J15" s="16">
        <v>440</v>
      </c>
      <c r="K15" s="25">
        <v>0.41891891891891891</v>
      </c>
      <c r="L15" s="25">
        <v>0.10810810810810811</v>
      </c>
      <c r="M15" s="25">
        <v>0.47297297297297297</v>
      </c>
      <c r="N15" s="25">
        <v>0.20382165605095542</v>
      </c>
      <c r="O15" s="25">
        <v>0.68789808917197448</v>
      </c>
      <c r="P15" s="25">
        <v>0.10828025477707007</v>
      </c>
      <c r="Q15" s="24">
        <v>1</v>
      </c>
      <c r="R15" s="16">
        <v>0</v>
      </c>
      <c r="S15" s="16">
        <v>0.8</v>
      </c>
      <c r="T15" s="16">
        <v>1</v>
      </c>
      <c r="U15" s="16">
        <v>74</v>
      </c>
      <c r="V15" s="16">
        <v>68</v>
      </c>
      <c r="W15" s="16">
        <v>46</v>
      </c>
      <c r="X15" s="16">
        <v>65</v>
      </c>
      <c r="Y15" s="26" t="s">
        <v>744</v>
      </c>
    </row>
    <row r="16" spans="1:25">
      <c r="A16" s="16">
        <v>2025</v>
      </c>
      <c r="B16" s="16" t="str">
        <f t="shared" si="6"/>
        <v>Q4</v>
      </c>
      <c r="C16" s="16" t="s">
        <v>713</v>
      </c>
      <c r="D16" s="16" t="str">
        <f t="shared" si="7"/>
        <v>2025_Q4_October</v>
      </c>
      <c r="E16" s="16">
        <v>3</v>
      </c>
      <c r="F16" s="16">
        <v>4.2300000000000004</v>
      </c>
      <c r="G16" s="24">
        <v>0.9</v>
      </c>
      <c r="H16" s="16">
        <v>2</v>
      </c>
      <c r="I16" s="16">
        <v>5</v>
      </c>
      <c r="J16" s="16">
        <v>320</v>
      </c>
      <c r="K16" s="25">
        <v>0.28125</v>
      </c>
      <c r="L16" s="25">
        <v>6.25E-2</v>
      </c>
      <c r="M16" s="25">
        <v>0.65625</v>
      </c>
      <c r="N16" s="25">
        <v>0.16835699797160245</v>
      </c>
      <c r="O16" s="25">
        <v>0.70588235294117652</v>
      </c>
      <c r="P16" s="25">
        <v>0.12576064908722109</v>
      </c>
      <c r="Q16" s="16">
        <v>0</v>
      </c>
      <c r="R16" s="16">
        <v>0</v>
      </c>
      <c r="S16" s="16">
        <v>0.5</v>
      </c>
      <c r="T16" s="16">
        <v>0</v>
      </c>
      <c r="U16" s="16">
        <v>60</v>
      </c>
      <c r="V16" s="16">
        <v>49</v>
      </c>
      <c r="W16" s="16">
        <v>40</v>
      </c>
      <c r="X16" s="16">
        <v>51</v>
      </c>
      <c r="Y16" s="26" t="s">
        <v>745</v>
      </c>
    </row>
    <row r="17" spans="1:25">
      <c r="A17" s="16">
        <v>2025</v>
      </c>
      <c r="B17" s="16" t="str">
        <f t="shared" si="6"/>
        <v>Q4</v>
      </c>
      <c r="C17" s="16" t="s">
        <v>713</v>
      </c>
      <c r="D17" s="16" t="str">
        <f t="shared" si="7"/>
        <v>2025_Q4_October</v>
      </c>
      <c r="E17" s="16">
        <v>4</v>
      </c>
      <c r="F17" s="16">
        <v>4.0999999999999996</v>
      </c>
      <c r="G17" s="24">
        <v>0.85</v>
      </c>
      <c r="H17" s="16">
        <v>1</v>
      </c>
      <c r="I17" s="16">
        <v>2</v>
      </c>
      <c r="J17" s="16">
        <v>328</v>
      </c>
      <c r="K17" s="25">
        <v>0.41891891891891891</v>
      </c>
      <c r="L17" s="25">
        <v>0.10810810810810811</v>
      </c>
      <c r="M17" s="25">
        <v>0.47297297297297297</v>
      </c>
      <c r="N17" s="25">
        <v>0.20382165605095542</v>
      </c>
      <c r="O17" s="25">
        <v>0.68789808917197448</v>
      </c>
      <c r="P17" s="25">
        <v>0.10828025477707007</v>
      </c>
      <c r="Q17" s="16">
        <v>0</v>
      </c>
      <c r="R17" s="16">
        <v>0</v>
      </c>
      <c r="S17" s="16">
        <v>0.8</v>
      </c>
      <c r="T17" s="16">
        <v>0</v>
      </c>
      <c r="U17" s="16">
        <v>100</v>
      </c>
      <c r="V17" s="16">
        <v>70</v>
      </c>
      <c r="W17" s="16">
        <v>48</v>
      </c>
      <c r="X17" s="16">
        <v>58</v>
      </c>
      <c r="Y17" s="26" t="s">
        <v>743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0517-A101-4CA0-B998-6810DDC14F5F}">
  <dimension ref="A1:E42"/>
  <sheetViews>
    <sheetView workbookViewId="0">
      <selection activeCell="D35" sqref="D35"/>
    </sheetView>
  </sheetViews>
  <sheetFormatPr defaultRowHeight="14.5"/>
  <cols>
    <col min="1" max="1" width="14.453125" customWidth="1"/>
    <col min="2" max="2" width="14" customWidth="1"/>
    <col min="3" max="3" width="12.81640625" customWidth="1"/>
    <col min="4" max="4" width="15.7265625" customWidth="1"/>
  </cols>
  <sheetData>
    <row r="1" spans="1:5">
      <c r="A1" t="s">
        <v>746</v>
      </c>
      <c r="B1" t="s">
        <v>747</v>
      </c>
      <c r="C1" t="s">
        <v>748</v>
      </c>
      <c r="D1" t="s">
        <v>749</v>
      </c>
      <c r="E1" t="s">
        <v>705</v>
      </c>
    </row>
    <row r="2" spans="1:5">
      <c r="A2" t="s">
        <v>750</v>
      </c>
      <c r="B2">
        <v>1</v>
      </c>
      <c r="C2">
        <v>14</v>
      </c>
      <c r="D2">
        <v>10</v>
      </c>
      <c r="E2">
        <v>2025</v>
      </c>
    </row>
    <row r="3" spans="1:5">
      <c r="A3" t="s">
        <v>751</v>
      </c>
      <c r="B3">
        <v>1</v>
      </c>
      <c r="C3">
        <v>6</v>
      </c>
      <c r="D3">
        <v>10</v>
      </c>
      <c r="E3">
        <v>2025</v>
      </c>
    </row>
    <row r="4" spans="1:5">
      <c r="A4" t="s">
        <v>752</v>
      </c>
      <c r="B4">
        <v>1</v>
      </c>
      <c r="C4">
        <v>14</v>
      </c>
      <c r="D4">
        <v>10</v>
      </c>
      <c r="E4">
        <v>2025</v>
      </c>
    </row>
    <row r="5" spans="1:5">
      <c r="A5" t="s">
        <v>753</v>
      </c>
      <c r="B5">
        <v>1</v>
      </c>
      <c r="C5">
        <v>1</v>
      </c>
      <c r="D5">
        <v>10</v>
      </c>
      <c r="E5">
        <v>2025</v>
      </c>
    </row>
    <row r="6" spans="1:5">
      <c r="A6" t="s">
        <v>754</v>
      </c>
      <c r="B6">
        <v>1</v>
      </c>
      <c r="C6">
        <v>5</v>
      </c>
      <c r="D6">
        <v>10</v>
      </c>
      <c r="E6">
        <v>2025</v>
      </c>
    </row>
    <row r="7" spans="1:5">
      <c r="A7" t="s">
        <v>755</v>
      </c>
      <c r="B7">
        <v>1</v>
      </c>
      <c r="C7">
        <v>2</v>
      </c>
      <c r="D7">
        <v>10</v>
      </c>
      <c r="E7">
        <v>2025</v>
      </c>
    </row>
    <row r="8" spans="1:5">
      <c r="A8" t="s">
        <v>756</v>
      </c>
      <c r="B8">
        <v>1</v>
      </c>
      <c r="C8">
        <v>4</v>
      </c>
      <c r="D8">
        <v>10</v>
      </c>
      <c r="E8">
        <v>2025</v>
      </c>
    </row>
    <row r="9" spans="1:5">
      <c r="A9" t="s">
        <v>757</v>
      </c>
      <c r="B9">
        <v>1</v>
      </c>
      <c r="C9">
        <v>1</v>
      </c>
      <c r="D9">
        <v>10</v>
      </c>
      <c r="E9">
        <v>2025</v>
      </c>
    </row>
    <row r="10" spans="1:5">
      <c r="A10" t="s">
        <v>758</v>
      </c>
      <c r="B10">
        <v>1</v>
      </c>
      <c r="C10">
        <v>3</v>
      </c>
      <c r="D10">
        <v>10</v>
      </c>
      <c r="E10">
        <v>2025</v>
      </c>
    </row>
    <row r="11" spans="1:5">
      <c r="A11" t="s">
        <v>759</v>
      </c>
      <c r="B11">
        <v>1</v>
      </c>
      <c r="C11">
        <v>3</v>
      </c>
      <c r="D11">
        <v>10</v>
      </c>
      <c r="E11">
        <v>2025</v>
      </c>
    </row>
    <row r="12" spans="1:5">
      <c r="A12" t="s">
        <v>760</v>
      </c>
      <c r="B12">
        <v>1</v>
      </c>
      <c r="C12">
        <v>2</v>
      </c>
      <c r="D12">
        <v>10</v>
      </c>
      <c r="E12">
        <v>2025</v>
      </c>
    </row>
    <row r="13" spans="1:5">
      <c r="A13" t="s">
        <v>761</v>
      </c>
      <c r="B13">
        <v>1</v>
      </c>
      <c r="C13">
        <v>1</v>
      </c>
      <c r="D13">
        <v>10</v>
      </c>
      <c r="E13">
        <v>2025</v>
      </c>
    </row>
    <row r="14" spans="1:5">
      <c r="A14" t="s">
        <v>762</v>
      </c>
      <c r="B14">
        <v>1</v>
      </c>
      <c r="C14">
        <v>1</v>
      </c>
      <c r="D14">
        <v>10</v>
      </c>
      <c r="E14">
        <v>2025</v>
      </c>
    </row>
    <row r="15" spans="1:5">
      <c r="A15" t="s">
        <v>763</v>
      </c>
      <c r="B15">
        <v>1</v>
      </c>
      <c r="C15">
        <v>1</v>
      </c>
      <c r="D15">
        <v>10</v>
      </c>
      <c r="E15">
        <v>2025</v>
      </c>
    </row>
    <row r="16" spans="1:5">
      <c r="A16" t="s">
        <v>764</v>
      </c>
      <c r="B16">
        <v>1</v>
      </c>
      <c r="C16">
        <v>1</v>
      </c>
      <c r="D16">
        <v>10</v>
      </c>
      <c r="E16">
        <v>2025</v>
      </c>
    </row>
    <row r="17" spans="1:5">
      <c r="A17" t="s">
        <v>750</v>
      </c>
      <c r="B17">
        <v>2</v>
      </c>
      <c r="C17">
        <v>9</v>
      </c>
      <c r="D17">
        <v>10</v>
      </c>
      <c r="E17">
        <v>2025</v>
      </c>
    </row>
    <row r="18" spans="1:5">
      <c r="A18" t="s">
        <v>751</v>
      </c>
      <c r="B18">
        <v>2</v>
      </c>
      <c r="C18">
        <v>18</v>
      </c>
      <c r="D18">
        <v>10</v>
      </c>
      <c r="E18">
        <v>2025</v>
      </c>
    </row>
    <row r="19" spans="1:5">
      <c r="A19" t="s">
        <v>765</v>
      </c>
      <c r="B19">
        <v>2</v>
      </c>
      <c r="C19">
        <v>19</v>
      </c>
      <c r="D19">
        <v>10</v>
      </c>
      <c r="E19">
        <v>2025</v>
      </c>
    </row>
    <row r="20" spans="1:5">
      <c r="A20" t="s">
        <v>753</v>
      </c>
      <c r="B20">
        <v>2</v>
      </c>
      <c r="C20">
        <v>9</v>
      </c>
      <c r="D20">
        <v>10</v>
      </c>
      <c r="E20">
        <v>2025</v>
      </c>
    </row>
    <row r="21" spans="1:5">
      <c r="A21" t="s">
        <v>766</v>
      </c>
      <c r="B21">
        <v>2</v>
      </c>
      <c r="C21">
        <v>10</v>
      </c>
      <c r="D21">
        <v>10</v>
      </c>
      <c r="E21">
        <v>2025</v>
      </c>
    </row>
    <row r="22" spans="1:5">
      <c r="A22" t="s">
        <v>767</v>
      </c>
      <c r="B22">
        <v>2</v>
      </c>
      <c r="C22">
        <v>9</v>
      </c>
      <c r="D22">
        <v>10</v>
      </c>
      <c r="E22">
        <v>2025</v>
      </c>
    </row>
    <row r="23" spans="1:5">
      <c r="A23" t="s">
        <v>754</v>
      </c>
      <c r="B23">
        <v>2</v>
      </c>
      <c r="C23">
        <v>3</v>
      </c>
      <c r="D23">
        <v>10</v>
      </c>
      <c r="E23">
        <v>2025</v>
      </c>
    </row>
    <row r="24" spans="1:5">
      <c r="A24" t="s">
        <v>755</v>
      </c>
      <c r="B24">
        <v>2</v>
      </c>
      <c r="C24">
        <v>5</v>
      </c>
      <c r="D24">
        <v>10</v>
      </c>
      <c r="E24">
        <v>2025</v>
      </c>
    </row>
    <row r="25" spans="1:5">
      <c r="A25" t="s">
        <v>757</v>
      </c>
      <c r="B25">
        <v>2</v>
      </c>
      <c r="C25">
        <v>2</v>
      </c>
      <c r="D25">
        <v>10</v>
      </c>
      <c r="E25">
        <v>2025</v>
      </c>
    </row>
    <row r="26" spans="1:5">
      <c r="A26" t="s">
        <v>768</v>
      </c>
      <c r="B26">
        <v>2</v>
      </c>
      <c r="C26">
        <v>3</v>
      </c>
      <c r="D26">
        <v>10</v>
      </c>
      <c r="E26">
        <v>2025</v>
      </c>
    </row>
    <row r="27" spans="1:5">
      <c r="A27" t="s">
        <v>769</v>
      </c>
      <c r="B27">
        <v>2</v>
      </c>
      <c r="C27">
        <v>2</v>
      </c>
      <c r="D27">
        <v>10</v>
      </c>
      <c r="E27">
        <v>2025</v>
      </c>
    </row>
    <row r="28" spans="1:5">
      <c r="A28" t="s">
        <v>770</v>
      </c>
      <c r="B28">
        <v>2</v>
      </c>
      <c r="C28">
        <v>2</v>
      </c>
      <c r="D28">
        <v>10</v>
      </c>
      <c r="E28">
        <v>2025</v>
      </c>
    </row>
    <row r="29" spans="1:5">
      <c r="A29" t="s">
        <v>771</v>
      </c>
      <c r="B29">
        <v>2</v>
      </c>
      <c r="C29">
        <v>1</v>
      </c>
      <c r="D29">
        <v>10</v>
      </c>
      <c r="E29">
        <v>2025</v>
      </c>
    </row>
    <row r="30" spans="1:5">
      <c r="A30" t="s">
        <v>772</v>
      </c>
      <c r="B30">
        <v>2</v>
      </c>
      <c r="C30">
        <v>1</v>
      </c>
      <c r="D30">
        <v>10</v>
      </c>
      <c r="E30">
        <v>2025</v>
      </c>
    </row>
    <row r="31" spans="1:5">
      <c r="A31" t="s">
        <v>773</v>
      </c>
      <c r="B31">
        <v>2</v>
      </c>
      <c r="C31">
        <v>1</v>
      </c>
      <c r="D31">
        <v>10</v>
      </c>
      <c r="E31">
        <v>2025</v>
      </c>
    </row>
    <row r="32" spans="1:5">
      <c r="A32" t="s">
        <v>774</v>
      </c>
      <c r="B32">
        <v>2</v>
      </c>
      <c r="C32">
        <v>1</v>
      </c>
      <c r="D32">
        <v>10</v>
      </c>
      <c r="E32">
        <v>2025</v>
      </c>
    </row>
    <row r="33" spans="1:5">
      <c r="A33" t="s">
        <v>765</v>
      </c>
      <c r="B33">
        <v>3</v>
      </c>
      <c r="C33">
        <v>5</v>
      </c>
      <c r="D33">
        <v>10</v>
      </c>
      <c r="E33">
        <v>2025</v>
      </c>
    </row>
    <row r="34" spans="1:5">
      <c r="A34" t="s">
        <v>767</v>
      </c>
      <c r="B34">
        <v>3</v>
      </c>
      <c r="C34">
        <v>6</v>
      </c>
      <c r="D34">
        <v>10</v>
      </c>
      <c r="E34">
        <v>2025</v>
      </c>
    </row>
    <row r="35" spans="1:5">
      <c r="A35" t="s">
        <v>775</v>
      </c>
      <c r="B35">
        <v>3</v>
      </c>
      <c r="C35">
        <v>3</v>
      </c>
      <c r="D35">
        <v>10</v>
      </c>
      <c r="E35">
        <v>2025</v>
      </c>
    </row>
    <row r="36" spans="1:5">
      <c r="A36" t="s">
        <v>776</v>
      </c>
      <c r="B36">
        <v>3</v>
      </c>
      <c r="C36">
        <v>4</v>
      </c>
      <c r="D36">
        <v>10</v>
      </c>
      <c r="E36">
        <v>2025</v>
      </c>
    </row>
    <row r="37" spans="1:5">
      <c r="A37" t="s">
        <v>777</v>
      </c>
      <c r="B37">
        <v>3</v>
      </c>
      <c r="C37">
        <v>3</v>
      </c>
      <c r="D37">
        <v>10</v>
      </c>
      <c r="E37">
        <v>2025</v>
      </c>
    </row>
    <row r="38" spans="1:5">
      <c r="A38" t="s">
        <v>778</v>
      </c>
      <c r="B38">
        <v>4</v>
      </c>
      <c r="C38">
        <v>10</v>
      </c>
      <c r="D38">
        <v>10</v>
      </c>
      <c r="E38">
        <v>2025</v>
      </c>
    </row>
    <row r="39" spans="1:5">
      <c r="A39" t="s">
        <v>779</v>
      </c>
      <c r="B39">
        <v>4</v>
      </c>
      <c r="C39">
        <v>4</v>
      </c>
      <c r="D39">
        <v>10</v>
      </c>
      <c r="E39">
        <v>2025</v>
      </c>
    </row>
    <row r="40" spans="1:5">
      <c r="A40" t="s">
        <v>780</v>
      </c>
      <c r="B40">
        <v>4</v>
      </c>
      <c r="C40">
        <v>5</v>
      </c>
      <c r="D40">
        <v>10</v>
      </c>
      <c r="E40">
        <v>2025</v>
      </c>
    </row>
    <row r="41" spans="1:5">
      <c r="A41" t="s">
        <v>781</v>
      </c>
      <c r="B41">
        <v>4</v>
      </c>
      <c r="C41">
        <v>2</v>
      </c>
      <c r="D41">
        <v>10</v>
      </c>
      <c r="E41">
        <v>2025</v>
      </c>
    </row>
    <row r="42" spans="1:5">
      <c r="A42" t="s">
        <v>782</v>
      </c>
      <c r="B42">
        <v>4</v>
      </c>
      <c r="C42">
        <v>10</v>
      </c>
      <c r="D42">
        <v>10</v>
      </c>
      <c r="E42">
        <v>2025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A979-6B86-4CF0-81CD-57606A463FAD}">
  <dimension ref="A1:L8"/>
  <sheetViews>
    <sheetView topLeftCell="D1" zoomScale="55" zoomScaleNormal="55" workbookViewId="0">
      <selection activeCell="J13" sqref="J13"/>
    </sheetView>
  </sheetViews>
  <sheetFormatPr defaultRowHeight="14.5"/>
  <cols>
    <col min="1" max="1" width="8.7265625" style="2"/>
    <col min="3" max="4" width="11.453125" customWidth="1"/>
    <col min="5" max="5" width="24.81640625" bestFit="1" customWidth="1"/>
    <col min="6" max="6" width="24.81640625" style="12" customWidth="1"/>
    <col min="7" max="7" width="52.81640625" style="12" customWidth="1"/>
    <col min="8" max="8" width="30.81640625" customWidth="1"/>
    <col min="9" max="9" width="52.81640625" style="12" customWidth="1"/>
    <col min="10" max="10" width="53.26953125" style="12" customWidth="1"/>
    <col min="11" max="11" width="11.81640625" bestFit="1" customWidth="1"/>
  </cols>
  <sheetData>
    <row r="1" spans="1:12" ht="29">
      <c r="E1" s="5" t="s">
        <v>783</v>
      </c>
      <c r="F1" s="13" t="s">
        <v>784</v>
      </c>
      <c r="G1" s="13" t="s">
        <v>785</v>
      </c>
      <c r="H1" s="13" t="s">
        <v>786</v>
      </c>
      <c r="I1" s="13" t="s">
        <v>787</v>
      </c>
      <c r="J1" s="13" t="s">
        <v>788</v>
      </c>
    </row>
    <row r="2" spans="1:12" ht="29">
      <c r="E2" s="3" t="s">
        <v>789</v>
      </c>
      <c r="F2" s="4" t="s">
        <v>790</v>
      </c>
      <c r="G2" s="4" t="s">
        <v>790</v>
      </c>
      <c r="H2" s="4" t="s">
        <v>791</v>
      </c>
      <c r="I2" s="4" t="s">
        <v>792</v>
      </c>
      <c r="J2" s="4" t="s">
        <v>793</v>
      </c>
    </row>
    <row r="3" spans="1:12">
      <c r="E3" s="6" t="s">
        <v>794</v>
      </c>
      <c r="F3" s="14">
        <v>0.3</v>
      </c>
      <c r="G3" s="14">
        <v>0.3</v>
      </c>
      <c r="H3" s="14">
        <v>0.1</v>
      </c>
      <c r="I3" s="14">
        <v>0.2</v>
      </c>
      <c r="J3" s="14">
        <v>0.1</v>
      </c>
      <c r="K3" s="7"/>
      <c r="L3" s="7"/>
    </row>
    <row r="4" spans="1:12" ht="29">
      <c r="A4" s="8" t="s">
        <v>705</v>
      </c>
      <c r="B4" s="9" t="s">
        <v>706</v>
      </c>
      <c r="C4" s="9" t="s">
        <v>707</v>
      </c>
      <c r="D4" s="9" t="s">
        <v>747</v>
      </c>
      <c r="E4" s="9" t="s">
        <v>795</v>
      </c>
      <c r="F4" s="10" t="s">
        <v>796</v>
      </c>
      <c r="G4" s="10" t="s">
        <v>797</v>
      </c>
      <c r="H4" s="11" t="s">
        <v>798</v>
      </c>
      <c r="I4" s="10" t="s">
        <v>799</v>
      </c>
      <c r="J4" s="10" t="s">
        <v>800</v>
      </c>
      <c r="K4" s="10" t="s">
        <v>801</v>
      </c>
      <c r="L4" s="10" t="s">
        <v>802</v>
      </c>
    </row>
    <row r="5" spans="1:12">
      <c r="A5" s="15">
        <v>2025</v>
      </c>
      <c r="B5" s="16" t="s">
        <v>803</v>
      </c>
      <c r="C5" s="16" t="s">
        <v>713</v>
      </c>
      <c r="D5" s="16">
        <v>1</v>
      </c>
      <c r="E5" s="16" t="s">
        <v>70</v>
      </c>
      <c r="F5" s="17" t="s">
        <v>804</v>
      </c>
      <c r="G5" s="17" t="s">
        <v>804</v>
      </c>
      <c r="H5" s="17" t="s">
        <v>804</v>
      </c>
      <c r="I5" s="17" t="s">
        <v>804</v>
      </c>
      <c r="J5" s="17" t="s">
        <v>804</v>
      </c>
      <c r="K5" s="16">
        <f>COUNTIF(F5:J5, "Yes")</f>
        <v>5</v>
      </c>
      <c r="L5" s="28">
        <f>SUMIF(F5:J5,"Yes",$F$3:$J$3)</f>
        <v>0.99999999999999989</v>
      </c>
    </row>
    <row r="6" spans="1:12">
      <c r="A6" s="15">
        <v>2025</v>
      </c>
      <c r="B6" s="16" t="s">
        <v>803</v>
      </c>
      <c r="C6" s="16" t="s">
        <v>713</v>
      </c>
      <c r="D6" s="16">
        <v>2</v>
      </c>
      <c r="E6" s="16" t="s">
        <v>57</v>
      </c>
      <c r="F6" s="17" t="s">
        <v>805</v>
      </c>
      <c r="G6" s="17" t="s">
        <v>804</v>
      </c>
      <c r="H6" s="17" t="s">
        <v>805</v>
      </c>
      <c r="I6" s="17" t="s">
        <v>804</v>
      </c>
      <c r="J6" s="17" t="s">
        <v>804</v>
      </c>
      <c r="K6" s="16">
        <f t="shared" ref="K6" si="0">COUNTIF(F6:J6, "Yes")</f>
        <v>3</v>
      </c>
      <c r="L6" s="28">
        <f t="shared" ref="L6:L8" si="1">SUMIF(F6:J6,"Yes",$F$3:$J$3)</f>
        <v>0.6</v>
      </c>
    </row>
    <row r="7" spans="1:12">
      <c r="A7" s="15">
        <v>2025</v>
      </c>
      <c r="B7" s="16" t="s">
        <v>803</v>
      </c>
      <c r="C7" s="16" t="s">
        <v>713</v>
      </c>
      <c r="D7" s="16">
        <v>3</v>
      </c>
      <c r="E7" s="16" t="s">
        <v>49</v>
      </c>
      <c r="F7" s="17"/>
      <c r="G7" s="17"/>
      <c r="H7" s="17"/>
      <c r="I7" s="17"/>
      <c r="J7" s="17"/>
      <c r="K7" s="16"/>
      <c r="L7" s="28"/>
    </row>
    <row r="8" spans="1:12">
      <c r="A8" s="15">
        <v>2025</v>
      </c>
      <c r="B8" s="16" t="s">
        <v>803</v>
      </c>
      <c r="C8" s="16" t="s">
        <v>713</v>
      </c>
      <c r="D8" s="16">
        <v>4</v>
      </c>
      <c r="E8" s="16" t="s">
        <v>103</v>
      </c>
      <c r="F8" s="17" t="s">
        <v>804</v>
      </c>
      <c r="G8" s="17" t="s">
        <v>804</v>
      </c>
      <c r="H8" s="17" t="s">
        <v>804</v>
      </c>
      <c r="I8" s="17" t="s">
        <v>804</v>
      </c>
      <c r="J8" s="17" t="s">
        <v>804</v>
      </c>
      <c r="K8" s="16">
        <f>COUNTIF(F8:J8, "Yes")</f>
        <v>5</v>
      </c>
      <c r="L8" s="28">
        <f t="shared" si="1"/>
        <v>0.99999999999999989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2EC4-7BF1-424D-9C05-71CEAE249017}">
  <dimension ref="A1:G8"/>
  <sheetViews>
    <sheetView workbookViewId="0">
      <selection activeCell="E11" sqref="E11"/>
    </sheetView>
  </sheetViews>
  <sheetFormatPr defaultRowHeight="14.5"/>
  <cols>
    <col min="1" max="1" width="16.81640625" customWidth="1"/>
    <col min="2" max="2" width="13.1796875" bestFit="1" customWidth="1"/>
    <col min="3" max="3" width="10.54296875" bestFit="1" customWidth="1"/>
    <col min="4" max="4" width="13.1796875" bestFit="1" customWidth="1"/>
    <col min="5" max="5" width="13.54296875" customWidth="1"/>
    <col min="6" max="6" width="14.54296875" bestFit="1" customWidth="1"/>
    <col min="7" max="7" width="17.26953125" customWidth="1"/>
    <col min="8" max="8" width="20.26953125" customWidth="1"/>
    <col min="9" max="9" width="31.81640625" customWidth="1"/>
  </cols>
  <sheetData>
    <row r="1" spans="1:7">
      <c r="A1" t="s">
        <v>806</v>
      </c>
      <c r="B1" t="s">
        <v>807</v>
      </c>
      <c r="C1" t="s">
        <v>808</v>
      </c>
      <c r="D1" t="s">
        <v>809</v>
      </c>
      <c r="E1" t="s">
        <v>810</v>
      </c>
      <c r="F1" t="s">
        <v>811</v>
      </c>
      <c r="G1" t="s">
        <v>812</v>
      </c>
    </row>
    <row r="2" spans="1:7">
      <c r="A2" t="s">
        <v>70</v>
      </c>
      <c r="B2">
        <f>COUNTIF('Program Deep Dive'!B:B,'Program Data'!A2)</f>
        <v>14</v>
      </c>
      <c r="C2" s="23">
        <f>D2/B2</f>
        <v>7.1428571428571425E-2</v>
      </c>
      <c r="D2">
        <f>COUNTIFS('Program Deep Dive'!B:B,'Program Data'!A2,'Program Deep Dive'!G:G,"Late")</f>
        <v>1</v>
      </c>
      <c r="E2">
        <f>B2-D2</f>
        <v>13</v>
      </c>
      <c r="F2">
        <f>SUMIF('Program Deep Dive'!B:B, 'Program Data'!A2,'Program Deep Dive'!H:H)</f>
        <v>49</v>
      </c>
      <c r="G2" t="s">
        <v>813</v>
      </c>
    </row>
    <row r="3" spans="1:7">
      <c r="A3" t="s">
        <v>57</v>
      </c>
      <c r="B3">
        <f>COUNTIF('Program Deep Dive'!B:B,'Program Data'!A3)</f>
        <v>18</v>
      </c>
      <c r="C3" s="23">
        <f t="shared" ref="C3:C8" si="0">D3/B3</f>
        <v>5.5555555555555552E-2</v>
      </c>
      <c r="D3">
        <f>COUNTIFS('Program Deep Dive'!B:B,'Program Data'!A3,'Program Deep Dive'!G:G,"Late")</f>
        <v>1</v>
      </c>
      <c r="E3">
        <f t="shared" ref="E3:E8" si="1">B3-D3</f>
        <v>17</v>
      </c>
      <c r="F3">
        <f>SUMIF('Program Deep Dive'!B:B, 'Program Data'!A3,'Program Deep Dive'!H:H)</f>
        <v>61</v>
      </c>
      <c r="G3" t="s">
        <v>814</v>
      </c>
    </row>
    <row r="4" spans="1:7">
      <c r="A4" t="s">
        <v>49</v>
      </c>
      <c r="B4">
        <f>COUNTIF('Program Deep Dive'!B:B,'Program Data'!A4)</f>
        <v>18</v>
      </c>
      <c r="C4" s="23">
        <f t="shared" si="0"/>
        <v>0.22222222222222221</v>
      </c>
      <c r="D4">
        <f>COUNTIFS('Program Deep Dive'!B:B,'Program Data'!A4,'Program Deep Dive'!G:G,"Late")</f>
        <v>4</v>
      </c>
      <c r="E4">
        <f t="shared" si="1"/>
        <v>14</v>
      </c>
      <c r="F4">
        <f>SUMIF('Program Deep Dive'!B:B, 'Program Data'!A4,'Program Deep Dive'!H:H)</f>
        <v>64</v>
      </c>
      <c r="G4" t="s">
        <v>815</v>
      </c>
    </row>
    <row r="5" spans="1:7">
      <c r="A5" t="s">
        <v>103</v>
      </c>
      <c r="B5">
        <f>COUNTIF('Program Deep Dive'!B:B,'Program Data'!A5)</f>
        <v>16</v>
      </c>
      <c r="C5" s="23">
        <f t="shared" si="0"/>
        <v>0.1875</v>
      </c>
      <c r="D5">
        <f>COUNTIFS('Program Deep Dive'!B:B,'Program Data'!A5,'Program Deep Dive'!G:G,"Late")</f>
        <v>3</v>
      </c>
      <c r="E5">
        <f t="shared" si="1"/>
        <v>13</v>
      </c>
      <c r="F5">
        <f>SUMIF('Program Deep Dive'!B:B, 'Program Data'!A5,'Program Deep Dive'!H:H)</f>
        <v>55</v>
      </c>
      <c r="G5" t="s">
        <v>816</v>
      </c>
    </row>
    <row r="6" spans="1:7">
      <c r="A6" t="s">
        <v>817</v>
      </c>
      <c r="B6">
        <f>COUNTIF('Program Deep Dive'!B:B,'Program Data'!A6)</f>
        <v>80</v>
      </c>
      <c r="C6" s="23">
        <f t="shared" si="0"/>
        <v>0.16250000000000001</v>
      </c>
      <c r="D6">
        <f>COUNTIFS('Program Deep Dive'!B:B,'Program Data'!A6,'Program Deep Dive'!G:G,"Late")</f>
        <v>13</v>
      </c>
      <c r="E6">
        <f t="shared" si="1"/>
        <v>67</v>
      </c>
      <c r="F6">
        <f>SUMIF('Program Deep Dive'!B:B, 'Program Data'!A6,'Program Deep Dive'!H:H)</f>
        <v>273</v>
      </c>
      <c r="G6" t="s">
        <v>818</v>
      </c>
    </row>
    <row r="7" spans="1:7">
      <c r="A7" t="s">
        <v>819</v>
      </c>
      <c r="B7">
        <f>COUNTIF('Program Deep Dive'!B:B,'Program Data'!A7)</f>
        <v>45</v>
      </c>
      <c r="C7" s="23">
        <f t="shared" si="0"/>
        <v>2.2222222222222223E-2</v>
      </c>
      <c r="D7">
        <f>COUNTIFS('Program Deep Dive'!B:B,'Program Data'!A7,'Program Deep Dive'!G:G,"Late")</f>
        <v>1</v>
      </c>
      <c r="E7">
        <f t="shared" si="1"/>
        <v>44</v>
      </c>
      <c r="F7">
        <f>SUMIF('Program Deep Dive'!B:B, 'Program Data'!A7,'Program Deep Dive'!H:H)</f>
        <v>160</v>
      </c>
      <c r="G7" t="s">
        <v>820</v>
      </c>
    </row>
    <row r="8" spans="1:7">
      <c r="A8" t="s">
        <v>821</v>
      </c>
      <c r="B8">
        <f>COUNTIF('Program Deep Dive'!B:B,'Program Data'!A8)</f>
        <v>120</v>
      </c>
      <c r="C8" s="23">
        <f t="shared" si="0"/>
        <v>5.8333333333333334E-2</v>
      </c>
      <c r="D8">
        <f>COUNTIFS('Program Deep Dive'!B:B,'Program Data'!A8,'Program Deep Dive'!G:G,"Late")</f>
        <v>7</v>
      </c>
      <c r="E8">
        <f t="shared" si="1"/>
        <v>113</v>
      </c>
      <c r="F8">
        <f>SUMIF('Program Deep Dive'!B:B, 'Program Data'!A8,'Program Deep Dive'!H:H)</f>
        <v>426</v>
      </c>
      <c r="G8" t="s">
        <v>822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CD0A-1B89-4FE7-84FA-0F11780F8FE1}">
  <dimension ref="A1:K312"/>
  <sheetViews>
    <sheetView workbookViewId="0">
      <selection activeCell="D12" sqref="D12"/>
    </sheetView>
  </sheetViews>
  <sheetFormatPr defaultRowHeight="14.5"/>
  <cols>
    <col min="1" max="1" width="7.54296875" bestFit="1" customWidth="1"/>
    <col min="2" max="2" width="12.7265625" bestFit="1" customWidth="1"/>
    <col min="3" max="3" width="10.26953125" bestFit="1" customWidth="1"/>
    <col min="4" max="4" width="17.1796875" bestFit="1" customWidth="1"/>
    <col min="5" max="5" width="13.81640625" bestFit="1" customWidth="1"/>
    <col min="6" max="6" width="8.81640625" customWidth="1"/>
    <col min="7" max="7" width="9.81640625" customWidth="1"/>
    <col min="8" max="8" width="11.1796875" customWidth="1"/>
    <col min="9" max="9" width="10.1796875" style="1" bestFit="1" customWidth="1"/>
    <col min="10" max="10" width="10.1796875" bestFit="1" customWidth="1"/>
    <col min="11" max="11" width="10.1796875" style="1" bestFit="1" customWidth="1"/>
  </cols>
  <sheetData>
    <row r="1" spans="1:11">
      <c r="A1" t="s">
        <v>823</v>
      </c>
      <c r="B1" t="s">
        <v>806</v>
      </c>
      <c r="C1" t="s">
        <v>30</v>
      </c>
      <c r="D1" t="s">
        <v>824</v>
      </c>
      <c r="E1" t="s">
        <v>825</v>
      </c>
      <c r="F1" t="s">
        <v>826</v>
      </c>
      <c r="G1" t="s">
        <v>827</v>
      </c>
      <c r="H1" t="s">
        <v>828</v>
      </c>
      <c r="I1" s="1" t="s">
        <v>829</v>
      </c>
      <c r="J1" t="s">
        <v>830</v>
      </c>
      <c r="K1" s="1" t="s">
        <v>831</v>
      </c>
    </row>
    <row r="2" spans="1:11">
      <c r="A2" t="s">
        <v>832</v>
      </c>
      <c r="B2" t="s">
        <v>70</v>
      </c>
      <c r="C2" t="s">
        <v>833</v>
      </c>
      <c r="D2" t="s">
        <v>834</v>
      </c>
      <c r="E2" t="s">
        <v>835</v>
      </c>
      <c r="G2" t="s">
        <v>836</v>
      </c>
      <c r="H2">
        <v>3</v>
      </c>
      <c r="I2" s="1">
        <v>45932.721415942971</v>
      </c>
      <c r="J2" s="1">
        <v>45985.45073620123</v>
      </c>
      <c r="K2" s="1" t="s">
        <v>837</v>
      </c>
    </row>
    <row r="3" spans="1:11">
      <c r="A3" t="s">
        <v>838</v>
      </c>
      <c r="B3" t="s">
        <v>70</v>
      </c>
      <c r="C3" t="s">
        <v>833</v>
      </c>
      <c r="D3" t="s">
        <v>839</v>
      </c>
      <c r="E3" t="s">
        <v>840</v>
      </c>
      <c r="G3" t="s">
        <v>836</v>
      </c>
      <c r="H3">
        <v>4</v>
      </c>
      <c r="I3" s="1">
        <v>45851.378510335766</v>
      </c>
      <c r="J3" s="1">
        <v>45881.157899286998</v>
      </c>
      <c r="K3" s="1">
        <v>45877.395099136731</v>
      </c>
    </row>
    <row r="4" spans="1:11">
      <c r="A4" t="s">
        <v>841</v>
      </c>
      <c r="B4" t="s">
        <v>70</v>
      </c>
      <c r="C4" t="s">
        <v>833</v>
      </c>
      <c r="D4" t="s">
        <v>842</v>
      </c>
      <c r="E4" t="s">
        <v>843</v>
      </c>
      <c r="G4" t="s">
        <v>844</v>
      </c>
      <c r="H4">
        <v>4</v>
      </c>
      <c r="I4" s="1">
        <v>45844.085403543249</v>
      </c>
      <c r="J4" s="1">
        <v>45864.933123767783</v>
      </c>
      <c r="K4" s="1">
        <v>45868.342340400617</v>
      </c>
    </row>
    <row r="5" spans="1:11">
      <c r="A5" t="s">
        <v>845</v>
      </c>
      <c r="B5" t="s">
        <v>70</v>
      </c>
      <c r="C5" t="s">
        <v>833</v>
      </c>
      <c r="D5" t="s">
        <v>846</v>
      </c>
      <c r="E5" t="s">
        <v>847</v>
      </c>
      <c r="G5" t="s">
        <v>836</v>
      </c>
      <c r="H5">
        <v>4</v>
      </c>
      <c r="I5" s="1">
        <v>45958.501568336484</v>
      </c>
      <c r="J5" s="1">
        <v>45983.938914719496</v>
      </c>
      <c r="K5" s="1" t="s">
        <v>837</v>
      </c>
    </row>
    <row r="6" spans="1:11">
      <c r="A6" t="s">
        <v>848</v>
      </c>
      <c r="B6" t="s">
        <v>70</v>
      </c>
      <c r="C6" t="s">
        <v>833</v>
      </c>
      <c r="D6" t="s">
        <v>849</v>
      </c>
      <c r="E6" t="s">
        <v>843</v>
      </c>
      <c r="G6" t="s">
        <v>836</v>
      </c>
      <c r="H6">
        <v>4</v>
      </c>
      <c r="I6" s="1">
        <v>45912.102264279209</v>
      </c>
      <c r="J6" s="1">
        <v>45934.908480037695</v>
      </c>
      <c r="K6" s="1">
        <v>45937.120966074304</v>
      </c>
    </row>
    <row r="7" spans="1:11">
      <c r="A7" t="s">
        <v>850</v>
      </c>
      <c r="B7" t="s">
        <v>70</v>
      </c>
      <c r="C7" t="s">
        <v>833</v>
      </c>
      <c r="D7" t="s">
        <v>851</v>
      </c>
      <c r="E7" t="s">
        <v>847</v>
      </c>
      <c r="G7" t="s">
        <v>836</v>
      </c>
      <c r="H7">
        <v>4</v>
      </c>
      <c r="I7" s="1">
        <v>45959.485539596535</v>
      </c>
      <c r="J7" s="1">
        <v>45988.972304978677</v>
      </c>
      <c r="K7" s="1" t="s">
        <v>837</v>
      </c>
    </row>
    <row r="8" spans="1:11">
      <c r="A8" t="s">
        <v>852</v>
      </c>
      <c r="B8" t="s">
        <v>70</v>
      </c>
      <c r="C8" t="s">
        <v>853</v>
      </c>
      <c r="D8" t="s">
        <v>854</v>
      </c>
      <c r="E8" t="s">
        <v>843</v>
      </c>
      <c r="G8" t="s">
        <v>836</v>
      </c>
      <c r="H8">
        <v>4</v>
      </c>
      <c r="I8" s="1">
        <v>45964.530658985626</v>
      </c>
      <c r="J8" s="1">
        <v>45992.175718494778</v>
      </c>
      <c r="K8" s="1" t="s">
        <v>837</v>
      </c>
    </row>
    <row r="9" spans="1:11">
      <c r="A9" t="s">
        <v>855</v>
      </c>
      <c r="B9" t="s">
        <v>70</v>
      </c>
      <c r="C9" t="s">
        <v>853</v>
      </c>
      <c r="D9" t="s">
        <v>856</v>
      </c>
      <c r="E9" t="s">
        <v>835</v>
      </c>
      <c r="G9" t="s">
        <v>836</v>
      </c>
      <c r="H9">
        <v>2</v>
      </c>
      <c r="I9" s="1">
        <v>45961.565780627454</v>
      </c>
      <c r="J9" s="1">
        <v>45987.979347096087</v>
      </c>
      <c r="K9" s="1" t="s">
        <v>837</v>
      </c>
    </row>
    <row r="10" spans="1:11">
      <c r="A10" t="s">
        <v>857</v>
      </c>
      <c r="B10" t="s">
        <v>70</v>
      </c>
      <c r="C10" t="s">
        <v>853</v>
      </c>
      <c r="D10" t="s">
        <v>858</v>
      </c>
      <c r="E10" t="s">
        <v>843</v>
      </c>
      <c r="G10" t="s">
        <v>836</v>
      </c>
      <c r="H10">
        <v>4</v>
      </c>
      <c r="I10" s="1">
        <v>45849.262567366852</v>
      </c>
      <c r="J10" s="1">
        <v>45875.978838978539</v>
      </c>
      <c r="K10" s="1">
        <v>45877.757612721478</v>
      </c>
    </row>
    <row r="11" spans="1:11">
      <c r="A11" t="s">
        <v>859</v>
      </c>
      <c r="B11" t="s">
        <v>70</v>
      </c>
      <c r="C11" t="s">
        <v>853</v>
      </c>
      <c r="D11" t="s">
        <v>860</v>
      </c>
      <c r="E11" t="s">
        <v>835</v>
      </c>
      <c r="G11" t="s">
        <v>836</v>
      </c>
      <c r="H11">
        <v>4</v>
      </c>
      <c r="I11" s="1">
        <v>45891.757126685996</v>
      </c>
      <c r="J11" s="1">
        <v>45917.842908995706</v>
      </c>
      <c r="K11" s="1">
        <v>45919.028350896857</v>
      </c>
    </row>
    <row r="12" spans="1:11">
      <c r="A12" t="s">
        <v>861</v>
      </c>
      <c r="B12" t="s">
        <v>70</v>
      </c>
      <c r="C12" t="s">
        <v>862</v>
      </c>
      <c r="D12" t="s">
        <v>863</v>
      </c>
      <c r="E12" t="s">
        <v>843</v>
      </c>
      <c r="G12" t="s">
        <v>836</v>
      </c>
      <c r="H12">
        <v>3</v>
      </c>
      <c r="I12" s="1">
        <v>45857.017528923745</v>
      </c>
      <c r="J12" s="1">
        <v>45873.05622662852</v>
      </c>
      <c r="K12" s="1">
        <v>45865.480269675762</v>
      </c>
    </row>
    <row r="13" spans="1:11">
      <c r="A13" t="s">
        <v>864</v>
      </c>
      <c r="B13" t="s">
        <v>70</v>
      </c>
      <c r="C13" t="s">
        <v>862</v>
      </c>
      <c r="D13" t="s">
        <v>865</v>
      </c>
      <c r="E13" t="s">
        <v>866</v>
      </c>
      <c r="G13" t="s">
        <v>836</v>
      </c>
      <c r="H13">
        <v>4</v>
      </c>
      <c r="I13" s="1">
        <v>45852.594835198477</v>
      </c>
      <c r="J13" s="1">
        <v>45880.76472501854</v>
      </c>
      <c r="K13" s="1">
        <v>45886.106054142387</v>
      </c>
    </row>
    <row r="14" spans="1:11">
      <c r="A14" t="s">
        <v>867</v>
      </c>
      <c r="B14" t="s">
        <v>70</v>
      </c>
      <c r="C14" t="s">
        <v>862</v>
      </c>
      <c r="D14" t="s">
        <v>868</v>
      </c>
      <c r="E14" t="s">
        <v>847</v>
      </c>
      <c r="G14" t="s">
        <v>836</v>
      </c>
      <c r="H14">
        <v>1</v>
      </c>
      <c r="I14" s="1">
        <v>45899.716501445044</v>
      </c>
      <c r="J14" s="1">
        <v>45919.053926919805</v>
      </c>
      <c r="K14" s="1">
        <v>45912.959091563258</v>
      </c>
    </row>
    <row r="15" spans="1:11">
      <c r="A15" t="s">
        <v>869</v>
      </c>
      <c r="B15" t="s">
        <v>70</v>
      </c>
      <c r="C15" t="s">
        <v>862</v>
      </c>
      <c r="D15" t="s">
        <v>870</v>
      </c>
      <c r="E15" t="s">
        <v>835</v>
      </c>
      <c r="G15" t="s">
        <v>836</v>
      </c>
      <c r="H15">
        <v>4</v>
      </c>
      <c r="I15" s="1">
        <v>45885.417976843179</v>
      </c>
      <c r="J15" s="1">
        <v>45914.912256125368</v>
      </c>
      <c r="K15" s="1">
        <v>45917.539383190757</v>
      </c>
    </row>
    <row r="16" spans="1:11">
      <c r="A16" t="s">
        <v>871</v>
      </c>
      <c r="B16" t="s">
        <v>57</v>
      </c>
      <c r="C16" t="s">
        <v>833</v>
      </c>
      <c r="D16" t="s">
        <v>834</v>
      </c>
      <c r="E16" t="s">
        <v>840</v>
      </c>
      <c r="G16" t="s">
        <v>836</v>
      </c>
      <c r="H16">
        <v>4</v>
      </c>
      <c r="I16" s="1">
        <v>45909.238926321006</v>
      </c>
      <c r="J16" s="1">
        <v>45927.22077256826</v>
      </c>
      <c r="K16" s="1">
        <v>45933.997902866322</v>
      </c>
    </row>
    <row r="17" spans="1:11">
      <c r="A17" t="s">
        <v>872</v>
      </c>
      <c r="B17" t="s">
        <v>57</v>
      </c>
      <c r="C17" t="s">
        <v>833</v>
      </c>
      <c r="D17" t="s">
        <v>842</v>
      </c>
      <c r="E17" t="s">
        <v>866</v>
      </c>
      <c r="G17" t="s">
        <v>836</v>
      </c>
      <c r="H17">
        <v>3</v>
      </c>
      <c r="I17" s="1">
        <v>45994.132546640438</v>
      </c>
      <c r="J17" s="1">
        <v>46020.423430466479</v>
      </c>
      <c r="K17" s="1" t="s">
        <v>837</v>
      </c>
    </row>
    <row r="18" spans="1:11">
      <c r="A18" t="s">
        <v>873</v>
      </c>
      <c r="B18" t="s">
        <v>57</v>
      </c>
      <c r="C18" t="s">
        <v>853</v>
      </c>
      <c r="D18" t="s">
        <v>874</v>
      </c>
      <c r="E18" t="s">
        <v>847</v>
      </c>
      <c r="G18" t="s">
        <v>836</v>
      </c>
      <c r="H18">
        <v>4</v>
      </c>
      <c r="I18" s="1">
        <v>45987.640448123799</v>
      </c>
      <c r="J18" s="1">
        <v>46016.157450544888</v>
      </c>
      <c r="K18" s="1" t="s">
        <v>837</v>
      </c>
    </row>
    <row r="19" spans="1:11">
      <c r="A19" t="s">
        <v>875</v>
      </c>
      <c r="B19" t="s">
        <v>57</v>
      </c>
      <c r="C19" t="s">
        <v>853</v>
      </c>
      <c r="D19" t="s">
        <v>856</v>
      </c>
      <c r="E19" t="s">
        <v>847</v>
      </c>
      <c r="G19" t="s">
        <v>836</v>
      </c>
      <c r="H19">
        <v>4</v>
      </c>
      <c r="I19" s="1">
        <v>45886.944892121202</v>
      </c>
      <c r="J19" s="1">
        <v>45915.441483011273</v>
      </c>
      <c r="K19" s="1">
        <v>45924.303820095884</v>
      </c>
    </row>
    <row r="20" spans="1:11">
      <c r="A20" t="s">
        <v>876</v>
      </c>
      <c r="B20" t="s">
        <v>57</v>
      </c>
      <c r="C20" t="s">
        <v>853</v>
      </c>
      <c r="D20" t="s">
        <v>877</v>
      </c>
      <c r="E20" t="s">
        <v>847</v>
      </c>
      <c r="G20" t="s">
        <v>836</v>
      </c>
      <c r="H20">
        <v>4</v>
      </c>
      <c r="I20" s="1">
        <v>45952.318492972874</v>
      </c>
      <c r="J20" s="1">
        <v>45970.004858220724</v>
      </c>
      <c r="K20" s="1" t="s">
        <v>837</v>
      </c>
    </row>
    <row r="21" spans="1:11">
      <c r="A21" t="s">
        <v>878</v>
      </c>
      <c r="B21" t="s">
        <v>57</v>
      </c>
      <c r="C21" t="s">
        <v>853</v>
      </c>
      <c r="D21" t="s">
        <v>879</v>
      </c>
      <c r="E21" t="s">
        <v>866</v>
      </c>
      <c r="G21" t="s">
        <v>836</v>
      </c>
      <c r="H21">
        <v>4</v>
      </c>
      <c r="I21" s="1">
        <v>45968.606314149234</v>
      </c>
      <c r="J21" s="1">
        <v>45998.518321408337</v>
      </c>
      <c r="K21" s="1" t="s">
        <v>837</v>
      </c>
    </row>
    <row r="22" spans="1:11">
      <c r="A22" t="s">
        <v>880</v>
      </c>
      <c r="B22" t="s">
        <v>57</v>
      </c>
      <c r="C22" t="s">
        <v>853</v>
      </c>
      <c r="D22" t="s">
        <v>881</v>
      </c>
      <c r="E22" t="s">
        <v>835</v>
      </c>
      <c r="G22" t="s">
        <v>836</v>
      </c>
      <c r="H22">
        <v>2</v>
      </c>
      <c r="I22" s="1">
        <v>45876.72923605988</v>
      </c>
      <c r="J22" s="1">
        <v>45903.673040513735</v>
      </c>
      <c r="K22" s="1">
        <v>45899.404206622974</v>
      </c>
    </row>
    <row r="23" spans="1:11">
      <c r="A23" t="s">
        <v>882</v>
      </c>
      <c r="B23" t="s">
        <v>57</v>
      </c>
      <c r="C23" t="s">
        <v>853</v>
      </c>
      <c r="D23" t="s">
        <v>883</v>
      </c>
      <c r="E23" t="s">
        <v>866</v>
      </c>
      <c r="G23" t="s">
        <v>836</v>
      </c>
      <c r="H23">
        <v>4</v>
      </c>
      <c r="I23" s="1">
        <v>45887.451178306292</v>
      </c>
      <c r="J23" s="1">
        <v>45909.165844891359</v>
      </c>
      <c r="K23" s="1">
        <v>45919.044015259853</v>
      </c>
    </row>
    <row r="24" spans="1:11">
      <c r="A24" t="s">
        <v>884</v>
      </c>
      <c r="B24" t="s">
        <v>57</v>
      </c>
      <c r="C24" t="s">
        <v>853</v>
      </c>
      <c r="D24" t="s">
        <v>885</v>
      </c>
      <c r="E24" t="s">
        <v>847</v>
      </c>
      <c r="G24" t="s">
        <v>836</v>
      </c>
      <c r="H24">
        <v>4</v>
      </c>
      <c r="I24" s="1">
        <v>45983.706606576423</v>
      </c>
      <c r="J24" s="1">
        <v>46012.394523463161</v>
      </c>
      <c r="K24" s="1" t="s">
        <v>837</v>
      </c>
    </row>
    <row r="25" spans="1:11">
      <c r="A25" t="s">
        <v>886</v>
      </c>
      <c r="B25" t="s">
        <v>57</v>
      </c>
      <c r="C25" t="s">
        <v>853</v>
      </c>
      <c r="D25" t="s">
        <v>887</v>
      </c>
      <c r="E25" t="s">
        <v>866</v>
      </c>
      <c r="G25" t="s">
        <v>844</v>
      </c>
      <c r="H25">
        <v>1</v>
      </c>
      <c r="I25" s="1">
        <v>45963.491817219685</v>
      </c>
      <c r="J25" s="1">
        <v>45989.092182719709</v>
      </c>
      <c r="K25" s="1" t="s">
        <v>837</v>
      </c>
    </row>
    <row r="26" spans="1:11">
      <c r="A26" t="s">
        <v>888</v>
      </c>
      <c r="B26" t="s">
        <v>57</v>
      </c>
      <c r="C26" t="s">
        <v>853</v>
      </c>
      <c r="D26" t="s">
        <v>889</v>
      </c>
      <c r="E26" t="s">
        <v>835</v>
      </c>
      <c r="G26" t="s">
        <v>836</v>
      </c>
      <c r="H26">
        <v>3</v>
      </c>
      <c r="I26" s="1">
        <v>45884.568155754256</v>
      </c>
      <c r="J26" s="1">
        <v>45901.436330407392</v>
      </c>
      <c r="K26" s="1">
        <v>45893.308336985712</v>
      </c>
    </row>
    <row r="27" spans="1:11">
      <c r="A27" t="s">
        <v>890</v>
      </c>
      <c r="B27" t="s">
        <v>57</v>
      </c>
      <c r="C27" t="s">
        <v>862</v>
      </c>
      <c r="D27" t="s">
        <v>863</v>
      </c>
      <c r="E27" t="s">
        <v>847</v>
      </c>
      <c r="G27" t="s">
        <v>836</v>
      </c>
      <c r="H27">
        <v>3</v>
      </c>
      <c r="I27" s="1">
        <v>45981.513301752217</v>
      </c>
      <c r="J27" s="1">
        <v>46006.197616734265</v>
      </c>
      <c r="K27" s="1" t="s">
        <v>837</v>
      </c>
    </row>
    <row r="28" spans="1:11">
      <c r="A28" t="s">
        <v>891</v>
      </c>
      <c r="B28" t="s">
        <v>57</v>
      </c>
      <c r="C28" t="s">
        <v>862</v>
      </c>
      <c r="D28" t="s">
        <v>892</v>
      </c>
      <c r="E28" t="s">
        <v>835</v>
      </c>
      <c r="G28" t="s">
        <v>836</v>
      </c>
      <c r="H28">
        <v>4</v>
      </c>
      <c r="I28" s="1">
        <v>45874.898449590051</v>
      </c>
      <c r="J28" s="1">
        <v>45900.932826255361</v>
      </c>
      <c r="K28" s="1">
        <v>45902.789034843998</v>
      </c>
    </row>
    <row r="29" spans="1:11">
      <c r="A29" t="s">
        <v>893</v>
      </c>
      <c r="B29" t="s">
        <v>57</v>
      </c>
      <c r="C29" t="s">
        <v>862</v>
      </c>
      <c r="D29" t="s">
        <v>865</v>
      </c>
      <c r="E29" t="s">
        <v>835</v>
      </c>
      <c r="G29" t="s">
        <v>836</v>
      </c>
      <c r="H29">
        <v>4</v>
      </c>
      <c r="I29" s="1">
        <v>46009.377164287238</v>
      </c>
      <c r="J29" s="1">
        <v>46035.252367334178</v>
      </c>
      <c r="K29" s="1" t="s">
        <v>837</v>
      </c>
    </row>
    <row r="30" spans="1:11">
      <c r="A30" t="s">
        <v>894</v>
      </c>
      <c r="B30" t="s">
        <v>57</v>
      </c>
      <c r="C30" t="s">
        <v>862</v>
      </c>
      <c r="D30" t="s">
        <v>895</v>
      </c>
      <c r="E30" t="s">
        <v>835</v>
      </c>
      <c r="G30" t="s">
        <v>836</v>
      </c>
      <c r="H30">
        <v>4</v>
      </c>
      <c r="I30" s="1">
        <v>45930.165012431746</v>
      </c>
      <c r="J30" s="1">
        <v>45948.062198613014</v>
      </c>
      <c r="K30" s="1">
        <v>45943.069022414311</v>
      </c>
    </row>
    <row r="31" spans="1:11">
      <c r="A31" t="s">
        <v>896</v>
      </c>
      <c r="B31" t="s">
        <v>57</v>
      </c>
      <c r="C31" t="s">
        <v>862</v>
      </c>
      <c r="D31" t="s">
        <v>897</v>
      </c>
      <c r="E31" t="s">
        <v>835</v>
      </c>
      <c r="G31" t="s">
        <v>836</v>
      </c>
      <c r="H31">
        <v>4</v>
      </c>
      <c r="I31" s="1">
        <v>46010.393681284353</v>
      </c>
      <c r="J31" s="1">
        <v>46036.772265264168</v>
      </c>
      <c r="K31" s="1" t="s">
        <v>837</v>
      </c>
    </row>
    <row r="32" spans="1:11">
      <c r="A32" t="s">
        <v>898</v>
      </c>
      <c r="B32" t="s">
        <v>57</v>
      </c>
      <c r="C32" t="s">
        <v>862</v>
      </c>
      <c r="D32" t="s">
        <v>899</v>
      </c>
      <c r="E32" t="s">
        <v>840</v>
      </c>
      <c r="G32" t="s">
        <v>836</v>
      </c>
      <c r="H32">
        <v>1</v>
      </c>
      <c r="I32" s="1">
        <v>45941.919149109664</v>
      </c>
      <c r="J32" s="1">
        <v>45958.57270237276</v>
      </c>
      <c r="K32" s="1">
        <v>45964.810215505728</v>
      </c>
    </row>
    <row r="33" spans="1:11">
      <c r="A33" t="s">
        <v>900</v>
      </c>
      <c r="B33" t="s">
        <v>57</v>
      </c>
      <c r="C33" t="s">
        <v>862</v>
      </c>
      <c r="D33" t="s">
        <v>901</v>
      </c>
      <c r="E33" t="s">
        <v>835</v>
      </c>
      <c r="G33" t="s">
        <v>836</v>
      </c>
      <c r="H33">
        <v>4</v>
      </c>
      <c r="I33" s="1">
        <v>45843.762633669488</v>
      </c>
      <c r="J33" s="1">
        <v>45872.184564179894</v>
      </c>
      <c r="K33" s="1">
        <v>45871.510909150798</v>
      </c>
    </row>
    <row r="34" spans="1:11">
      <c r="A34" t="s">
        <v>902</v>
      </c>
      <c r="B34" t="s">
        <v>49</v>
      </c>
      <c r="C34" t="s">
        <v>833</v>
      </c>
      <c r="D34" t="s">
        <v>834</v>
      </c>
      <c r="E34" t="s">
        <v>866</v>
      </c>
      <c r="G34" t="s">
        <v>836</v>
      </c>
      <c r="H34">
        <v>4</v>
      </c>
      <c r="I34" s="1">
        <v>45888.520021735269</v>
      </c>
      <c r="J34" s="1">
        <v>45909.982490049777</v>
      </c>
      <c r="K34" s="1">
        <v>45914.244946366685</v>
      </c>
    </row>
    <row r="35" spans="1:11">
      <c r="A35" t="s">
        <v>903</v>
      </c>
      <c r="B35" t="s">
        <v>49</v>
      </c>
      <c r="C35" t="s">
        <v>833</v>
      </c>
      <c r="D35" t="s">
        <v>904</v>
      </c>
      <c r="E35" t="s">
        <v>835</v>
      </c>
      <c r="G35" t="s">
        <v>836</v>
      </c>
      <c r="H35">
        <v>4</v>
      </c>
      <c r="I35" s="1">
        <v>45856.529650785975</v>
      </c>
      <c r="J35" s="1">
        <v>45884.25168211665</v>
      </c>
      <c r="K35" s="1">
        <v>45892.559460849334</v>
      </c>
    </row>
    <row r="36" spans="1:11">
      <c r="A36" t="s">
        <v>905</v>
      </c>
      <c r="B36" t="s">
        <v>49</v>
      </c>
      <c r="C36" t="s">
        <v>833</v>
      </c>
      <c r="D36" t="s">
        <v>906</v>
      </c>
      <c r="E36" t="s">
        <v>843</v>
      </c>
      <c r="G36" t="s">
        <v>836</v>
      </c>
      <c r="H36">
        <v>4</v>
      </c>
      <c r="I36" s="1">
        <v>45914.670855644974</v>
      </c>
      <c r="J36" s="1">
        <v>45938.043555795564</v>
      </c>
      <c r="K36" s="1">
        <v>45942.251586603808</v>
      </c>
    </row>
    <row r="37" spans="1:11">
      <c r="A37" t="s">
        <v>907</v>
      </c>
      <c r="B37" t="s">
        <v>49</v>
      </c>
      <c r="C37" t="s">
        <v>833</v>
      </c>
      <c r="D37" t="s">
        <v>908</v>
      </c>
      <c r="E37" t="s">
        <v>843</v>
      </c>
      <c r="G37" t="s">
        <v>836</v>
      </c>
      <c r="H37">
        <v>4</v>
      </c>
      <c r="I37" s="1">
        <v>45932.741842654788</v>
      </c>
      <c r="J37" s="1">
        <v>45955.291264469968</v>
      </c>
      <c r="K37" s="1">
        <v>45964.907050850488</v>
      </c>
    </row>
    <row r="38" spans="1:11">
      <c r="A38" t="s">
        <v>909</v>
      </c>
      <c r="B38" t="s">
        <v>49</v>
      </c>
      <c r="C38" t="s">
        <v>853</v>
      </c>
      <c r="D38" t="s">
        <v>874</v>
      </c>
      <c r="E38" t="s">
        <v>840</v>
      </c>
      <c r="G38" t="s">
        <v>836</v>
      </c>
      <c r="H38">
        <v>4</v>
      </c>
      <c r="I38" s="1">
        <v>45997.357856555289</v>
      </c>
      <c r="J38" s="1">
        <v>46022.795641482662</v>
      </c>
      <c r="K38" s="1" t="s">
        <v>837</v>
      </c>
    </row>
    <row r="39" spans="1:11">
      <c r="A39" t="s">
        <v>910</v>
      </c>
      <c r="B39" t="s">
        <v>49</v>
      </c>
      <c r="C39" t="s">
        <v>853</v>
      </c>
      <c r="D39" t="s">
        <v>856</v>
      </c>
      <c r="E39" t="s">
        <v>840</v>
      </c>
      <c r="G39" t="s">
        <v>836</v>
      </c>
      <c r="H39">
        <v>3</v>
      </c>
      <c r="I39" s="1">
        <v>45922.648376610356</v>
      </c>
      <c r="J39" s="1">
        <v>45949.05541503858</v>
      </c>
      <c r="K39" s="1">
        <v>45956.675709408169</v>
      </c>
    </row>
    <row r="40" spans="1:11">
      <c r="A40" t="s">
        <v>911</v>
      </c>
      <c r="B40" t="s">
        <v>49</v>
      </c>
      <c r="C40" t="s">
        <v>853</v>
      </c>
      <c r="D40" t="s">
        <v>877</v>
      </c>
      <c r="E40" t="s">
        <v>843</v>
      </c>
      <c r="G40" t="s">
        <v>844</v>
      </c>
      <c r="H40">
        <v>3</v>
      </c>
      <c r="I40" s="1">
        <v>45908.113205848094</v>
      </c>
      <c r="J40" s="1">
        <v>45924.942195544929</v>
      </c>
      <c r="K40" s="1">
        <v>45916.514047066645</v>
      </c>
    </row>
    <row r="41" spans="1:11">
      <c r="A41" t="s">
        <v>912</v>
      </c>
      <c r="B41" t="s">
        <v>49</v>
      </c>
      <c r="C41" t="s">
        <v>853</v>
      </c>
      <c r="D41" t="s">
        <v>883</v>
      </c>
      <c r="E41" t="s">
        <v>840</v>
      </c>
      <c r="G41" t="s">
        <v>836</v>
      </c>
      <c r="H41">
        <v>4</v>
      </c>
      <c r="I41" s="1">
        <v>45865.432505199351</v>
      </c>
      <c r="J41" s="1">
        <v>45884.789169079639</v>
      </c>
      <c r="K41" s="1">
        <v>45889.773331386532</v>
      </c>
    </row>
    <row r="42" spans="1:11">
      <c r="A42" t="s">
        <v>913</v>
      </c>
      <c r="B42" t="s">
        <v>49</v>
      </c>
      <c r="C42" t="s">
        <v>853</v>
      </c>
      <c r="D42" t="s">
        <v>887</v>
      </c>
      <c r="E42" t="s">
        <v>866</v>
      </c>
      <c r="G42" t="s">
        <v>836</v>
      </c>
      <c r="H42">
        <v>4</v>
      </c>
      <c r="I42" s="1">
        <v>45953.163584318718</v>
      </c>
      <c r="J42" s="1">
        <v>45974.410966485812</v>
      </c>
      <c r="K42" s="1" t="s">
        <v>837</v>
      </c>
    </row>
    <row r="43" spans="1:11">
      <c r="A43" t="s">
        <v>914</v>
      </c>
      <c r="B43" t="s">
        <v>49</v>
      </c>
      <c r="C43" t="s">
        <v>853</v>
      </c>
      <c r="D43" t="s">
        <v>858</v>
      </c>
      <c r="E43" t="s">
        <v>847</v>
      </c>
      <c r="G43" t="s">
        <v>836</v>
      </c>
      <c r="H43">
        <v>2</v>
      </c>
      <c r="I43" s="1">
        <v>46013.460595450539</v>
      </c>
      <c r="J43" s="1">
        <v>46039.71167344127</v>
      </c>
      <c r="K43" s="1" t="s">
        <v>837</v>
      </c>
    </row>
    <row r="44" spans="1:11">
      <c r="A44" t="s">
        <v>915</v>
      </c>
      <c r="B44" t="s">
        <v>49</v>
      </c>
      <c r="C44" t="s">
        <v>853</v>
      </c>
      <c r="D44" t="s">
        <v>889</v>
      </c>
      <c r="E44" t="s">
        <v>866</v>
      </c>
      <c r="G44" t="s">
        <v>836</v>
      </c>
      <c r="H44">
        <v>4</v>
      </c>
      <c r="I44" s="1">
        <v>46015.117571554336</v>
      </c>
      <c r="J44" s="1">
        <v>46038.982431272038</v>
      </c>
      <c r="K44" s="1" t="s">
        <v>837</v>
      </c>
    </row>
    <row r="45" spans="1:11">
      <c r="A45" t="s">
        <v>916</v>
      </c>
      <c r="B45" t="s">
        <v>49</v>
      </c>
      <c r="C45" t="s">
        <v>853</v>
      </c>
      <c r="D45" t="s">
        <v>860</v>
      </c>
      <c r="E45" t="s">
        <v>840</v>
      </c>
      <c r="G45" t="s">
        <v>836</v>
      </c>
      <c r="H45">
        <v>4</v>
      </c>
      <c r="I45" s="1">
        <v>45896.650777076356</v>
      </c>
      <c r="J45" s="1">
        <v>45923.853290649939</v>
      </c>
      <c r="K45" s="1">
        <v>45918.788476129368</v>
      </c>
    </row>
    <row r="46" spans="1:11">
      <c r="A46" t="s">
        <v>917</v>
      </c>
      <c r="B46" t="s">
        <v>49</v>
      </c>
      <c r="C46" t="s">
        <v>862</v>
      </c>
      <c r="D46" t="s">
        <v>892</v>
      </c>
      <c r="E46" t="s">
        <v>843</v>
      </c>
      <c r="G46" t="s">
        <v>836</v>
      </c>
      <c r="H46">
        <v>2</v>
      </c>
      <c r="I46" s="1">
        <v>45846.346996697379</v>
      </c>
      <c r="J46" s="1">
        <v>45861.550560200834</v>
      </c>
      <c r="K46" s="1">
        <v>45866.782247411262</v>
      </c>
    </row>
    <row r="47" spans="1:11">
      <c r="A47" t="s">
        <v>918</v>
      </c>
      <c r="B47" t="s">
        <v>49</v>
      </c>
      <c r="C47" t="s">
        <v>862</v>
      </c>
      <c r="D47" t="s">
        <v>865</v>
      </c>
      <c r="E47" t="s">
        <v>866</v>
      </c>
      <c r="G47" t="s">
        <v>836</v>
      </c>
      <c r="H47">
        <v>4</v>
      </c>
      <c r="I47" s="1">
        <v>46003.886342292346</v>
      </c>
      <c r="J47" s="1">
        <v>46027.169358883082</v>
      </c>
      <c r="K47" s="1" t="s">
        <v>837</v>
      </c>
    </row>
    <row r="48" spans="1:11">
      <c r="A48" t="s">
        <v>919</v>
      </c>
      <c r="B48" t="s">
        <v>49</v>
      </c>
      <c r="C48" t="s">
        <v>862</v>
      </c>
      <c r="D48" t="s">
        <v>920</v>
      </c>
      <c r="E48" t="s">
        <v>843</v>
      </c>
      <c r="G48" t="s">
        <v>844</v>
      </c>
      <c r="H48">
        <v>4</v>
      </c>
      <c r="I48" s="1">
        <v>45963.747223096907</v>
      </c>
      <c r="J48" s="1">
        <v>45984.509147605961</v>
      </c>
      <c r="K48" s="1" t="s">
        <v>837</v>
      </c>
    </row>
    <row r="49" spans="1:11">
      <c r="A49" t="s">
        <v>921</v>
      </c>
      <c r="B49" t="s">
        <v>49</v>
      </c>
      <c r="C49" t="s">
        <v>862</v>
      </c>
      <c r="D49" t="s">
        <v>870</v>
      </c>
      <c r="E49" t="s">
        <v>840</v>
      </c>
      <c r="G49" t="s">
        <v>836</v>
      </c>
      <c r="H49">
        <v>4</v>
      </c>
      <c r="I49" s="1">
        <v>45960.818055072217</v>
      </c>
      <c r="J49" s="1">
        <v>45988.34381539168</v>
      </c>
      <c r="K49" s="1" t="s">
        <v>837</v>
      </c>
    </row>
    <row r="50" spans="1:11">
      <c r="A50" t="s">
        <v>922</v>
      </c>
      <c r="B50" t="s">
        <v>49</v>
      </c>
      <c r="C50" t="s">
        <v>862</v>
      </c>
      <c r="D50" t="s">
        <v>923</v>
      </c>
      <c r="E50" t="s">
        <v>843</v>
      </c>
      <c r="G50" t="s">
        <v>844</v>
      </c>
      <c r="H50">
        <v>3</v>
      </c>
      <c r="I50" s="1">
        <v>45985.143846557366</v>
      </c>
      <c r="J50" s="1">
        <v>46013.337065480628</v>
      </c>
      <c r="K50" s="1" t="s">
        <v>837</v>
      </c>
    </row>
    <row r="51" spans="1:11">
      <c r="A51" t="s">
        <v>924</v>
      </c>
      <c r="B51" t="s">
        <v>49</v>
      </c>
      <c r="C51" t="s">
        <v>862</v>
      </c>
      <c r="D51" t="s">
        <v>899</v>
      </c>
      <c r="E51" t="s">
        <v>840</v>
      </c>
      <c r="G51" t="s">
        <v>844</v>
      </c>
      <c r="H51">
        <v>3</v>
      </c>
      <c r="I51" s="1">
        <v>45911.932192974164</v>
      </c>
      <c r="J51" s="1">
        <v>45933.537375524269</v>
      </c>
      <c r="K51" s="1">
        <v>45939.049595222838</v>
      </c>
    </row>
    <row r="52" spans="1:11">
      <c r="A52" t="s">
        <v>925</v>
      </c>
      <c r="B52" t="s">
        <v>103</v>
      </c>
      <c r="C52" t="s">
        <v>833</v>
      </c>
      <c r="D52" t="s">
        <v>926</v>
      </c>
      <c r="E52" t="s">
        <v>843</v>
      </c>
      <c r="G52" t="s">
        <v>844</v>
      </c>
      <c r="H52">
        <v>4</v>
      </c>
      <c r="I52" s="1">
        <v>45994.712067876346</v>
      </c>
      <c r="J52" s="1">
        <v>46014.19025071225</v>
      </c>
      <c r="K52" s="1" t="s">
        <v>837</v>
      </c>
    </row>
    <row r="53" spans="1:11">
      <c r="A53" t="s">
        <v>927</v>
      </c>
      <c r="B53" t="s">
        <v>103</v>
      </c>
      <c r="C53" t="s">
        <v>833</v>
      </c>
      <c r="D53" t="s">
        <v>906</v>
      </c>
      <c r="E53" t="s">
        <v>840</v>
      </c>
      <c r="G53" t="s">
        <v>844</v>
      </c>
      <c r="H53">
        <v>4</v>
      </c>
      <c r="I53" s="1">
        <v>45889.821409392811</v>
      </c>
      <c r="J53" s="1">
        <v>45906.573121360758</v>
      </c>
      <c r="K53" s="1">
        <v>45901.423215567927</v>
      </c>
    </row>
    <row r="54" spans="1:11">
      <c r="A54" t="s">
        <v>928</v>
      </c>
      <c r="B54" t="s">
        <v>103</v>
      </c>
      <c r="C54" t="s">
        <v>833</v>
      </c>
      <c r="D54" t="s">
        <v>846</v>
      </c>
      <c r="E54" t="s">
        <v>866</v>
      </c>
      <c r="G54" t="s">
        <v>836</v>
      </c>
      <c r="H54">
        <v>2</v>
      </c>
      <c r="I54" s="1">
        <v>46017.493189145011</v>
      </c>
      <c r="J54" s="1">
        <v>46044.38377378849</v>
      </c>
      <c r="K54" s="1" t="s">
        <v>837</v>
      </c>
    </row>
    <row r="55" spans="1:11">
      <c r="A55" t="s">
        <v>929</v>
      </c>
      <c r="B55" t="s">
        <v>103</v>
      </c>
      <c r="C55" t="s">
        <v>833</v>
      </c>
      <c r="D55" t="s">
        <v>849</v>
      </c>
      <c r="E55" t="s">
        <v>866</v>
      </c>
      <c r="G55" t="s">
        <v>836</v>
      </c>
      <c r="H55">
        <v>2</v>
      </c>
      <c r="I55" s="1">
        <v>45948.213294342349</v>
      </c>
      <c r="J55" s="1">
        <v>45969.845949071074</v>
      </c>
      <c r="K55" s="1" t="s">
        <v>837</v>
      </c>
    </row>
    <row r="56" spans="1:11">
      <c r="A56" t="s">
        <v>930</v>
      </c>
      <c r="B56" t="s">
        <v>103</v>
      </c>
      <c r="C56" t="s">
        <v>853</v>
      </c>
      <c r="D56" t="s">
        <v>931</v>
      </c>
      <c r="E56" t="s">
        <v>835</v>
      </c>
      <c r="G56" t="s">
        <v>836</v>
      </c>
      <c r="H56">
        <v>4</v>
      </c>
      <c r="I56" s="1">
        <v>45883.115685455567</v>
      </c>
      <c r="J56" s="1">
        <v>45899.963842077959</v>
      </c>
      <c r="K56" s="1">
        <v>45898.358130227665</v>
      </c>
    </row>
    <row r="57" spans="1:11">
      <c r="A57" t="s">
        <v>932</v>
      </c>
      <c r="B57" t="s">
        <v>103</v>
      </c>
      <c r="C57" t="s">
        <v>853</v>
      </c>
      <c r="D57" t="s">
        <v>854</v>
      </c>
      <c r="E57" t="s">
        <v>847</v>
      </c>
      <c r="G57" t="s">
        <v>836</v>
      </c>
      <c r="H57">
        <v>4</v>
      </c>
      <c r="I57" s="1">
        <v>45894.058605944112</v>
      </c>
      <c r="J57" s="1">
        <v>45911.732372521728</v>
      </c>
      <c r="K57" s="1">
        <v>45920.655137596084</v>
      </c>
    </row>
    <row r="58" spans="1:11">
      <c r="A58" t="s">
        <v>933</v>
      </c>
      <c r="B58" t="s">
        <v>103</v>
      </c>
      <c r="C58" t="s">
        <v>853</v>
      </c>
      <c r="D58" t="s">
        <v>874</v>
      </c>
      <c r="E58" t="s">
        <v>866</v>
      </c>
      <c r="G58" t="s">
        <v>836</v>
      </c>
      <c r="H58">
        <v>1</v>
      </c>
      <c r="I58" s="1">
        <v>45868.371199660083</v>
      </c>
      <c r="J58" s="1">
        <v>45888.235325516835</v>
      </c>
      <c r="K58" s="1">
        <v>45881.588045473771</v>
      </c>
    </row>
    <row r="59" spans="1:11">
      <c r="A59" t="s">
        <v>934</v>
      </c>
      <c r="B59" t="s">
        <v>103</v>
      </c>
      <c r="C59" t="s">
        <v>853</v>
      </c>
      <c r="D59" t="s">
        <v>935</v>
      </c>
      <c r="E59" t="s">
        <v>835</v>
      </c>
      <c r="G59" t="s">
        <v>836</v>
      </c>
      <c r="H59">
        <v>4</v>
      </c>
      <c r="I59" s="1">
        <v>45992.030408137849</v>
      </c>
      <c r="J59" s="1">
        <v>46020.456201193141</v>
      </c>
      <c r="K59" s="1" t="s">
        <v>837</v>
      </c>
    </row>
    <row r="60" spans="1:11">
      <c r="A60" t="s">
        <v>936</v>
      </c>
      <c r="B60" t="s">
        <v>103</v>
      </c>
      <c r="C60" t="s">
        <v>853</v>
      </c>
      <c r="D60" t="s">
        <v>858</v>
      </c>
      <c r="E60" t="s">
        <v>840</v>
      </c>
      <c r="G60" t="s">
        <v>836</v>
      </c>
      <c r="H60">
        <v>4</v>
      </c>
      <c r="I60" s="1">
        <v>45954.430149520187</v>
      </c>
      <c r="J60" s="1">
        <v>45982.01620496549</v>
      </c>
      <c r="K60" s="1" t="s">
        <v>837</v>
      </c>
    </row>
    <row r="61" spans="1:11">
      <c r="A61" t="s">
        <v>937</v>
      </c>
      <c r="B61" t="s">
        <v>103</v>
      </c>
      <c r="C61" t="s">
        <v>853</v>
      </c>
      <c r="D61" t="s">
        <v>938</v>
      </c>
      <c r="E61" t="s">
        <v>835</v>
      </c>
      <c r="G61" t="s">
        <v>836</v>
      </c>
      <c r="H61">
        <v>3</v>
      </c>
      <c r="I61" s="1">
        <v>45882.208444160846</v>
      </c>
      <c r="J61" s="1">
        <v>45909.289131228506</v>
      </c>
      <c r="K61" s="1">
        <v>45906.740149142272</v>
      </c>
    </row>
    <row r="62" spans="1:11">
      <c r="A62" t="s">
        <v>939</v>
      </c>
      <c r="B62" t="s">
        <v>103</v>
      </c>
      <c r="C62" t="s">
        <v>853</v>
      </c>
      <c r="D62" t="s">
        <v>860</v>
      </c>
      <c r="E62" t="s">
        <v>835</v>
      </c>
      <c r="G62" t="s">
        <v>836</v>
      </c>
      <c r="H62">
        <v>4</v>
      </c>
      <c r="I62" s="1">
        <v>45980.898321917586</v>
      </c>
      <c r="J62" s="1">
        <v>46000.271503834105</v>
      </c>
      <c r="K62" s="1" t="s">
        <v>837</v>
      </c>
    </row>
    <row r="63" spans="1:11">
      <c r="A63" t="s">
        <v>940</v>
      </c>
      <c r="B63" t="s">
        <v>103</v>
      </c>
      <c r="C63" t="s">
        <v>862</v>
      </c>
      <c r="D63" t="s">
        <v>863</v>
      </c>
      <c r="E63" t="s">
        <v>840</v>
      </c>
      <c r="G63" t="s">
        <v>836</v>
      </c>
      <c r="H63">
        <v>4</v>
      </c>
      <c r="I63" s="1">
        <v>45890.088430872856</v>
      </c>
      <c r="J63" s="1">
        <v>45914.03560529423</v>
      </c>
      <c r="K63" s="1">
        <v>45907.429181353036</v>
      </c>
    </row>
    <row r="64" spans="1:11">
      <c r="A64" t="s">
        <v>941</v>
      </c>
      <c r="B64" t="s">
        <v>103</v>
      </c>
      <c r="C64" t="s">
        <v>862</v>
      </c>
      <c r="D64" t="s">
        <v>865</v>
      </c>
      <c r="E64" t="s">
        <v>847</v>
      </c>
      <c r="G64" t="s">
        <v>836</v>
      </c>
      <c r="H64">
        <v>4</v>
      </c>
      <c r="I64" s="1">
        <v>46010.939304463078</v>
      </c>
      <c r="J64" s="1">
        <v>46028.035663938877</v>
      </c>
      <c r="K64" s="1" t="s">
        <v>837</v>
      </c>
    </row>
    <row r="65" spans="1:11">
      <c r="A65" t="s">
        <v>942</v>
      </c>
      <c r="B65" t="s">
        <v>103</v>
      </c>
      <c r="C65" t="s">
        <v>862</v>
      </c>
      <c r="D65" t="s">
        <v>943</v>
      </c>
      <c r="E65" t="s">
        <v>866</v>
      </c>
      <c r="G65" t="s">
        <v>836</v>
      </c>
      <c r="H65">
        <v>3</v>
      </c>
      <c r="I65" s="1">
        <v>45857.529963996676</v>
      </c>
      <c r="J65" s="1">
        <v>45884.365886517415</v>
      </c>
      <c r="K65" s="1">
        <v>45877.916169059798</v>
      </c>
    </row>
    <row r="66" spans="1:11">
      <c r="A66" t="s">
        <v>944</v>
      </c>
      <c r="B66" t="s">
        <v>103</v>
      </c>
      <c r="C66" t="s">
        <v>862</v>
      </c>
      <c r="D66" t="s">
        <v>868</v>
      </c>
      <c r="E66" t="s">
        <v>835</v>
      </c>
      <c r="G66" t="s">
        <v>836</v>
      </c>
      <c r="H66">
        <v>4</v>
      </c>
      <c r="I66" s="1">
        <v>45917.200699965011</v>
      </c>
      <c r="J66" s="1">
        <v>45946.42038252105</v>
      </c>
      <c r="K66" s="1">
        <v>45952.750522206326</v>
      </c>
    </row>
    <row r="67" spans="1:11">
      <c r="A67" t="s">
        <v>945</v>
      </c>
      <c r="B67" t="s">
        <v>103</v>
      </c>
      <c r="C67" t="s">
        <v>862</v>
      </c>
      <c r="D67" t="s">
        <v>870</v>
      </c>
      <c r="E67" t="s">
        <v>866</v>
      </c>
      <c r="G67" t="s">
        <v>844</v>
      </c>
      <c r="H67">
        <v>4</v>
      </c>
      <c r="I67" s="1">
        <v>46021.640668659798</v>
      </c>
      <c r="J67" s="1">
        <v>46044.066448334757</v>
      </c>
      <c r="K67" s="1" t="s">
        <v>837</v>
      </c>
    </row>
    <row r="68" spans="1:11">
      <c r="A68" t="s">
        <v>946</v>
      </c>
      <c r="B68" t="s">
        <v>817</v>
      </c>
      <c r="C68" t="s">
        <v>833</v>
      </c>
      <c r="D68" t="s">
        <v>947</v>
      </c>
      <c r="E68" t="s">
        <v>866</v>
      </c>
      <c r="G68" t="s">
        <v>836</v>
      </c>
      <c r="H68">
        <v>4</v>
      </c>
      <c r="I68" s="1">
        <v>45900.499650315025</v>
      </c>
      <c r="J68" s="1">
        <v>45927.052827449566</v>
      </c>
      <c r="K68" s="1">
        <v>45919.342483616871</v>
      </c>
    </row>
    <row r="69" spans="1:11">
      <c r="A69" t="s">
        <v>948</v>
      </c>
      <c r="B69" t="s">
        <v>817</v>
      </c>
      <c r="C69" t="s">
        <v>833</v>
      </c>
      <c r="D69" t="s">
        <v>906</v>
      </c>
      <c r="E69" t="s">
        <v>835</v>
      </c>
      <c r="G69" t="s">
        <v>836</v>
      </c>
      <c r="H69">
        <v>4</v>
      </c>
      <c r="I69" s="1">
        <v>45966.645525321292</v>
      </c>
      <c r="J69" s="1">
        <v>45992.969985214426</v>
      </c>
      <c r="K69" s="1" t="s">
        <v>837</v>
      </c>
    </row>
    <row r="70" spans="1:11">
      <c r="A70" t="s">
        <v>949</v>
      </c>
      <c r="B70" t="s">
        <v>817</v>
      </c>
      <c r="C70" t="s">
        <v>833</v>
      </c>
      <c r="D70" t="s">
        <v>950</v>
      </c>
      <c r="E70" t="s">
        <v>843</v>
      </c>
      <c r="G70" t="s">
        <v>836</v>
      </c>
      <c r="H70">
        <v>4</v>
      </c>
      <c r="I70" s="1">
        <v>46011.964797018256</v>
      </c>
      <c r="J70" s="1">
        <v>46035.053462104974</v>
      </c>
      <c r="K70" s="1" t="s">
        <v>837</v>
      </c>
    </row>
    <row r="71" spans="1:11">
      <c r="A71" t="s">
        <v>951</v>
      </c>
      <c r="B71" t="s">
        <v>817</v>
      </c>
      <c r="C71" t="s">
        <v>833</v>
      </c>
      <c r="D71" t="s">
        <v>908</v>
      </c>
      <c r="E71" t="s">
        <v>840</v>
      </c>
      <c r="G71" t="s">
        <v>836</v>
      </c>
      <c r="H71">
        <v>4</v>
      </c>
      <c r="I71" s="1">
        <v>46001.14677426633</v>
      </c>
      <c r="J71" s="1">
        <v>46024.765295996993</v>
      </c>
      <c r="K71" s="1" t="s">
        <v>837</v>
      </c>
    </row>
    <row r="72" spans="1:11">
      <c r="A72" t="s">
        <v>952</v>
      </c>
      <c r="B72" t="s">
        <v>817</v>
      </c>
      <c r="C72" t="s">
        <v>833</v>
      </c>
      <c r="D72" t="s">
        <v>953</v>
      </c>
      <c r="E72" t="s">
        <v>847</v>
      </c>
      <c r="G72" t="s">
        <v>836</v>
      </c>
      <c r="H72">
        <v>2</v>
      </c>
      <c r="I72" s="1">
        <v>45931.051985241793</v>
      </c>
      <c r="J72" s="1">
        <v>45956.567694041893</v>
      </c>
      <c r="K72" s="1">
        <v>45947.602795121238</v>
      </c>
    </row>
    <row r="73" spans="1:11">
      <c r="A73" t="s">
        <v>954</v>
      </c>
      <c r="B73" t="s">
        <v>817</v>
      </c>
      <c r="C73" t="s">
        <v>833</v>
      </c>
      <c r="D73" t="s">
        <v>955</v>
      </c>
      <c r="E73" t="s">
        <v>835</v>
      </c>
      <c r="G73" t="s">
        <v>836</v>
      </c>
      <c r="H73">
        <v>4</v>
      </c>
      <c r="I73" s="1">
        <v>45989.659221890826</v>
      </c>
      <c r="J73" s="1">
        <v>46005.623897209334</v>
      </c>
      <c r="K73" s="1" t="s">
        <v>837</v>
      </c>
    </row>
    <row r="74" spans="1:11">
      <c r="A74" t="s">
        <v>956</v>
      </c>
      <c r="B74" t="s">
        <v>817</v>
      </c>
      <c r="C74" t="s">
        <v>833</v>
      </c>
      <c r="D74" t="s">
        <v>957</v>
      </c>
      <c r="E74" t="s">
        <v>847</v>
      </c>
      <c r="G74" t="s">
        <v>836</v>
      </c>
      <c r="H74">
        <v>4</v>
      </c>
      <c r="I74" s="1">
        <v>45887.330118521153</v>
      </c>
      <c r="J74" s="1">
        <v>45916.811726050772</v>
      </c>
      <c r="K74" s="1">
        <v>45913.360006493924</v>
      </c>
    </row>
    <row r="75" spans="1:11">
      <c r="A75" t="s">
        <v>958</v>
      </c>
      <c r="B75" t="s">
        <v>817</v>
      </c>
      <c r="C75" t="s">
        <v>833</v>
      </c>
      <c r="D75" t="s">
        <v>959</v>
      </c>
      <c r="E75" t="s">
        <v>835</v>
      </c>
      <c r="G75" t="s">
        <v>836</v>
      </c>
      <c r="H75">
        <v>2</v>
      </c>
      <c r="I75" s="1">
        <v>46006.386782993264</v>
      </c>
      <c r="J75" s="1">
        <v>46025.626440453358</v>
      </c>
      <c r="K75" s="1" t="s">
        <v>837</v>
      </c>
    </row>
    <row r="76" spans="1:11">
      <c r="A76" t="s">
        <v>960</v>
      </c>
      <c r="B76" t="s">
        <v>817</v>
      </c>
      <c r="C76" t="s">
        <v>833</v>
      </c>
      <c r="D76" t="s">
        <v>961</v>
      </c>
      <c r="E76" t="s">
        <v>847</v>
      </c>
      <c r="G76" t="s">
        <v>836</v>
      </c>
      <c r="H76">
        <v>4</v>
      </c>
      <c r="I76" s="1">
        <v>45915.251556225754</v>
      </c>
      <c r="J76" s="1">
        <v>45934.906893834457</v>
      </c>
      <c r="K76" s="1">
        <v>45940.21540120359</v>
      </c>
    </row>
    <row r="77" spans="1:11">
      <c r="A77" t="s">
        <v>962</v>
      </c>
      <c r="B77" t="s">
        <v>817</v>
      </c>
      <c r="C77" t="s">
        <v>833</v>
      </c>
      <c r="D77" t="s">
        <v>963</v>
      </c>
      <c r="E77" t="s">
        <v>866</v>
      </c>
      <c r="G77" t="s">
        <v>836</v>
      </c>
      <c r="H77">
        <v>4</v>
      </c>
      <c r="I77" s="1">
        <v>45883.90801626943</v>
      </c>
      <c r="J77" s="1">
        <v>45911.063322308488</v>
      </c>
      <c r="K77" s="1">
        <v>45904.395477957696</v>
      </c>
    </row>
    <row r="78" spans="1:11">
      <c r="A78" t="s">
        <v>964</v>
      </c>
      <c r="B78" t="s">
        <v>817</v>
      </c>
      <c r="C78" t="s">
        <v>833</v>
      </c>
      <c r="D78" t="s">
        <v>965</v>
      </c>
      <c r="E78" t="s">
        <v>840</v>
      </c>
      <c r="G78" t="s">
        <v>844</v>
      </c>
      <c r="H78">
        <v>4</v>
      </c>
      <c r="I78" s="1">
        <v>45893.313055123304</v>
      </c>
      <c r="J78" s="1">
        <v>45913.141089011588</v>
      </c>
      <c r="K78" s="1">
        <v>45919.468062172178</v>
      </c>
    </row>
    <row r="79" spans="1:11">
      <c r="A79" t="s">
        <v>966</v>
      </c>
      <c r="B79" t="s">
        <v>817</v>
      </c>
      <c r="C79" t="s">
        <v>833</v>
      </c>
      <c r="D79" t="s">
        <v>967</v>
      </c>
      <c r="E79" t="s">
        <v>835</v>
      </c>
      <c r="G79" t="s">
        <v>836</v>
      </c>
      <c r="H79">
        <v>3</v>
      </c>
      <c r="I79" s="1">
        <v>45970.946716447703</v>
      </c>
      <c r="J79" s="1">
        <v>45993.170736095468</v>
      </c>
      <c r="K79" s="1" t="s">
        <v>837</v>
      </c>
    </row>
    <row r="80" spans="1:11">
      <c r="A80" t="s">
        <v>968</v>
      </c>
      <c r="B80" t="s">
        <v>817</v>
      </c>
      <c r="C80" t="s">
        <v>833</v>
      </c>
      <c r="D80" t="s">
        <v>969</v>
      </c>
      <c r="E80" t="s">
        <v>840</v>
      </c>
      <c r="G80" t="s">
        <v>836</v>
      </c>
      <c r="H80">
        <v>4</v>
      </c>
      <c r="I80" s="1">
        <v>46000.176125318154</v>
      </c>
      <c r="J80" s="1">
        <v>46020.062724425552</v>
      </c>
      <c r="K80" s="1" t="s">
        <v>837</v>
      </c>
    </row>
    <row r="81" spans="1:11">
      <c r="A81" t="s">
        <v>970</v>
      </c>
      <c r="B81" t="s">
        <v>817</v>
      </c>
      <c r="C81" t="s">
        <v>833</v>
      </c>
      <c r="D81" t="s">
        <v>971</v>
      </c>
      <c r="E81" t="s">
        <v>840</v>
      </c>
      <c r="G81" t="s">
        <v>844</v>
      </c>
      <c r="H81">
        <v>4</v>
      </c>
      <c r="I81" s="1">
        <v>45899.948359969501</v>
      </c>
      <c r="J81" s="1">
        <v>45922.532214427614</v>
      </c>
      <c r="K81" s="1">
        <v>45915.779739940852</v>
      </c>
    </row>
    <row r="82" spans="1:11">
      <c r="A82" t="s">
        <v>972</v>
      </c>
      <c r="B82" t="s">
        <v>817</v>
      </c>
      <c r="C82" t="s">
        <v>833</v>
      </c>
      <c r="D82" t="s">
        <v>973</v>
      </c>
      <c r="E82" t="s">
        <v>835</v>
      </c>
      <c r="G82" t="s">
        <v>836</v>
      </c>
      <c r="H82">
        <v>4</v>
      </c>
      <c r="I82" s="1">
        <v>45916.533236771284</v>
      </c>
      <c r="J82" s="1">
        <v>45941.526215999947</v>
      </c>
      <c r="K82" s="1">
        <v>45936.350986965677</v>
      </c>
    </row>
    <row r="83" spans="1:11">
      <c r="A83" t="s">
        <v>974</v>
      </c>
      <c r="B83" t="s">
        <v>817</v>
      </c>
      <c r="C83" t="s">
        <v>833</v>
      </c>
      <c r="D83" t="s">
        <v>975</v>
      </c>
      <c r="E83" t="s">
        <v>847</v>
      </c>
      <c r="G83" t="s">
        <v>836</v>
      </c>
      <c r="H83">
        <v>3</v>
      </c>
      <c r="I83" s="1">
        <v>45905.81376927386</v>
      </c>
      <c r="J83" s="1">
        <v>45924.108970272391</v>
      </c>
      <c r="K83" s="1">
        <v>45927.865697640053</v>
      </c>
    </row>
    <row r="84" spans="1:11">
      <c r="A84" t="s">
        <v>976</v>
      </c>
      <c r="B84" t="s">
        <v>817</v>
      </c>
      <c r="C84" t="s">
        <v>833</v>
      </c>
      <c r="D84" t="s">
        <v>977</v>
      </c>
      <c r="E84" t="s">
        <v>843</v>
      </c>
      <c r="G84" t="s">
        <v>836</v>
      </c>
      <c r="H84">
        <v>4</v>
      </c>
      <c r="I84" s="1">
        <v>45925.877973840143</v>
      </c>
      <c r="J84" s="1">
        <v>45943.834744123989</v>
      </c>
      <c r="K84" s="1">
        <v>45936.944763034073</v>
      </c>
    </row>
    <row r="85" spans="1:11">
      <c r="A85" t="s">
        <v>978</v>
      </c>
      <c r="B85" t="s">
        <v>817</v>
      </c>
      <c r="C85" t="s">
        <v>833</v>
      </c>
      <c r="D85" t="s">
        <v>979</v>
      </c>
      <c r="E85" t="s">
        <v>847</v>
      </c>
      <c r="G85" t="s">
        <v>836</v>
      </c>
      <c r="H85">
        <v>4</v>
      </c>
      <c r="I85" s="1">
        <v>45915.887224764774</v>
      </c>
      <c r="J85" s="1">
        <v>45936.417170301764</v>
      </c>
      <c r="K85" s="1">
        <v>45932.168156980981</v>
      </c>
    </row>
    <row r="86" spans="1:11">
      <c r="A86" t="s">
        <v>980</v>
      </c>
      <c r="B86" t="s">
        <v>817</v>
      </c>
      <c r="C86" t="s">
        <v>833</v>
      </c>
      <c r="D86" t="s">
        <v>981</v>
      </c>
      <c r="E86" t="s">
        <v>835</v>
      </c>
      <c r="G86" t="s">
        <v>836</v>
      </c>
      <c r="H86">
        <v>4</v>
      </c>
      <c r="I86" s="1">
        <v>45966.16646688115</v>
      </c>
      <c r="J86" s="1">
        <v>45992.56463186317</v>
      </c>
      <c r="K86" s="1" t="s">
        <v>837</v>
      </c>
    </row>
    <row r="87" spans="1:11">
      <c r="A87" t="s">
        <v>982</v>
      </c>
      <c r="B87" t="s">
        <v>817</v>
      </c>
      <c r="C87" t="s">
        <v>833</v>
      </c>
      <c r="D87" t="s">
        <v>983</v>
      </c>
      <c r="E87" t="s">
        <v>835</v>
      </c>
      <c r="G87" t="s">
        <v>836</v>
      </c>
      <c r="H87">
        <v>4</v>
      </c>
      <c r="I87" s="1">
        <v>46011.971230531737</v>
      </c>
      <c r="J87" s="1">
        <v>46039.036552465179</v>
      </c>
      <c r="K87" s="1" t="s">
        <v>837</v>
      </c>
    </row>
    <row r="88" spans="1:11">
      <c r="A88" t="s">
        <v>984</v>
      </c>
      <c r="B88" t="s">
        <v>817</v>
      </c>
      <c r="C88" t="s">
        <v>833</v>
      </c>
      <c r="D88" t="s">
        <v>985</v>
      </c>
      <c r="E88" t="s">
        <v>840</v>
      </c>
      <c r="G88" t="s">
        <v>844</v>
      </c>
      <c r="H88">
        <v>4</v>
      </c>
      <c r="I88" s="1">
        <v>45902.696105673225</v>
      </c>
      <c r="J88" s="1">
        <v>45922.256535281267</v>
      </c>
      <c r="K88" s="1">
        <v>45914.680406605614</v>
      </c>
    </row>
    <row r="89" spans="1:11">
      <c r="A89" t="s">
        <v>986</v>
      </c>
      <c r="B89" t="s">
        <v>817</v>
      </c>
      <c r="C89" t="s">
        <v>833</v>
      </c>
      <c r="D89" t="s">
        <v>987</v>
      </c>
      <c r="E89" t="s">
        <v>847</v>
      </c>
      <c r="G89" t="s">
        <v>836</v>
      </c>
      <c r="H89">
        <v>4</v>
      </c>
      <c r="I89" s="1">
        <v>45997.271398010227</v>
      </c>
      <c r="J89" s="1">
        <v>46013.313981756452</v>
      </c>
      <c r="K89" s="1" t="s">
        <v>837</v>
      </c>
    </row>
    <row r="90" spans="1:11">
      <c r="A90" t="s">
        <v>988</v>
      </c>
      <c r="B90" t="s">
        <v>817</v>
      </c>
      <c r="C90" t="s">
        <v>833</v>
      </c>
      <c r="D90" t="s">
        <v>849</v>
      </c>
      <c r="E90" t="s">
        <v>847</v>
      </c>
      <c r="G90" t="s">
        <v>836</v>
      </c>
      <c r="H90">
        <v>4</v>
      </c>
      <c r="I90" s="1">
        <v>45994.368703078362</v>
      </c>
      <c r="J90" s="1">
        <v>46011.849380050226</v>
      </c>
      <c r="K90" s="1" t="s">
        <v>837</v>
      </c>
    </row>
    <row r="91" spans="1:11">
      <c r="A91" t="s">
        <v>989</v>
      </c>
      <c r="B91" t="s">
        <v>817</v>
      </c>
      <c r="C91" t="s">
        <v>833</v>
      </c>
      <c r="D91" t="s">
        <v>990</v>
      </c>
      <c r="E91" t="s">
        <v>866</v>
      </c>
      <c r="G91" t="s">
        <v>844</v>
      </c>
      <c r="H91">
        <v>4</v>
      </c>
      <c r="I91" s="1">
        <v>45940.05802112534</v>
      </c>
      <c r="J91" s="1">
        <v>45967.072537794491</v>
      </c>
      <c r="K91" s="1" t="s">
        <v>837</v>
      </c>
    </row>
    <row r="92" spans="1:11">
      <c r="A92" t="s">
        <v>991</v>
      </c>
      <c r="B92" t="s">
        <v>817</v>
      </c>
      <c r="C92" t="s">
        <v>833</v>
      </c>
      <c r="D92" t="s">
        <v>992</v>
      </c>
      <c r="E92" t="s">
        <v>840</v>
      </c>
      <c r="G92" t="s">
        <v>836</v>
      </c>
      <c r="H92">
        <v>4</v>
      </c>
      <c r="I92" s="1">
        <v>45912.33067729247</v>
      </c>
      <c r="J92" s="1">
        <v>45931.098474928214</v>
      </c>
      <c r="K92" s="1">
        <v>45934.042196228082</v>
      </c>
    </row>
    <row r="93" spans="1:11">
      <c r="A93" t="s">
        <v>993</v>
      </c>
      <c r="B93" t="s">
        <v>817</v>
      </c>
      <c r="C93" t="s">
        <v>853</v>
      </c>
      <c r="D93" t="s">
        <v>994</v>
      </c>
      <c r="E93" t="s">
        <v>835</v>
      </c>
      <c r="G93" t="s">
        <v>836</v>
      </c>
      <c r="H93">
        <v>3</v>
      </c>
      <c r="I93" s="1">
        <v>45972.674344916202</v>
      </c>
      <c r="J93" s="1">
        <v>45995.66485151885</v>
      </c>
      <c r="K93" s="1" t="s">
        <v>837</v>
      </c>
    </row>
    <row r="94" spans="1:11">
      <c r="A94" t="s">
        <v>995</v>
      </c>
      <c r="B94" t="s">
        <v>817</v>
      </c>
      <c r="C94" t="s">
        <v>853</v>
      </c>
      <c r="D94" t="s">
        <v>874</v>
      </c>
      <c r="E94" t="s">
        <v>843</v>
      </c>
      <c r="G94" t="s">
        <v>844</v>
      </c>
      <c r="H94">
        <v>1</v>
      </c>
      <c r="I94" s="1">
        <v>45917.088102599242</v>
      </c>
      <c r="J94" s="1">
        <v>45944.752677384655</v>
      </c>
      <c r="K94" s="1">
        <v>45937.508946816401</v>
      </c>
    </row>
    <row r="95" spans="1:11">
      <c r="A95" t="s">
        <v>996</v>
      </c>
      <c r="B95" t="s">
        <v>817</v>
      </c>
      <c r="C95" t="s">
        <v>853</v>
      </c>
      <c r="D95" t="s">
        <v>877</v>
      </c>
      <c r="E95" t="s">
        <v>835</v>
      </c>
      <c r="G95" t="s">
        <v>836</v>
      </c>
      <c r="H95">
        <v>1</v>
      </c>
      <c r="I95" s="1">
        <v>45949.708309781083</v>
      </c>
      <c r="J95" s="1">
        <v>45976.171842696996</v>
      </c>
      <c r="K95" s="1" t="s">
        <v>837</v>
      </c>
    </row>
    <row r="96" spans="1:11">
      <c r="A96" t="s">
        <v>997</v>
      </c>
      <c r="B96" t="s">
        <v>817</v>
      </c>
      <c r="C96" t="s">
        <v>853</v>
      </c>
      <c r="D96" t="s">
        <v>998</v>
      </c>
      <c r="E96" t="s">
        <v>843</v>
      </c>
      <c r="G96" t="s">
        <v>836</v>
      </c>
      <c r="H96">
        <v>4</v>
      </c>
      <c r="I96" s="1">
        <v>46010.287133808226</v>
      </c>
      <c r="J96" s="1">
        <v>46037.480634195912</v>
      </c>
      <c r="K96" s="1" t="s">
        <v>837</v>
      </c>
    </row>
    <row r="97" spans="1:11">
      <c r="A97" t="s">
        <v>999</v>
      </c>
      <c r="B97" t="s">
        <v>817</v>
      </c>
      <c r="C97" t="s">
        <v>853</v>
      </c>
      <c r="D97" t="s">
        <v>1000</v>
      </c>
      <c r="E97" t="s">
        <v>847</v>
      </c>
      <c r="G97" t="s">
        <v>836</v>
      </c>
      <c r="H97">
        <v>3</v>
      </c>
      <c r="I97" s="1">
        <v>45999.258081380394</v>
      </c>
      <c r="J97" s="1">
        <v>46026.019853257028</v>
      </c>
      <c r="K97" s="1" t="s">
        <v>837</v>
      </c>
    </row>
    <row r="98" spans="1:11">
      <c r="A98" t="s">
        <v>1001</v>
      </c>
      <c r="B98" t="s">
        <v>817</v>
      </c>
      <c r="C98" t="s">
        <v>853</v>
      </c>
      <c r="D98" t="s">
        <v>1002</v>
      </c>
      <c r="E98" t="s">
        <v>847</v>
      </c>
      <c r="G98" t="s">
        <v>836</v>
      </c>
      <c r="H98">
        <v>4</v>
      </c>
      <c r="I98" s="1">
        <v>45920.155085000864</v>
      </c>
      <c r="J98" s="1">
        <v>45942.080608472257</v>
      </c>
      <c r="K98" s="1">
        <v>45948.345118282778</v>
      </c>
    </row>
    <row r="99" spans="1:11">
      <c r="A99" t="s">
        <v>1003</v>
      </c>
      <c r="B99" t="s">
        <v>817</v>
      </c>
      <c r="C99" t="s">
        <v>853</v>
      </c>
      <c r="D99" t="s">
        <v>1004</v>
      </c>
      <c r="E99" t="s">
        <v>835</v>
      </c>
      <c r="G99" t="s">
        <v>836</v>
      </c>
      <c r="H99">
        <v>3</v>
      </c>
      <c r="I99" s="1">
        <v>45999.638013885175</v>
      </c>
      <c r="J99" s="1">
        <v>46023.407995529866</v>
      </c>
      <c r="K99" s="1" t="s">
        <v>837</v>
      </c>
    </row>
    <row r="100" spans="1:11">
      <c r="A100" t="s">
        <v>1005</v>
      </c>
      <c r="B100" t="s">
        <v>817</v>
      </c>
      <c r="C100" t="s">
        <v>853</v>
      </c>
      <c r="D100" t="s">
        <v>1006</v>
      </c>
      <c r="E100" t="s">
        <v>843</v>
      </c>
      <c r="G100" t="s">
        <v>836</v>
      </c>
      <c r="H100">
        <v>2</v>
      </c>
      <c r="I100" s="1">
        <v>45878.837885797409</v>
      </c>
      <c r="J100" s="1">
        <v>45900.451800135837</v>
      </c>
      <c r="K100" s="1">
        <v>45907.606048841219</v>
      </c>
    </row>
    <row r="101" spans="1:11">
      <c r="A101" t="s">
        <v>1007</v>
      </c>
      <c r="B101" t="s">
        <v>817</v>
      </c>
      <c r="C101" t="s">
        <v>853</v>
      </c>
      <c r="D101" t="s">
        <v>1008</v>
      </c>
      <c r="E101" t="s">
        <v>847</v>
      </c>
      <c r="G101" t="s">
        <v>836</v>
      </c>
      <c r="H101">
        <v>4</v>
      </c>
      <c r="I101" s="1">
        <v>45876.689529134259</v>
      </c>
      <c r="J101" s="1">
        <v>45903.555228164376</v>
      </c>
      <c r="K101" s="1">
        <v>45898.360647228845</v>
      </c>
    </row>
    <row r="102" spans="1:11">
      <c r="A102" t="s">
        <v>1009</v>
      </c>
      <c r="B102" t="s">
        <v>817</v>
      </c>
      <c r="C102" t="s">
        <v>853</v>
      </c>
      <c r="D102" t="s">
        <v>1010</v>
      </c>
      <c r="E102" t="s">
        <v>843</v>
      </c>
      <c r="G102" t="s">
        <v>844</v>
      </c>
      <c r="H102">
        <v>4</v>
      </c>
      <c r="I102" s="1">
        <v>46009.496114776266</v>
      </c>
      <c r="J102" s="1">
        <v>46027.947014738536</v>
      </c>
      <c r="K102" s="1" t="s">
        <v>837</v>
      </c>
    </row>
    <row r="103" spans="1:11">
      <c r="A103" t="s">
        <v>1011</v>
      </c>
      <c r="B103" t="s">
        <v>817</v>
      </c>
      <c r="C103" t="s">
        <v>853</v>
      </c>
      <c r="D103" t="s">
        <v>1012</v>
      </c>
      <c r="E103" t="s">
        <v>847</v>
      </c>
      <c r="G103" t="s">
        <v>836</v>
      </c>
      <c r="H103">
        <v>3</v>
      </c>
      <c r="I103" s="1">
        <v>45995.269946257242</v>
      </c>
      <c r="J103" s="1">
        <v>46016.23504261081</v>
      </c>
      <c r="K103" s="1" t="s">
        <v>837</v>
      </c>
    </row>
    <row r="104" spans="1:11">
      <c r="A104" t="s">
        <v>1013</v>
      </c>
      <c r="B104" t="s">
        <v>817</v>
      </c>
      <c r="C104" t="s">
        <v>853</v>
      </c>
      <c r="D104" t="s">
        <v>1014</v>
      </c>
      <c r="E104" t="s">
        <v>835</v>
      </c>
      <c r="G104" t="s">
        <v>836</v>
      </c>
      <c r="H104">
        <v>4</v>
      </c>
      <c r="I104" s="1">
        <v>45890.080985530964</v>
      </c>
      <c r="J104" s="1">
        <v>45911.68315384302</v>
      </c>
      <c r="K104" s="1">
        <v>45907.034418807503</v>
      </c>
    </row>
    <row r="105" spans="1:11">
      <c r="A105" t="s">
        <v>1015</v>
      </c>
      <c r="B105" t="s">
        <v>817</v>
      </c>
      <c r="C105" t="s">
        <v>853</v>
      </c>
      <c r="D105" t="s">
        <v>1016</v>
      </c>
      <c r="E105" t="s">
        <v>835</v>
      </c>
      <c r="G105" t="s">
        <v>836</v>
      </c>
      <c r="H105">
        <v>4</v>
      </c>
      <c r="I105" s="1">
        <v>45930.671047857701</v>
      </c>
      <c r="J105" s="1">
        <v>45949.982052490632</v>
      </c>
      <c r="K105" s="1">
        <v>45951.867530602758</v>
      </c>
    </row>
    <row r="106" spans="1:11">
      <c r="A106" t="s">
        <v>1017</v>
      </c>
      <c r="B106" t="s">
        <v>817</v>
      </c>
      <c r="C106" t="s">
        <v>853</v>
      </c>
      <c r="D106" t="s">
        <v>1018</v>
      </c>
      <c r="E106" t="s">
        <v>835</v>
      </c>
      <c r="G106" t="s">
        <v>836</v>
      </c>
      <c r="H106">
        <v>4</v>
      </c>
      <c r="I106" s="1">
        <v>45913.242006119573</v>
      </c>
      <c r="J106" s="1">
        <v>45938.526606084277</v>
      </c>
      <c r="K106" s="1">
        <v>45948.241391435651</v>
      </c>
    </row>
    <row r="107" spans="1:11">
      <c r="A107" t="s">
        <v>1019</v>
      </c>
      <c r="B107" t="s">
        <v>817</v>
      </c>
      <c r="C107" t="s">
        <v>853</v>
      </c>
      <c r="D107" t="s">
        <v>1020</v>
      </c>
      <c r="E107" t="s">
        <v>843</v>
      </c>
      <c r="G107" t="s">
        <v>836</v>
      </c>
      <c r="H107">
        <v>4</v>
      </c>
      <c r="I107" s="1">
        <v>45999.070257072308</v>
      </c>
      <c r="J107" s="1">
        <v>46021.889029480895</v>
      </c>
      <c r="K107" s="1" t="s">
        <v>837</v>
      </c>
    </row>
    <row r="108" spans="1:11">
      <c r="A108" t="s">
        <v>1021</v>
      </c>
      <c r="B108" t="s">
        <v>817</v>
      </c>
      <c r="C108" t="s">
        <v>853</v>
      </c>
      <c r="D108" t="s">
        <v>1022</v>
      </c>
      <c r="E108" t="s">
        <v>835</v>
      </c>
      <c r="G108" t="s">
        <v>836</v>
      </c>
      <c r="H108">
        <v>4</v>
      </c>
      <c r="I108" s="1">
        <v>46015.754588631564</v>
      </c>
      <c r="J108" s="1">
        <v>46033.383327554788</v>
      </c>
      <c r="K108" s="1" t="s">
        <v>837</v>
      </c>
    </row>
    <row r="109" spans="1:11">
      <c r="A109" t="s">
        <v>1023</v>
      </c>
      <c r="B109" t="s">
        <v>817</v>
      </c>
      <c r="C109" t="s">
        <v>853</v>
      </c>
      <c r="D109" t="s">
        <v>1024</v>
      </c>
      <c r="E109" t="s">
        <v>866</v>
      </c>
      <c r="G109" t="s">
        <v>836</v>
      </c>
      <c r="H109">
        <v>4</v>
      </c>
      <c r="I109" s="1">
        <v>45956.883568925521</v>
      </c>
      <c r="J109" s="1">
        <v>45978.119598785488</v>
      </c>
      <c r="K109" s="1" t="s">
        <v>837</v>
      </c>
    </row>
    <row r="110" spans="1:11">
      <c r="A110" t="s">
        <v>1025</v>
      </c>
      <c r="B110" t="s">
        <v>817</v>
      </c>
      <c r="C110" t="s">
        <v>853</v>
      </c>
      <c r="D110" t="s">
        <v>1026</v>
      </c>
      <c r="E110" t="s">
        <v>840</v>
      </c>
      <c r="G110" t="s">
        <v>836</v>
      </c>
      <c r="H110">
        <v>4</v>
      </c>
      <c r="I110" s="1">
        <v>45844.599061314337</v>
      </c>
      <c r="J110" s="1">
        <v>45874.45207417135</v>
      </c>
      <c r="K110" s="1">
        <v>45873.239063202142</v>
      </c>
    </row>
    <row r="111" spans="1:11">
      <c r="A111" t="s">
        <v>1027</v>
      </c>
      <c r="B111" t="s">
        <v>817</v>
      </c>
      <c r="C111" t="s">
        <v>853</v>
      </c>
      <c r="D111" t="s">
        <v>858</v>
      </c>
      <c r="E111" t="s">
        <v>835</v>
      </c>
      <c r="G111" t="s">
        <v>836</v>
      </c>
      <c r="H111">
        <v>1</v>
      </c>
      <c r="I111" s="1">
        <v>45839.041079074792</v>
      </c>
      <c r="J111" s="1">
        <v>45857.535718210085</v>
      </c>
      <c r="K111" s="1">
        <v>45848.202504031397</v>
      </c>
    </row>
    <row r="112" spans="1:11">
      <c r="A112" t="s">
        <v>1028</v>
      </c>
      <c r="B112" t="s">
        <v>817</v>
      </c>
      <c r="C112" t="s">
        <v>853</v>
      </c>
      <c r="D112" t="s">
        <v>1029</v>
      </c>
      <c r="E112" t="s">
        <v>866</v>
      </c>
      <c r="G112" t="s">
        <v>836</v>
      </c>
      <c r="H112">
        <v>1</v>
      </c>
      <c r="I112" s="1">
        <v>45871.05209535532</v>
      </c>
      <c r="J112" s="1">
        <v>45899.366606201496</v>
      </c>
      <c r="K112" s="1">
        <v>45895.052948453093</v>
      </c>
    </row>
    <row r="113" spans="1:11">
      <c r="A113" t="s">
        <v>1030</v>
      </c>
      <c r="B113" t="s">
        <v>817</v>
      </c>
      <c r="C113" t="s">
        <v>853</v>
      </c>
      <c r="D113" t="s">
        <v>1031</v>
      </c>
      <c r="E113" t="s">
        <v>847</v>
      </c>
      <c r="G113" t="s">
        <v>836</v>
      </c>
      <c r="H113">
        <v>2</v>
      </c>
      <c r="I113" s="1">
        <v>45987.910004185935</v>
      </c>
      <c r="J113" s="1">
        <v>46005.7533113221</v>
      </c>
      <c r="K113" s="1" t="s">
        <v>837</v>
      </c>
    </row>
    <row r="114" spans="1:11">
      <c r="A114" t="s">
        <v>1032</v>
      </c>
      <c r="B114" t="s">
        <v>817</v>
      </c>
      <c r="C114" t="s">
        <v>853</v>
      </c>
      <c r="D114" t="s">
        <v>1033</v>
      </c>
      <c r="E114" t="s">
        <v>866</v>
      </c>
      <c r="G114" t="s">
        <v>844</v>
      </c>
      <c r="H114">
        <v>4</v>
      </c>
      <c r="I114" s="1">
        <v>45886.688247554499</v>
      </c>
      <c r="J114" s="1">
        <v>45916.679411802594</v>
      </c>
      <c r="K114" s="1">
        <v>45924.956582632643</v>
      </c>
    </row>
    <row r="115" spans="1:11">
      <c r="A115" t="s">
        <v>1034</v>
      </c>
      <c r="B115" t="s">
        <v>817</v>
      </c>
      <c r="C115" t="s">
        <v>853</v>
      </c>
      <c r="D115" t="s">
        <v>1035</v>
      </c>
      <c r="E115" t="s">
        <v>866</v>
      </c>
      <c r="G115" t="s">
        <v>836</v>
      </c>
      <c r="H115">
        <v>4</v>
      </c>
      <c r="I115" s="1">
        <v>45845.846427881232</v>
      </c>
      <c r="J115" s="1">
        <v>45871.768078978923</v>
      </c>
      <c r="K115" s="1">
        <v>45875.221090446685</v>
      </c>
    </row>
    <row r="116" spans="1:11">
      <c r="A116" t="s">
        <v>1036</v>
      </c>
      <c r="B116" t="s">
        <v>817</v>
      </c>
      <c r="C116" t="s">
        <v>853</v>
      </c>
      <c r="D116" t="s">
        <v>1037</v>
      </c>
      <c r="E116" t="s">
        <v>843</v>
      </c>
      <c r="G116" t="s">
        <v>836</v>
      </c>
      <c r="H116">
        <v>4</v>
      </c>
      <c r="I116" s="1">
        <v>45925.115896156007</v>
      </c>
      <c r="J116" s="1">
        <v>45942.881579808447</v>
      </c>
      <c r="K116" s="1">
        <v>45940.427126503928</v>
      </c>
    </row>
    <row r="117" spans="1:11">
      <c r="A117" t="s">
        <v>1038</v>
      </c>
      <c r="B117" t="s">
        <v>817</v>
      </c>
      <c r="C117" t="s">
        <v>853</v>
      </c>
      <c r="D117" t="s">
        <v>1039</v>
      </c>
      <c r="E117" t="s">
        <v>840</v>
      </c>
      <c r="G117" t="s">
        <v>836</v>
      </c>
      <c r="H117">
        <v>2</v>
      </c>
      <c r="I117" s="1">
        <v>45945.041390500643</v>
      </c>
      <c r="J117" s="1">
        <v>45968.071332787113</v>
      </c>
      <c r="K117" s="1" t="s">
        <v>837</v>
      </c>
    </row>
    <row r="118" spans="1:11">
      <c r="A118" t="s">
        <v>1040</v>
      </c>
      <c r="B118" t="s">
        <v>817</v>
      </c>
      <c r="C118" t="s">
        <v>853</v>
      </c>
      <c r="D118" t="s">
        <v>1041</v>
      </c>
      <c r="E118" t="s">
        <v>840</v>
      </c>
      <c r="G118" t="s">
        <v>836</v>
      </c>
      <c r="H118">
        <v>1</v>
      </c>
      <c r="I118" s="1">
        <v>45903.890327780704</v>
      </c>
      <c r="J118" s="1">
        <v>45921.754649128634</v>
      </c>
      <c r="K118" s="1">
        <v>45924.164223800835</v>
      </c>
    </row>
    <row r="119" spans="1:11">
      <c r="A119" t="s">
        <v>1042</v>
      </c>
      <c r="B119" t="s">
        <v>817</v>
      </c>
      <c r="C119" t="s">
        <v>853</v>
      </c>
      <c r="D119" t="s">
        <v>1043</v>
      </c>
      <c r="E119" t="s">
        <v>840</v>
      </c>
      <c r="G119" t="s">
        <v>844</v>
      </c>
      <c r="H119">
        <v>1</v>
      </c>
      <c r="I119" s="1">
        <v>45849.923740900544</v>
      </c>
      <c r="J119" s="1">
        <v>45869.976344390525</v>
      </c>
      <c r="K119" s="1">
        <v>45879.255435448191</v>
      </c>
    </row>
    <row r="120" spans="1:11">
      <c r="A120" t="s">
        <v>1044</v>
      </c>
      <c r="B120" t="s">
        <v>817</v>
      </c>
      <c r="C120" t="s">
        <v>853</v>
      </c>
      <c r="D120" t="s">
        <v>1045</v>
      </c>
      <c r="E120" t="s">
        <v>835</v>
      </c>
      <c r="G120" t="s">
        <v>836</v>
      </c>
      <c r="H120">
        <v>4</v>
      </c>
      <c r="I120" s="1">
        <v>45923.510821715419</v>
      </c>
      <c r="J120" s="1">
        <v>45943.926618734775</v>
      </c>
      <c r="K120" s="1">
        <v>45943.0551820451</v>
      </c>
    </row>
    <row r="121" spans="1:11">
      <c r="A121" t="s">
        <v>1046</v>
      </c>
      <c r="B121" t="s">
        <v>817</v>
      </c>
      <c r="C121" t="s">
        <v>853</v>
      </c>
      <c r="D121" t="s">
        <v>938</v>
      </c>
      <c r="E121" t="s">
        <v>847</v>
      </c>
      <c r="G121" t="s">
        <v>836</v>
      </c>
      <c r="H121">
        <v>3</v>
      </c>
      <c r="I121" s="1">
        <v>45984.31126159717</v>
      </c>
      <c r="J121" s="1">
        <v>46000.494024643216</v>
      </c>
      <c r="K121" s="1" t="s">
        <v>837</v>
      </c>
    </row>
    <row r="122" spans="1:11">
      <c r="A122" t="s">
        <v>1047</v>
      </c>
      <c r="B122" t="s">
        <v>817</v>
      </c>
      <c r="C122" t="s">
        <v>853</v>
      </c>
      <c r="D122" t="s">
        <v>1048</v>
      </c>
      <c r="E122" t="s">
        <v>840</v>
      </c>
      <c r="G122" t="s">
        <v>836</v>
      </c>
      <c r="H122">
        <v>2</v>
      </c>
      <c r="I122" s="1">
        <v>45880.452021866578</v>
      </c>
      <c r="J122" s="1">
        <v>45902.968999488687</v>
      </c>
      <c r="K122" s="1">
        <v>45905.804278616088</v>
      </c>
    </row>
    <row r="123" spans="1:11">
      <c r="A123" t="s">
        <v>1049</v>
      </c>
      <c r="B123" t="s">
        <v>817</v>
      </c>
      <c r="C123" t="s">
        <v>862</v>
      </c>
      <c r="D123" t="s">
        <v>1050</v>
      </c>
      <c r="E123" t="s">
        <v>847</v>
      </c>
      <c r="G123" t="s">
        <v>836</v>
      </c>
      <c r="H123">
        <v>4</v>
      </c>
      <c r="I123" s="1">
        <v>45903.863140731315</v>
      </c>
      <c r="J123" s="1">
        <v>45926.447934697098</v>
      </c>
      <c r="K123" s="1">
        <v>45926.101631345467</v>
      </c>
    </row>
    <row r="124" spans="1:11">
      <c r="A124" t="s">
        <v>1051</v>
      </c>
      <c r="B124" t="s">
        <v>817</v>
      </c>
      <c r="C124" t="s">
        <v>862</v>
      </c>
      <c r="D124" t="s">
        <v>865</v>
      </c>
      <c r="E124" t="s">
        <v>847</v>
      </c>
      <c r="G124" t="s">
        <v>836</v>
      </c>
      <c r="H124">
        <v>2</v>
      </c>
      <c r="I124" s="1">
        <v>45846.079962606636</v>
      </c>
      <c r="J124" s="1">
        <v>45870.1141642191</v>
      </c>
      <c r="K124" s="1">
        <v>45879.579627347674</v>
      </c>
    </row>
    <row r="125" spans="1:11">
      <c r="A125" t="s">
        <v>1052</v>
      </c>
      <c r="B125" t="s">
        <v>817</v>
      </c>
      <c r="C125" t="s">
        <v>862</v>
      </c>
      <c r="D125" t="s">
        <v>943</v>
      </c>
      <c r="E125" t="s">
        <v>847</v>
      </c>
      <c r="G125" t="s">
        <v>836</v>
      </c>
      <c r="H125">
        <v>4</v>
      </c>
      <c r="I125" s="1">
        <v>45963.270145393632</v>
      </c>
      <c r="J125" s="1">
        <v>45991.963026886115</v>
      </c>
      <c r="K125" s="1" t="s">
        <v>837</v>
      </c>
    </row>
    <row r="126" spans="1:11">
      <c r="A126" t="s">
        <v>1053</v>
      </c>
      <c r="B126" t="s">
        <v>817</v>
      </c>
      <c r="C126" t="s">
        <v>862</v>
      </c>
      <c r="D126" t="s">
        <v>1054</v>
      </c>
      <c r="E126" t="s">
        <v>835</v>
      </c>
      <c r="G126" t="s">
        <v>836</v>
      </c>
      <c r="H126">
        <v>4</v>
      </c>
      <c r="I126" s="1">
        <v>45951.910031864638</v>
      </c>
      <c r="J126" s="1">
        <v>45971.52547565689</v>
      </c>
      <c r="K126" s="1" t="s">
        <v>837</v>
      </c>
    </row>
    <row r="127" spans="1:11">
      <c r="A127" t="s">
        <v>1055</v>
      </c>
      <c r="B127" t="s">
        <v>817</v>
      </c>
      <c r="C127" t="s">
        <v>862</v>
      </c>
      <c r="D127" t="s">
        <v>868</v>
      </c>
      <c r="E127" t="s">
        <v>843</v>
      </c>
      <c r="G127" t="s">
        <v>836</v>
      </c>
      <c r="H127">
        <v>4</v>
      </c>
      <c r="I127" s="1">
        <v>45910.32660667818</v>
      </c>
      <c r="J127" s="1">
        <v>45931.321049617407</v>
      </c>
      <c r="K127" s="1">
        <v>45921.505655197572</v>
      </c>
    </row>
    <row r="128" spans="1:11">
      <c r="A128" t="s">
        <v>1056</v>
      </c>
      <c r="B128" t="s">
        <v>817</v>
      </c>
      <c r="C128" t="s">
        <v>862</v>
      </c>
      <c r="D128" t="s">
        <v>1057</v>
      </c>
      <c r="E128" t="s">
        <v>835</v>
      </c>
      <c r="G128" t="s">
        <v>844</v>
      </c>
      <c r="H128">
        <v>4</v>
      </c>
      <c r="I128" s="1">
        <v>45946.616979338309</v>
      </c>
      <c r="J128" s="1">
        <v>45961.74075591773</v>
      </c>
      <c r="K128" s="1">
        <v>45971.683609956948</v>
      </c>
    </row>
    <row r="129" spans="1:11">
      <c r="A129" t="s">
        <v>1058</v>
      </c>
      <c r="B129" t="s">
        <v>817</v>
      </c>
      <c r="C129" t="s">
        <v>862</v>
      </c>
      <c r="D129" t="s">
        <v>1059</v>
      </c>
      <c r="E129" t="s">
        <v>866</v>
      </c>
      <c r="G129" t="s">
        <v>844</v>
      </c>
      <c r="H129">
        <v>4</v>
      </c>
      <c r="I129" s="1">
        <v>45840.276062626181</v>
      </c>
      <c r="J129" s="1">
        <v>45858.97144297295</v>
      </c>
      <c r="K129" s="1">
        <v>45856.8456598841</v>
      </c>
    </row>
    <row r="130" spans="1:11">
      <c r="A130" t="s">
        <v>1060</v>
      </c>
      <c r="B130" t="s">
        <v>817</v>
      </c>
      <c r="C130" t="s">
        <v>862</v>
      </c>
      <c r="D130" t="s">
        <v>1061</v>
      </c>
      <c r="E130" t="s">
        <v>847</v>
      </c>
      <c r="G130" t="s">
        <v>836</v>
      </c>
      <c r="H130">
        <v>2</v>
      </c>
      <c r="I130" s="1">
        <v>45976.356852963931</v>
      </c>
      <c r="J130" s="1">
        <v>45995.36657536617</v>
      </c>
      <c r="K130" s="1" t="s">
        <v>837</v>
      </c>
    </row>
    <row r="131" spans="1:11">
      <c r="A131" t="s">
        <v>1062</v>
      </c>
      <c r="B131" t="s">
        <v>817</v>
      </c>
      <c r="C131" t="s">
        <v>862</v>
      </c>
      <c r="D131" t="s">
        <v>1063</v>
      </c>
      <c r="E131" t="s">
        <v>843</v>
      </c>
      <c r="G131" t="s">
        <v>836</v>
      </c>
      <c r="H131">
        <v>4</v>
      </c>
      <c r="I131" s="1">
        <v>45996.918169902281</v>
      </c>
      <c r="J131" s="1">
        <v>46025.833723273907</v>
      </c>
      <c r="K131" s="1" t="s">
        <v>837</v>
      </c>
    </row>
    <row r="132" spans="1:11">
      <c r="A132" t="s">
        <v>1064</v>
      </c>
      <c r="B132" t="s">
        <v>817</v>
      </c>
      <c r="C132" t="s">
        <v>862</v>
      </c>
      <c r="D132" t="s">
        <v>1065</v>
      </c>
      <c r="E132" t="s">
        <v>847</v>
      </c>
      <c r="G132" t="s">
        <v>836</v>
      </c>
      <c r="H132">
        <v>4</v>
      </c>
      <c r="I132" s="1">
        <v>46011.27444952738</v>
      </c>
      <c r="J132" s="1">
        <v>46033.061499356409</v>
      </c>
      <c r="K132" s="1" t="s">
        <v>837</v>
      </c>
    </row>
    <row r="133" spans="1:11">
      <c r="A133" t="s">
        <v>1066</v>
      </c>
      <c r="B133" t="s">
        <v>817</v>
      </c>
      <c r="C133" t="s">
        <v>862</v>
      </c>
      <c r="D133" t="s">
        <v>870</v>
      </c>
      <c r="E133" t="s">
        <v>840</v>
      </c>
      <c r="G133" t="s">
        <v>844</v>
      </c>
      <c r="H133">
        <v>3</v>
      </c>
      <c r="I133" s="1">
        <v>46003.911508854319</v>
      </c>
      <c r="J133" s="1">
        <v>46023.536734538815</v>
      </c>
      <c r="K133" s="1" t="s">
        <v>837</v>
      </c>
    </row>
    <row r="134" spans="1:11">
      <c r="A134" t="s">
        <v>1067</v>
      </c>
      <c r="B134" t="s">
        <v>817</v>
      </c>
      <c r="C134" t="s">
        <v>862</v>
      </c>
      <c r="D134" t="s">
        <v>923</v>
      </c>
      <c r="E134" t="s">
        <v>835</v>
      </c>
      <c r="G134" t="s">
        <v>836</v>
      </c>
      <c r="H134">
        <v>4</v>
      </c>
      <c r="I134" s="1">
        <v>45988.844526330206</v>
      </c>
      <c r="J134" s="1">
        <v>46005.666842133585</v>
      </c>
      <c r="K134" s="1" t="s">
        <v>837</v>
      </c>
    </row>
    <row r="135" spans="1:11">
      <c r="A135" t="s">
        <v>1068</v>
      </c>
      <c r="B135" t="s">
        <v>817</v>
      </c>
      <c r="C135" t="s">
        <v>862</v>
      </c>
      <c r="D135" t="s">
        <v>1069</v>
      </c>
      <c r="E135" t="s">
        <v>840</v>
      </c>
      <c r="G135" t="s">
        <v>836</v>
      </c>
      <c r="H135">
        <v>4</v>
      </c>
      <c r="I135" s="1">
        <v>45911.536509377882</v>
      </c>
      <c r="J135" s="1">
        <v>45927.222799791831</v>
      </c>
      <c r="K135" s="1">
        <v>45931.691511328274</v>
      </c>
    </row>
    <row r="136" spans="1:11">
      <c r="A136" t="s">
        <v>1070</v>
      </c>
      <c r="B136" t="s">
        <v>817</v>
      </c>
      <c r="C136" t="s">
        <v>862</v>
      </c>
      <c r="D136" t="s">
        <v>1071</v>
      </c>
      <c r="E136" t="s">
        <v>840</v>
      </c>
      <c r="G136" t="s">
        <v>836</v>
      </c>
      <c r="H136">
        <v>4</v>
      </c>
      <c r="I136" s="1">
        <v>46020.988284030755</v>
      </c>
      <c r="J136" s="1">
        <v>46042.424475738051</v>
      </c>
      <c r="K136" s="1" t="s">
        <v>837</v>
      </c>
    </row>
    <row r="137" spans="1:11">
      <c r="A137" t="s">
        <v>1072</v>
      </c>
      <c r="B137" t="s">
        <v>817</v>
      </c>
      <c r="C137" t="s">
        <v>862</v>
      </c>
      <c r="D137" t="s">
        <v>1073</v>
      </c>
      <c r="E137" t="s">
        <v>840</v>
      </c>
      <c r="G137" t="s">
        <v>836</v>
      </c>
      <c r="H137">
        <v>4</v>
      </c>
      <c r="I137" s="1">
        <v>45928.025589675621</v>
      </c>
      <c r="J137" s="1">
        <v>45943.494279782681</v>
      </c>
      <c r="K137" s="1">
        <v>45944.252205247649</v>
      </c>
    </row>
    <row r="138" spans="1:11">
      <c r="A138" t="s">
        <v>1074</v>
      </c>
      <c r="B138" t="s">
        <v>817</v>
      </c>
      <c r="C138" t="s">
        <v>862</v>
      </c>
      <c r="D138" t="s">
        <v>1075</v>
      </c>
      <c r="E138" t="s">
        <v>840</v>
      </c>
      <c r="G138" t="s">
        <v>836</v>
      </c>
      <c r="H138">
        <v>2</v>
      </c>
      <c r="I138" s="1">
        <v>45887.89709831644</v>
      </c>
      <c r="J138" s="1">
        <v>45911.865644689031</v>
      </c>
      <c r="K138" s="1">
        <v>45904.80373721342</v>
      </c>
    </row>
    <row r="139" spans="1:11">
      <c r="A139" t="s">
        <v>1076</v>
      </c>
      <c r="B139" t="s">
        <v>817</v>
      </c>
      <c r="C139" t="s">
        <v>862</v>
      </c>
      <c r="D139" t="s">
        <v>1077</v>
      </c>
      <c r="E139" t="s">
        <v>843</v>
      </c>
      <c r="G139" t="s">
        <v>844</v>
      </c>
      <c r="H139">
        <v>3</v>
      </c>
      <c r="I139" s="1">
        <v>45912.307277472064</v>
      </c>
      <c r="J139" s="1">
        <v>45927.558753912919</v>
      </c>
      <c r="K139" s="1">
        <v>45935.503526889916</v>
      </c>
    </row>
    <row r="140" spans="1:11">
      <c r="A140" t="s">
        <v>1078</v>
      </c>
      <c r="B140" t="s">
        <v>817</v>
      </c>
      <c r="C140" t="s">
        <v>862</v>
      </c>
      <c r="D140" t="s">
        <v>1079</v>
      </c>
      <c r="E140" t="s">
        <v>835</v>
      </c>
      <c r="G140" t="s">
        <v>836</v>
      </c>
      <c r="H140">
        <v>3</v>
      </c>
      <c r="I140" s="1">
        <v>45885.987078824408</v>
      </c>
      <c r="J140" s="1">
        <v>45908.466716924529</v>
      </c>
      <c r="K140" s="1">
        <v>45911.491706766137</v>
      </c>
    </row>
    <row r="141" spans="1:11">
      <c r="A141" t="s">
        <v>1080</v>
      </c>
      <c r="B141" t="s">
        <v>817</v>
      </c>
      <c r="C141" t="s">
        <v>862</v>
      </c>
      <c r="D141" t="s">
        <v>1081</v>
      </c>
      <c r="E141" t="s">
        <v>840</v>
      </c>
      <c r="G141" t="s">
        <v>836</v>
      </c>
      <c r="H141">
        <v>4</v>
      </c>
      <c r="I141" s="1">
        <v>45952.837106277701</v>
      </c>
      <c r="J141" s="1">
        <v>45982.69333708263</v>
      </c>
      <c r="K141" s="1" t="s">
        <v>837</v>
      </c>
    </row>
    <row r="142" spans="1:11">
      <c r="A142" t="s">
        <v>1082</v>
      </c>
      <c r="B142" t="s">
        <v>817</v>
      </c>
      <c r="C142" t="s">
        <v>862</v>
      </c>
      <c r="D142" t="s">
        <v>1083</v>
      </c>
      <c r="E142" t="s">
        <v>843</v>
      </c>
      <c r="G142" t="s">
        <v>836</v>
      </c>
      <c r="H142">
        <v>4</v>
      </c>
      <c r="I142" s="1">
        <v>45931.361593227477</v>
      </c>
      <c r="J142" s="1">
        <v>45954.468172445966</v>
      </c>
      <c r="K142" s="1">
        <v>45952.863642705386</v>
      </c>
    </row>
    <row r="143" spans="1:11">
      <c r="A143" t="s">
        <v>1084</v>
      </c>
      <c r="B143" t="s">
        <v>817</v>
      </c>
      <c r="C143" t="s">
        <v>862</v>
      </c>
      <c r="D143" t="s">
        <v>1085</v>
      </c>
      <c r="E143" t="s">
        <v>835</v>
      </c>
      <c r="G143" t="s">
        <v>836</v>
      </c>
      <c r="H143">
        <v>4</v>
      </c>
      <c r="I143" s="1">
        <v>45943.933065150566</v>
      </c>
      <c r="J143" s="1">
        <v>45971.892600408464</v>
      </c>
      <c r="K143" s="1" t="s">
        <v>837</v>
      </c>
    </row>
    <row r="144" spans="1:11">
      <c r="A144" t="s">
        <v>1086</v>
      </c>
      <c r="B144" t="s">
        <v>817</v>
      </c>
      <c r="C144" t="s">
        <v>862</v>
      </c>
      <c r="D144" t="s">
        <v>1087</v>
      </c>
      <c r="E144" t="s">
        <v>840</v>
      </c>
      <c r="G144" t="s">
        <v>836</v>
      </c>
      <c r="H144">
        <v>4</v>
      </c>
      <c r="I144" s="1">
        <v>45883.94658980985</v>
      </c>
      <c r="J144" s="1">
        <v>45911.810731238373</v>
      </c>
      <c r="K144" s="1">
        <v>45904.524652311899</v>
      </c>
    </row>
    <row r="145" spans="1:11">
      <c r="A145" t="s">
        <v>1088</v>
      </c>
      <c r="B145" t="s">
        <v>817</v>
      </c>
      <c r="C145" t="s">
        <v>862</v>
      </c>
      <c r="D145" t="s">
        <v>1089</v>
      </c>
      <c r="E145" t="s">
        <v>835</v>
      </c>
      <c r="G145" t="s">
        <v>836</v>
      </c>
      <c r="H145">
        <v>4</v>
      </c>
      <c r="I145" s="1">
        <v>45973.370903120842</v>
      </c>
      <c r="J145" s="1">
        <v>46000.51837297254</v>
      </c>
      <c r="K145" s="1" t="s">
        <v>837</v>
      </c>
    </row>
    <row r="146" spans="1:11">
      <c r="A146" t="s">
        <v>1090</v>
      </c>
      <c r="B146" t="s">
        <v>817</v>
      </c>
      <c r="C146" t="s">
        <v>862</v>
      </c>
      <c r="D146" t="s">
        <v>1091</v>
      </c>
      <c r="E146" t="s">
        <v>840</v>
      </c>
      <c r="G146" t="s">
        <v>836</v>
      </c>
      <c r="H146">
        <v>4</v>
      </c>
      <c r="I146" s="1">
        <v>45960.164004615755</v>
      </c>
      <c r="J146" s="1">
        <v>45983.694354687505</v>
      </c>
      <c r="K146" s="1" t="s">
        <v>837</v>
      </c>
    </row>
    <row r="147" spans="1:11">
      <c r="A147" t="s">
        <v>1092</v>
      </c>
      <c r="B147" t="s">
        <v>817</v>
      </c>
      <c r="C147" t="s">
        <v>862</v>
      </c>
      <c r="D147" t="s">
        <v>901</v>
      </c>
      <c r="E147" t="s">
        <v>866</v>
      </c>
      <c r="G147" t="s">
        <v>844</v>
      </c>
      <c r="H147">
        <v>3</v>
      </c>
      <c r="I147" s="1">
        <v>46009.397785300906</v>
      </c>
      <c r="J147" s="1">
        <v>46024.516176919184</v>
      </c>
      <c r="K147" s="1" t="s">
        <v>837</v>
      </c>
    </row>
    <row r="148" spans="1:11">
      <c r="A148" t="s">
        <v>1093</v>
      </c>
      <c r="B148" t="s">
        <v>819</v>
      </c>
      <c r="C148" t="s">
        <v>833</v>
      </c>
      <c r="D148" t="s">
        <v>834</v>
      </c>
      <c r="E148" t="s">
        <v>840</v>
      </c>
      <c r="G148" t="s">
        <v>836</v>
      </c>
      <c r="H148">
        <v>1</v>
      </c>
      <c r="I148" s="1">
        <v>45889.918698064816</v>
      </c>
      <c r="J148" s="1">
        <v>45906.856576505787</v>
      </c>
      <c r="K148" s="1">
        <v>45899.154118420884</v>
      </c>
    </row>
    <row r="149" spans="1:11">
      <c r="A149" t="s">
        <v>1094</v>
      </c>
      <c r="B149" t="s">
        <v>819</v>
      </c>
      <c r="C149" t="s">
        <v>833</v>
      </c>
      <c r="D149" t="s">
        <v>904</v>
      </c>
      <c r="E149" t="s">
        <v>866</v>
      </c>
      <c r="G149" t="s">
        <v>836</v>
      </c>
      <c r="H149">
        <v>4</v>
      </c>
      <c r="I149" s="1">
        <v>45975.679800825485</v>
      </c>
      <c r="J149" s="1">
        <v>45991.260078682062</v>
      </c>
      <c r="K149" s="1" t="s">
        <v>837</v>
      </c>
    </row>
    <row r="150" spans="1:11">
      <c r="A150" t="s">
        <v>1095</v>
      </c>
      <c r="B150" t="s">
        <v>819</v>
      </c>
      <c r="C150" t="s">
        <v>833</v>
      </c>
      <c r="D150" t="s">
        <v>947</v>
      </c>
      <c r="E150" t="s">
        <v>843</v>
      </c>
      <c r="G150" t="s">
        <v>836</v>
      </c>
      <c r="H150">
        <v>4</v>
      </c>
      <c r="I150" s="1">
        <v>45990.279311807906</v>
      </c>
      <c r="J150" s="1">
        <v>46019.200439283435</v>
      </c>
      <c r="K150" s="1" t="s">
        <v>837</v>
      </c>
    </row>
    <row r="151" spans="1:11">
      <c r="A151" t="s">
        <v>1096</v>
      </c>
      <c r="B151" t="s">
        <v>819</v>
      </c>
      <c r="C151" t="s">
        <v>833</v>
      </c>
      <c r="D151" t="s">
        <v>1097</v>
      </c>
      <c r="E151" t="s">
        <v>847</v>
      </c>
      <c r="G151" t="s">
        <v>836</v>
      </c>
      <c r="H151">
        <v>4</v>
      </c>
      <c r="I151" s="1">
        <v>45846.519358949728</v>
      </c>
      <c r="J151" s="1">
        <v>45867.438133977535</v>
      </c>
      <c r="K151" s="1">
        <v>45863.28416535721</v>
      </c>
    </row>
    <row r="152" spans="1:11">
      <c r="A152" t="s">
        <v>1098</v>
      </c>
      <c r="B152" t="s">
        <v>819</v>
      </c>
      <c r="C152" t="s">
        <v>833</v>
      </c>
      <c r="D152" t="s">
        <v>1099</v>
      </c>
      <c r="E152" t="s">
        <v>847</v>
      </c>
      <c r="G152" t="s">
        <v>836</v>
      </c>
      <c r="H152">
        <v>4</v>
      </c>
      <c r="I152" s="1">
        <v>45881.293370842344</v>
      </c>
      <c r="J152" s="1">
        <v>45907.230440432846</v>
      </c>
      <c r="K152" s="1">
        <v>45908.575893572532</v>
      </c>
    </row>
    <row r="153" spans="1:11">
      <c r="A153" t="s">
        <v>1100</v>
      </c>
      <c r="B153" t="s">
        <v>819</v>
      </c>
      <c r="C153" t="s">
        <v>833</v>
      </c>
      <c r="D153" t="s">
        <v>926</v>
      </c>
      <c r="E153" t="s">
        <v>843</v>
      </c>
      <c r="G153" t="s">
        <v>836</v>
      </c>
      <c r="H153">
        <v>4</v>
      </c>
      <c r="I153" s="1">
        <v>45959.452979410133</v>
      </c>
      <c r="J153" s="1">
        <v>45977.593678784215</v>
      </c>
      <c r="K153" s="1" t="s">
        <v>837</v>
      </c>
    </row>
    <row r="154" spans="1:11">
      <c r="A154" t="s">
        <v>1101</v>
      </c>
      <c r="B154" t="s">
        <v>819</v>
      </c>
      <c r="C154" t="s">
        <v>833</v>
      </c>
      <c r="D154" t="s">
        <v>908</v>
      </c>
      <c r="E154" t="s">
        <v>843</v>
      </c>
      <c r="G154" t="s">
        <v>836</v>
      </c>
      <c r="H154">
        <v>3</v>
      </c>
      <c r="I154" s="1">
        <v>46001.965363775111</v>
      </c>
      <c r="J154" s="1">
        <v>46019.353559444717</v>
      </c>
      <c r="K154" s="1" t="s">
        <v>837</v>
      </c>
    </row>
    <row r="155" spans="1:11">
      <c r="A155" t="s">
        <v>1102</v>
      </c>
      <c r="B155" t="s">
        <v>819</v>
      </c>
      <c r="C155" t="s">
        <v>833</v>
      </c>
      <c r="D155" t="s">
        <v>953</v>
      </c>
      <c r="E155" t="s">
        <v>866</v>
      </c>
      <c r="G155" t="s">
        <v>836</v>
      </c>
      <c r="H155">
        <v>4</v>
      </c>
      <c r="I155" s="1">
        <v>45999.372730061405</v>
      </c>
      <c r="J155" s="1">
        <v>46018.882660307594</v>
      </c>
      <c r="K155" s="1" t="s">
        <v>837</v>
      </c>
    </row>
    <row r="156" spans="1:11">
      <c r="A156" t="s">
        <v>1103</v>
      </c>
      <c r="B156" t="s">
        <v>819</v>
      </c>
      <c r="C156" t="s">
        <v>833</v>
      </c>
      <c r="D156" t="s">
        <v>1104</v>
      </c>
      <c r="E156" t="s">
        <v>866</v>
      </c>
      <c r="G156" t="s">
        <v>836</v>
      </c>
      <c r="H156">
        <v>4</v>
      </c>
      <c r="I156" s="1">
        <v>45962.968338182982</v>
      </c>
      <c r="J156" s="1">
        <v>45986.709047514014</v>
      </c>
      <c r="K156" s="1" t="s">
        <v>837</v>
      </c>
    </row>
    <row r="157" spans="1:11">
      <c r="A157" t="s">
        <v>1105</v>
      </c>
      <c r="B157" t="s">
        <v>819</v>
      </c>
      <c r="C157" t="s">
        <v>833</v>
      </c>
      <c r="D157" t="s">
        <v>955</v>
      </c>
      <c r="E157" t="s">
        <v>835</v>
      </c>
      <c r="G157" t="s">
        <v>836</v>
      </c>
      <c r="H157">
        <v>3</v>
      </c>
      <c r="I157" s="1">
        <v>45855.447972798851</v>
      </c>
      <c r="J157" s="1">
        <v>45881.650639011277</v>
      </c>
      <c r="K157" s="1">
        <v>45871.881633208293</v>
      </c>
    </row>
    <row r="158" spans="1:11">
      <c r="A158" t="s">
        <v>1106</v>
      </c>
      <c r="B158" t="s">
        <v>819</v>
      </c>
      <c r="C158" t="s">
        <v>833</v>
      </c>
      <c r="D158" t="s">
        <v>957</v>
      </c>
      <c r="E158" t="s">
        <v>847</v>
      </c>
      <c r="G158" t="s">
        <v>836</v>
      </c>
      <c r="H158">
        <v>4</v>
      </c>
      <c r="I158" s="1">
        <v>45878.595158948403</v>
      </c>
      <c r="J158" s="1">
        <v>45900.397115632419</v>
      </c>
      <c r="K158" s="1">
        <v>45899.014919192559</v>
      </c>
    </row>
    <row r="159" spans="1:11">
      <c r="A159" t="s">
        <v>1107</v>
      </c>
      <c r="B159" t="s">
        <v>819</v>
      </c>
      <c r="C159" t="s">
        <v>833</v>
      </c>
      <c r="D159" t="s">
        <v>1108</v>
      </c>
      <c r="E159" t="s">
        <v>843</v>
      </c>
      <c r="G159" t="s">
        <v>836</v>
      </c>
      <c r="H159">
        <v>4</v>
      </c>
      <c r="I159" s="1">
        <v>45951.876131118421</v>
      </c>
      <c r="J159" s="1">
        <v>45969.577669612394</v>
      </c>
      <c r="K159" s="1" t="s">
        <v>837</v>
      </c>
    </row>
    <row r="160" spans="1:11">
      <c r="A160" t="s">
        <v>1109</v>
      </c>
      <c r="B160" t="s">
        <v>819</v>
      </c>
      <c r="C160" t="s">
        <v>833</v>
      </c>
      <c r="D160" t="s">
        <v>961</v>
      </c>
      <c r="E160" t="s">
        <v>835</v>
      </c>
      <c r="G160" t="s">
        <v>836</v>
      </c>
      <c r="H160">
        <v>4</v>
      </c>
      <c r="I160" s="1">
        <v>45844.488256235956</v>
      </c>
      <c r="J160" s="1">
        <v>45860.414790314942</v>
      </c>
      <c r="K160" s="1">
        <v>45859.617557656449</v>
      </c>
    </row>
    <row r="161" spans="1:11">
      <c r="A161" t="s">
        <v>1110</v>
      </c>
      <c r="B161" t="s">
        <v>819</v>
      </c>
      <c r="C161" t="s">
        <v>833</v>
      </c>
      <c r="D161" t="s">
        <v>1111</v>
      </c>
      <c r="E161" t="s">
        <v>843</v>
      </c>
      <c r="G161" t="s">
        <v>836</v>
      </c>
      <c r="H161">
        <v>2</v>
      </c>
      <c r="I161" s="1">
        <v>45873.170067956475</v>
      </c>
      <c r="J161" s="1">
        <v>45890.971697830464</v>
      </c>
      <c r="K161" s="1">
        <v>45887.814252278549</v>
      </c>
    </row>
    <row r="162" spans="1:11">
      <c r="A162" t="s">
        <v>1112</v>
      </c>
      <c r="B162" t="s">
        <v>819</v>
      </c>
      <c r="C162" t="s">
        <v>833</v>
      </c>
      <c r="D162" t="s">
        <v>963</v>
      </c>
      <c r="E162" t="s">
        <v>835</v>
      </c>
      <c r="G162" t="s">
        <v>836</v>
      </c>
      <c r="H162">
        <v>4</v>
      </c>
      <c r="I162" s="1">
        <v>45965.085071975642</v>
      </c>
      <c r="J162" s="1">
        <v>45985.440637020998</v>
      </c>
      <c r="K162" s="1" t="s">
        <v>837</v>
      </c>
    </row>
    <row r="163" spans="1:11">
      <c r="A163" t="s">
        <v>1113</v>
      </c>
      <c r="B163" t="s">
        <v>819</v>
      </c>
      <c r="C163" t="s">
        <v>833</v>
      </c>
      <c r="D163" t="s">
        <v>971</v>
      </c>
      <c r="E163" t="s">
        <v>843</v>
      </c>
      <c r="G163" t="s">
        <v>836</v>
      </c>
      <c r="H163">
        <v>3</v>
      </c>
      <c r="I163" s="1">
        <v>46014.989080174986</v>
      </c>
      <c r="J163" s="1">
        <v>46042.184870524732</v>
      </c>
      <c r="K163" s="1" t="s">
        <v>837</v>
      </c>
    </row>
    <row r="164" spans="1:11">
      <c r="A164" t="s">
        <v>1114</v>
      </c>
      <c r="B164" t="s">
        <v>819</v>
      </c>
      <c r="C164" t="s">
        <v>833</v>
      </c>
      <c r="D164" t="s">
        <v>1115</v>
      </c>
      <c r="E164" t="s">
        <v>866</v>
      </c>
      <c r="G164" t="s">
        <v>836</v>
      </c>
      <c r="H164">
        <v>4</v>
      </c>
      <c r="I164" s="1">
        <v>45992.223940301497</v>
      </c>
      <c r="J164" s="1">
        <v>46020.062795840517</v>
      </c>
      <c r="K164" s="1" t="s">
        <v>837</v>
      </c>
    </row>
    <row r="165" spans="1:11">
      <c r="A165" t="s">
        <v>1116</v>
      </c>
      <c r="B165" t="s">
        <v>819</v>
      </c>
      <c r="C165" t="s">
        <v>833</v>
      </c>
      <c r="D165" t="s">
        <v>851</v>
      </c>
      <c r="E165" t="s">
        <v>843</v>
      </c>
      <c r="G165" t="s">
        <v>836</v>
      </c>
      <c r="H165">
        <v>2</v>
      </c>
      <c r="I165" s="1">
        <v>45848.4520352705</v>
      </c>
      <c r="J165" s="1">
        <v>45866.890426667036</v>
      </c>
      <c r="K165" s="1">
        <v>45861.192820045027</v>
      </c>
    </row>
    <row r="166" spans="1:11">
      <c r="A166" t="s">
        <v>1117</v>
      </c>
      <c r="B166" t="s">
        <v>819</v>
      </c>
      <c r="C166" t="s">
        <v>853</v>
      </c>
      <c r="D166" t="s">
        <v>874</v>
      </c>
      <c r="E166" t="s">
        <v>866</v>
      </c>
      <c r="G166" t="s">
        <v>836</v>
      </c>
      <c r="H166">
        <v>4</v>
      </c>
      <c r="I166" s="1">
        <v>46015.758139262914</v>
      </c>
      <c r="J166" s="1">
        <v>46032.247526808569</v>
      </c>
      <c r="K166" s="1" t="s">
        <v>837</v>
      </c>
    </row>
    <row r="167" spans="1:11">
      <c r="A167" t="s">
        <v>1118</v>
      </c>
      <c r="B167" t="s">
        <v>819</v>
      </c>
      <c r="C167" t="s">
        <v>853</v>
      </c>
      <c r="D167" t="s">
        <v>1119</v>
      </c>
      <c r="E167" t="s">
        <v>847</v>
      </c>
      <c r="G167" t="s">
        <v>836</v>
      </c>
      <c r="H167">
        <v>4</v>
      </c>
      <c r="I167" s="1">
        <v>45996.37557343865</v>
      </c>
      <c r="J167" s="1">
        <v>46025.320023725319</v>
      </c>
      <c r="K167" s="1" t="s">
        <v>837</v>
      </c>
    </row>
    <row r="168" spans="1:11">
      <c r="A168" t="s">
        <v>1120</v>
      </c>
      <c r="B168" t="s">
        <v>819</v>
      </c>
      <c r="C168" t="s">
        <v>853</v>
      </c>
      <c r="D168" t="s">
        <v>1121</v>
      </c>
      <c r="E168" t="s">
        <v>835</v>
      </c>
      <c r="G168" t="s">
        <v>836</v>
      </c>
      <c r="H168">
        <v>4</v>
      </c>
      <c r="I168" s="1">
        <v>45971.912222853265</v>
      </c>
      <c r="J168" s="1">
        <v>45987.524450033685</v>
      </c>
      <c r="K168" s="1" t="s">
        <v>837</v>
      </c>
    </row>
    <row r="169" spans="1:11">
      <c r="A169" t="s">
        <v>1122</v>
      </c>
      <c r="B169" t="s">
        <v>819</v>
      </c>
      <c r="C169" t="s">
        <v>853</v>
      </c>
      <c r="D169" t="s">
        <v>1000</v>
      </c>
      <c r="E169" t="s">
        <v>843</v>
      </c>
      <c r="G169" t="s">
        <v>836</v>
      </c>
      <c r="H169">
        <v>4</v>
      </c>
      <c r="I169" s="1">
        <v>45891.433078688031</v>
      </c>
      <c r="J169" s="1">
        <v>45908.929749239527</v>
      </c>
      <c r="K169" s="1">
        <v>45909.985866298615</v>
      </c>
    </row>
    <row r="170" spans="1:11">
      <c r="A170" t="s">
        <v>1123</v>
      </c>
      <c r="B170" t="s">
        <v>819</v>
      </c>
      <c r="C170" t="s">
        <v>853</v>
      </c>
      <c r="D170" t="s">
        <v>1004</v>
      </c>
      <c r="E170" t="s">
        <v>835</v>
      </c>
      <c r="G170" t="s">
        <v>836</v>
      </c>
      <c r="H170">
        <v>4</v>
      </c>
      <c r="I170" s="1">
        <v>45859.09759120427</v>
      </c>
      <c r="J170" s="1">
        <v>45874.891747697708</v>
      </c>
      <c r="K170" s="1">
        <v>45867.379627458555</v>
      </c>
    </row>
    <row r="171" spans="1:11">
      <c r="A171" t="s">
        <v>1124</v>
      </c>
      <c r="B171" t="s">
        <v>819</v>
      </c>
      <c r="C171" t="s">
        <v>853</v>
      </c>
      <c r="D171" t="s">
        <v>1125</v>
      </c>
      <c r="E171" t="s">
        <v>840</v>
      </c>
      <c r="G171" t="s">
        <v>836</v>
      </c>
      <c r="H171">
        <v>4</v>
      </c>
      <c r="I171" s="1">
        <v>45889.682255381587</v>
      </c>
      <c r="J171" s="1">
        <v>45905.703233208813</v>
      </c>
      <c r="K171" s="1">
        <v>45896.605032593936</v>
      </c>
    </row>
    <row r="172" spans="1:11">
      <c r="A172" t="s">
        <v>1126</v>
      </c>
      <c r="B172" t="s">
        <v>819</v>
      </c>
      <c r="C172" t="s">
        <v>853</v>
      </c>
      <c r="D172" t="s">
        <v>1127</v>
      </c>
      <c r="E172" t="s">
        <v>866</v>
      </c>
      <c r="G172" t="s">
        <v>836</v>
      </c>
      <c r="H172">
        <v>4</v>
      </c>
      <c r="I172" s="1">
        <v>45883.036505119831</v>
      </c>
      <c r="J172" s="1">
        <v>45901.704300086996</v>
      </c>
      <c r="K172" s="1">
        <v>45902.350375904731</v>
      </c>
    </row>
    <row r="173" spans="1:11">
      <c r="A173" t="s">
        <v>1128</v>
      </c>
      <c r="B173" t="s">
        <v>819</v>
      </c>
      <c r="C173" t="s">
        <v>853</v>
      </c>
      <c r="D173" t="s">
        <v>1129</v>
      </c>
      <c r="E173" t="s">
        <v>847</v>
      </c>
      <c r="G173" t="s">
        <v>836</v>
      </c>
      <c r="H173">
        <v>4</v>
      </c>
      <c r="I173" s="1">
        <v>46015.836194757838</v>
      </c>
      <c r="J173" s="1">
        <v>46043.344685594078</v>
      </c>
      <c r="K173" s="1" t="s">
        <v>837</v>
      </c>
    </row>
    <row r="174" spans="1:11">
      <c r="A174" t="s">
        <v>1130</v>
      </c>
      <c r="B174" t="s">
        <v>819</v>
      </c>
      <c r="C174" t="s">
        <v>853</v>
      </c>
      <c r="D174" t="s">
        <v>889</v>
      </c>
      <c r="E174" t="s">
        <v>840</v>
      </c>
      <c r="G174" t="s">
        <v>836</v>
      </c>
      <c r="H174">
        <v>4</v>
      </c>
      <c r="I174" s="1">
        <v>45991.382141132635</v>
      </c>
      <c r="J174" s="1">
        <v>46012.946762483574</v>
      </c>
      <c r="K174" s="1" t="s">
        <v>837</v>
      </c>
    </row>
    <row r="175" spans="1:11">
      <c r="A175" t="s">
        <v>1131</v>
      </c>
      <c r="B175" t="s">
        <v>819</v>
      </c>
      <c r="C175" t="s">
        <v>853</v>
      </c>
      <c r="D175" t="s">
        <v>860</v>
      </c>
      <c r="E175" t="s">
        <v>866</v>
      </c>
      <c r="G175" t="s">
        <v>836</v>
      </c>
      <c r="H175">
        <v>4</v>
      </c>
      <c r="I175" s="1">
        <v>45856.943384006467</v>
      </c>
      <c r="J175" s="1">
        <v>45872.850423938471</v>
      </c>
      <c r="K175" s="1">
        <v>45870.84793993624</v>
      </c>
    </row>
    <row r="176" spans="1:11">
      <c r="A176" t="s">
        <v>1132</v>
      </c>
      <c r="B176" t="s">
        <v>819</v>
      </c>
      <c r="C176" t="s">
        <v>862</v>
      </c>
      <c r="D176" t="s">
        <v>895</v>
      </c>
      <c r="E176" t="s">
        <v>866</v>
      </c>
      <c r="G176" t="s">
        <v>836</v>
      </c>
      <c r="H176">
        <v>1</v>
      </c>
      <c r="I176" s="1">
        <v>45983.046853523039</v>
      </c>
      <c r="J176" s="1">
        <v>45999.996730200219</v>
      </c>
      <c r="K176" s="1" t="s">
        <v>837</v>
      </c>
    </row>
    <row r="177" spans="1:11">
      <c r="A177" t="s">
        <v>1133</v>
      </c>
      <c r="B177" t="s">
        <v>819</v>
      </c>
      <c r="C177" t="s">
        <v>862</v>
      </c>
      <c r="D177" t="s">
        <v>920</v>
      </c>
      <c r="E177" t="s">
        <v>835</v>
      </c>
      <c r="G177" t="s">
        <v>836</v>
      </c>
      <c r="H177">
        <v>4</v>
      </c>
      <c r="I177" s="1">
        <v>45895.379382404994</v>
      </c>
      <c r="J177" s="1">
        <v>45917.471863289211</v>
      </c>
      <c r="K177" s="1">
        <v>45923.84488955557</v>
      </c>
    </row>
    <row r="178" spans="1:11">
      <c r="A178" t="s">
        <v>1134</v>
      </c>
      <c r="B178" t="s">
        <v>819</v>
      </c>
      <c r="C178" t="s">
        <v>862</v>
      </c>
      <c r="D178" t="s">
        <v>868</v>
      </c>
      <c r="E178" t="s">
        <v>840</v>
      </c>
      <c r="G178" t="s">
        <v>836</v>
      </c>
      <c r="H178">
        <v>4</v>
      </c>
      <c r="I178" s="1">
        <v>45848.326564661736</v>
      </c>
      <c r="J178" s="1">
        <v>45863.367839473533</v>
      </c>
      <c r="K178" s="1">
        <v>45864.117863309468</v>
      </c>
    </row>
    <row r="179" spans="1:11">
      <c r="A179" t="s">
        <v>1135</v>
      </c>
      <c r="B179" t="s">
        <v>819</v>
      </c>
      <c r="C179" t="s">
        <v>862</v>
      </c>
      <c r="D179" t="s">
        <v>1059</v>
      </c>
      <c r="E179" t="s">
        <v>847</v>
      </c>
      <c r="G179" t="s">
        <v>836</v>
      </c>
      <c r="H179">
        <v>4</v>
      </c>
      <c r="I179" s="1">
        <v>45941.747141212247</v>
      </c>
      <c r="J179" s="1">
        <v>45967.511568985909</v>
      </c>
      <c r="K179" s="1" t="s">
        <v>837</v>
      </c>
    </row>
    <row r="180" spans="1:11">
      <c r="A180" t="s">
        <v>1136</v>
      </c>
      <c r="B180" t="s">
        <v>819</v>
      </c>
      <c r="C180" t="s">
        <v>862</v>
      </c>
      <c r="D180" t="s">
        <v>1061</v>
      </c>
      <c r="E180" t="s">
        <v>840</v>
      </c>
      <c r="G180" t="s">
        <v>836</v>
      </c>
      <c r="H180">
        <v>4</v>
      </c>
      <c r="I180" s="1">
        <v>45944.416661073301</v>
      </c>
      <c r="J180" s="1">
        <v>45972.192630564219</v>
      </c>
      <c r="K180" s="1" t="s">
        <v>837</v>
      </c>
    </row>
    <row r="181" spans="1:11">
      <c r="A181" t="s">
        <v>1137</v>
      </c>
      <c r="B181" t="s">
        <v>819</v>
      </c>
      <c r="C181" t="s">
        <v>862</v>
      </c>
      <c r="D181" t="s">
        <v>1138</v>
      </c>
      <c r="E181" t="s">
        <v>866</v>
      </c>
      <c r="G181" t="s">
        <v>836</v>
      </c>
      <c r="H181">
        <v>1</v>
      </c>
      <c r="I181" s="1">
        <v>45863.373206969649</v>
      </c>
      <c r="J181" s="1">
        <v>45886.62896246287</v>
      </c>
      <c r="K181" s="1">
        <v>45886.030450207552</v>
      </c>
    </row>
    <row r="182" spans="1:11">
      <c r="A182" t="s">
        <v>1139</v>
      </c>
      <c r="B182" t="s">
        <v>819</v>
      </c>
      <c r="C182" t="s">
        <v>862</v>
      </c>
      <c r="D182" t="s">
        <v>1065</v>
      </c>
      <c r="E182" t="s">
        <v>847</v>
      </c>
      <c r="G182" t="s">
        <v>836</v>
      </c>
      <c r="H182">
        <v>3</v>
      </c>
      <c r="I182" s="1">
        <v>46000.882712683415</v>
      </c>
      <c r="J182" s="1">
        <v>46016.247438124134</v>
      </c>
      <c r="K182" s="1" t="s">
        <v>837</v>
      </c>
    </row>
    <row r="183" spans="1:11">
      <c r="A183" t="s">
        <v>1140</v>
      </c>
      <c r="B183" t="s">
        <v>819</v>
      </c>
      <c r="C183" t="s">
        <v>862</v>
      </c>
      <c r="D183" t="s">
        <v>870</v>
      </c>
      <c r="E183" t="s">
        <v>835</v>
      </c>
      <c r="G183" t="s">
        <v>836</v>
      </c>
      <c r="H183">
        <v>4</v>
      </c>
      <c r="I183" s="1">
        <v>45981.75650079277</v>
      </c>
      <c r="J183" s="1">
        <v>45999.50008495817</v>
      </c>
      <c r="K183" s="1" t="s">
        <v>837</v>
      </c>
    </row>
    <row r="184" spans="1:11">
      <c r="A184" t="s">
        <v>1141</v>
      </c>
      <c r="B184" t="s">
        <v>819</v>
      </c>
      <c r="C184" t="s">
        <v>862</v>
      </c>
      <c r="D184" t="s">
        <v>1142</v>
      </c>
      <c r="E184" t="s">
        <v>835</v>
      </c>
      <c r="G184" t="s">
        <v>844</v>
      </c>
      <c r="H184">
        <v>4</v>
      </c>
      <c r="I184" s="1">
        <v>45864.047755923661</v>
      </c>
      <c r="J184" s="1">
        <v>45892.169796181646</v>
      </c>
      <c r="K184" s="1">
        <v>45882.979058380959</v>
      </c>
    </row>
    <row r="185" spans="1:11">
      <c r="A185" t="s">
        <v>1143</v>
      </c>
      <c r="B185" t="s">
        <v>819</v>
      </c>
      <c r="C185" t="s">
        <v>862</v>
      </c>
      <c r="D185" t="s">
        <v>1144</v>
      </c>
      <c r="E185" t="s">
        <v>847</v>
      </c>
      <c r="G185" t="s">
        <v>836</v>
      </c>
      <c r="H185">
        <v>4</v>
      </c>
      <c r="I185" s="1">
        <v>46007.481593705095</v>
      </c>
      <c r="J185" s="1">
        <v>46034.266844406986</v>
      </c>
      <c r="K185" s="1" t="s">
        <v>837</v>
      </c>
    </row>
    <row r="186" spans="1:11">
      <c r="A186" t="s">
        <v>1145</v>
      </c>
      <c r="B186" t="s">
        <v>819</v>
      </c>
      <c r="C186" t="s">
        <v>862</v>
      </c>
      <c r="D186" t="s">
        <v>1146</v>
      </c>
      <c r="E186" t="s">
        <v>866</v>
      </c>
      <c r="G186" t="s">
        <v>836</v>
      </c>
      <c r="H186">
        <v>4</v>
      </c>
      <c r="I186" s="1">
        <v>45994.651227871429</v>
      </c>
      <c r="J186" s="1">
        <v>46013.109887994695</v>
      </c>
      <c r="K186" s="1" t="s">
        <v>837</v>
      </c>
    </row>
    <row r="187" spans="1:11">
      <c r="A187" t="s">
        <v>1147</v>
      </c>
      <c r="B187" t="s">
        <v>819</v>
      </c>
      <c r="C187" t="s">
        <v>862</v>
      </c>
      <c r="D187" t="s">
        <v>1148</v>
      </c>
      <c r="E187" t="s">
        <v>835</v>
      </c>
      <c r="G187" t="s">
        <v>836</v>
      </c>
      <c r="H187">
        <v>3</v>
      </c>
      <c r="I187" s="1">
        <v>45914.49181186394</v>
      </c>
      <c r="J187" s="1">
        <v>45942.637385923532</v>
      </c>
      <c r="K187" s="1">
        <v>45937.399397502544</v>
      </c>
    </row>
    <row r="188" spans="1:11">
      <c r="A188" t="s">
        <v>1149</v>
      </c>
      <c r="B188" t="s">
        <v>819</v>
      </c>
      <c r="C188" t="s">
        <v>862</v>
      </c>
      <c r="D188" t="s">
        <v>923</v>
      </c>
      <c r="E188" t="s">
        <v>835</v>
      </c>
      <c r="G188" t="s">
        <v>836</v>
      </c>
      <c r="H188">
        <v>4</v>
      </c>
      <c r="I188" s="1">
        <v>45943.192582938835</v>
      </c>
      <c r="J188" s="1">
        <v>45960.241555883353</v>
      </c>
      <c r="K188" s="1">
        <v>45957.551644768835</v>
      </c>
    </row>
    <row r="189" spans="1:11">
      <c r="A189" t="s">
        <v>1150</v>
      </c>
      <c r="B189" t="s">
        <v>819</v>
      </c>
      <c r="C189" t="s">
        <v>862</v>
      </c>
      <c r="D189" t="s">
        <v>1151</v>
      </c>
      <c r="E189" t="s">
        <v>835</v>
      </c>
      <c r="G189" t="s">
        <v>836</v>
      </c>
      <c r="H189">
        <v>4</v>
      </c>
      <c r="I189" s="1">
        <v>45855.548528973755</v>
      </c>
      <c r="J189" s="1">
        <v>45877.358424037549</v>
      </c>
      <c r="K189" s="1">
        <v>45880.709213803682</v>
      </c>
    </row>
    <row r="190" spans="1:11">
      <c r="A190" t="s">
        <v>1152</v>
      </c>
      <c r="B190" t="s">
        <v>819</v>
      </c>
      <c r="C190" t="s">
        <v>862</v>
      </c>
      <c r="D190" t="s">
        <v>1153</v>
      </c>
      <c r="E190" t="s">
        <v>843</v>
      </c>
      <c r="G190" t="s">
        <v>836</v>
      </c>
      <c r="H190">
        <v>2</v>
      </c>
      <c r="I190" s="1">
        <v>45861.946999709355</v>
      </c>
      <c r="J190" s="1">
        <v>45884.798635036655</v>
      </c>
      <c r="K190" s="1">
        <v>45892.056477938997</v>
      </c>
    </row>
    <row r="191" spans="1:11">
      <c r="A191" t="s">
        <v>1154</v>
      </c>
      <c r="B191" t="s">
        <v>819</v>
      </c>
      <c r="C191" t="s">
        <v>862</v>
      </c>
      <c r="D191" t="s">
        <v>1075</v>
      </c>
      <c r="E191" t="s">
        <v>847</v>
      </c>
      <c r="G191" t="s">
        <v>836</v>
      </c>
      <c r="H191">
        <v>4</v>
      </c>
      <c r="I191" s="1">
        <v>45984.302976087289</v>
      </c>
      <c r="J191" s="1">
        <v>46002.82863518982</v>
      </c>
      <c r="K191" s="1" t="s">
        <v>837</v>
      </c>
    </row>
    <row r="192" spans="1:11">
      <c r="A192" t="s">
        <v>1155</v>
      </c>
      <c r="B192" t="s">
        <v>819</v>
      </c>
      <c r="C192" t="s">
        <v>862</v>
      </c>
      <c r="D192" t="s">
        <v>897</v>
      </c>
      <c r="E192" t="s">
        <v>866</v>
      </c>
      <c r="G192" t="s">
        <v>836</v>
      </c>
      <c r="H192">
        <v>4</v>
      </c>
      <c r="I192" s="1">
        <v>45845.663110055</v>
      </c>
      <c r="J192" s="1">
        <v>45866.453459772361</v>
      </c>
      <c r="K192" s="1">
        <v>45868.877312876313</v>
      </c>
    </row>
    <row r="193" spans="1:11">
      <c r="A193" t="s">
        <v>1156</v>
      </c>
      <c r="B193" t="s">
        <v>821</v>
      </c>
      <c r="C193" t="s">
        <v>833</v>
      </c>
      <c r="D193" t="s">
        <v>834</v>
      </c>
      <c r="E193" t="s">
        <v>847</v>
      </c>
      <c r="G193" t="s">
        <v>836</v>
      </c>
      <c r="H193">
        <v>4</v>
      </c>
      <c r="I193" s="1">
        <v>45888.174425584773</v>
      </c>
      <c r="J193" s="1">
        <v>45913.766561975957</v>
      </c>
      <c r="K193" s="1">
        <v>45906.855707484094</v>
      </c>
    </row>
    <row r="194" spans="1:11">
      <c r="A194" t="s">
        <v>1157</v>
      </c>
      <c r="B194" t="s">
        <v>821</v>
      </c>
      <c r="C194" t="s">
        <v>833</v>
      </c>
      <c r="D194" t="s">
        <v>1158</v>
      </c>
      <c r="E194" t="s">
        <v>840</v>
      </c>
      <c r="G194" t="s">
        <v>836</v>
      </c>
      <c r="H194">
        <v>2</v>
      </c>
      <c r="I194" s="1">
        <v>45861.82630015348</v>
      </c>
      <c r="J194" s="1">
        <v>45890.535705657778</v>
      </c>
      <c r="K194" s="1">
        <v>45886.076394143507</v>
      </c>
    </row>
    <row r="195" spans="1:11">
      <c r="A195" t="s">
        <v>1159</v>
      </c>
      <c r="B195" t="s">
        <v>821</v>
      </c>
      <c r="C195" t="s">
        <v>833</v>
      </c>
      <c r="D195" t="s">
        <v>1160</v>
      </c>
      <c r="E195" t="s">
        <v>847</v>
      </c>
      <c r="G195" t="s">
        <v>836</v>
      </c>
      <c r="H195">
        <v>4</v>
      </c>
      <c r="I195" s="1">
        <v>45866.034947005224</v>
      </c>
      <c r="J195" s="1">
        <v>45888.206467055403</v>
      </c>
      <c r="K195" s="1">
        <v>45889.768935883796</v>
      </c>
    </row>
    <row r="196" spans="1:11">
      <c r="A196" t="s">
        <v>1161</v>
      </c>
      <c r="B196" t="s">
        <v>821</v>
      </c>
      <c r="C196" t="s">
        <v>833</v>
      </c>
      <c r="D196" t="s">
        <v>1162</v>
      </c>
      <c r="E196" t="s">
        <v>866</v>
      </c>
      <c r="G196" t="s">
        <v>836</v>
      </c>
      <c r="H196">
        <v>2</v>
      </c>
      <c r="I196" s="1">
        <v>46015.46078566194</v>
      </c>
      <c r="J196" s="1">
        <v>46035.18590838588</v>
      </c>
      <c r="K196" s="1" t="s">
        <v>837</v>
      </c>
    </row>
    <row r="197" spans="1:11">
      <c r="A197" t="s">
        <v>1163</v>
      </c>
      <c r="B197" t="s">
        <v>821</v>
      </c>
      <c r="C197" t="s">
        <v>833</v>
      </c>
      <c r="D197" t="s">
        <v>1164</v>
      </c>
      <c r="E197" t="s">
        <v>866</v>
      </c>
      <c r="G197" t="s">
        <v>836</v>
      </c>
      <c r="H197">
        <v>4</v>
      </c>
      <c r="I197" s="1">
        <v>45953.330704190288</v>
      </c>
      <c r="J197" s="1">
        <v>45972.553839110071</v>
      </c>
      <c r="K197" s="1" t="s">
        <v>837</v>
      </c>
    </row>
    <row r="198" spans="1:11">
      <c r="A198" t="s">
        <v>1165</v>
      </c>
      <c r="B198" t="s">
        <v>821</v>
      </c>
      <c r="C198" t="s">
        <v>833</v>
      </c>
      <c r="D198" t="s">
        <v>1166</v>
      </c>
      <c r="E198" t="s">
        <v>847</v>
      </c>
      <c r="G198" t="s">
        <v>836</v>
      </c>
      <c r="H198">
        <v>3</v>
      </c>
      <c r="I198" s="1">
        <v>45978.036152984758</v>
      </c>
      <c r="J198" s="1">
        <v>46001.970501752949</v>
      </c>
      <c r="K198" s="1" t="s">
        <v>837</v>
      </c>
    </row>
    <row r="199" spans="1:11">
      <c r="A199" t="s">
        <v>1167</v>
      </c>
      <c r="B199" t="s">
        <v>821</v>
      </c>
      <c r="C199" t="s">
        <v>833</v>
      </c>
      <c r="D199" t="s">
        <v>1168</v>
      </c>
      <c r="E199" t="s">
        <v>840</v>
      </c>
      <c r="G199" t="s">
        <v>836</v>
      </c>
      <c r="H199">
        <v>4</v>
      </c>
      <c r="I199" s="1">
        <v>45956.974890372723</v>
      </c>
      <c r="J199" s="1">
        <v>45978.589837822517</v>
      </c>
      <c r="K199" s="1" t="s">
        <v>837</v>
      </c>
    </row>
    <row r="200" spans="1:11">
      <c r="A200" t="s">
        <v>1169</v>
      </c>
      <c r="B200" t="s">
        <v>821</v>
      </c>
      <c r="C200" t="s">
        <v>833</v>
      </c>
      <c r="D200" t="s">
        <v>1170</v>
      </c>
      <c r="E200" t="s">
        <v>847</v>
      </c>
      <c r="G200" t="s">
        <v>836</v>
      </c>
      <c r="H200">
        <v>4</v>
      </c>
      <c r="I200" s="1">
        <v>45987.490370601576</v>
      </c>
      <c r="J200" s="1">
        <v>46007.334485605279</v>
      </c>
      <c r="K200" s="1" t="s">
        <v>837</v>
      </c>
    </row>
    <row r="201" spans="1:11">
      <c r="A201" t="s">
        <v>1171</v>
      </c>
      <c r="B201" t="s">
        <v>821</v>
      </c>
      <c r="C201" t="s">
        <v>833</v>
      </c>
      <c r="D201" t="s">
        <v>1172</v>
      </c>
      <c r="E201" t="s">
        <v>847</v>
      </c>
      <c r="G201" t="s">
        <v>836</v>
      </c>
      <c r="H201">
        <v>4</v>
      </c>
      <c r="I201" s="1">
        <v>45989.806570765955</v>
      </c>
      <c r="J201" s="1">
        <v>46007.749900094052</v>
      </c>
      <c r="K201" s="1" t="s">
        <v>837</v>
      </c>
    </row>
    <row r="202" spans="1:11">
      <c r="A202" t="s">
        <v>1173</v>
      </c>
      <c r="B202" t="s">
        <v>821</v>
      </c>
      <c r="C202" t="s">
        <v>833</v>
      </c>
      <c r="D202" t="s">
        <v>1174</v>
      </c>
      <c r="E202" t="s">
        <v>866</v>
      </c>
      <c r="G202" t="s">
        <v>844</v>
      </c>
      <c r="H202">
        <v>4</v>
      </c>
      <c r="I202" s="1">
        <v>45985.013678517629</v>
      </c>
      <c r="J202" s="1">
        <v>46000.680893002449</v>
      </c>
      <c r="K202" s="1" t="s">
        <v>837</v>
      </c>
    </row>
    <row r="203" spans="1:11">
      <c r="A203" t="s">
        <v>1175</v>
      </c>
      <c r="B203" t="s">
        <v>821</v>
      </c>
      <c r="C203" t="s">
        <v>833</v>
      </c>
      <c r="D203" t="s">
        <v>839</v>
      </c>
      <c r="E203" t="s">
        <v>840</v>
      </c>
      <c r="G203" t="s">
        <v>836</v>
      </c>
      <c r="H203">
        <v>3</v>
      </c>
      <c r="I203" s="1">
        <v>46017.310224959605</v>
      </c>
      <c r="J203" s="1">
        <v>46042.709480802623</v>
      </c>
      <c r="K203" s="1" t="s">
        <v>837</v>
      </c>
    </row>
    <row r="204" spans="1:11">
      <c r="A204" t="s">
        <v>1176</v>
      </c>
      <c r="B204" t="s">
        <v>821</v>
      </c>
      <c r="C204" t="s">
        <v>833</v>
      </c>
      <c r="D204" t="s">
        <v>1099</v>
      </c>
      <c r="E204" t="s">
        <v>840</v>
      </c>
      <c r="G204" t="s">
        <v>836</v>
      </c>
      <c r="H204">
        <v>3</v>
      </c>
      <c r="I204" s="1">
        <v>46011.504378808284</v>
      </c>
      <c r="J204" s="1">
        <v>46035.140950734734</v>
      </c>
      <c r="K204" s="1" t="s">
        <v>837</v>
      </c>
    </row>
    <row r="205" spans="1:11">
      <c r="A205" t="s">
        <v>1177</v>
      </c>
      <c r="B205" t="s">
        <v>821</v>
      </c>
      <c r="C205" t="s">
        <v>833</v>
      </c>
      <c r="D205" t="s">
        <v>1178</v>
      </c>
      <c r="E205" t="s">
        <v>843</v>
      </c>
      <c r="G205" t="s">
        <v>836</v>
      </c>
      <c r="H205">
        <v>4</v>
      </c>
      <c r="I205" s="1">
        <v>45991.260977560341</v>
      </c>
      <c r="J205" s="1">
        <v>46013.715039937793</v>
      </c>
      <c r="K205" s="1" t="s">
        <v>837</v>
      </c>
    </row>
    <row r="206" spans="1:11">
      <c r="A206" t="s">
        <v>1179</v>
      </c>
      <c r="B206" t="s">
        <v>821</v>
      </c>
      <c r="C206" t="s">
        <v>833</v>
      </c>
      <c r="D206" t="s">
        <v>1180</v>
      </c>
      <c r="E206" t="s">
        <v>847</v>
      </c>
      <c r="G206" t="s">
        <v>836</v>
      </c>
      <c r="H206">
        <v>4</v>
      </c>
      <c r="I206" s="1">
        <v>45896.930392301503</v>
      </c>
      <c r="J206" s="1">
        <v>45914.564926496241</v>
      </c>
      <c r="K206" s="1">
        <v>45913.294066405906</v>
      </c>
    </row>
    <row r="207" spans="1:11">
      <c r="A207" t="s">
        <v>1181</v>
      </c>
      <c r="B207" t="s">
        <v>821</v>
      </c>
      <c r="C207" t="s">
        <v>833</v>
      </c>
      <c r="D207" t="s">
        <v>1104</v>
      </c>
      <c r="E207" t="s">
        <v>835</v>
      </c>
      <c r="G207" t="s">
        <v>836</v>
      </c>
      <c r="H207">
        <v>4</v>
      </c>
      <c r="I207" s="1">
        <v>46011.530616568125</v>
      </c>
      <c r="J207" s="1">
        <v>46028.456820172512</v>
      </c>
      <c r="K207" s="1" t="s">
        <v>837</v>
      </c>
    </row>
    <row r="208" spans="1:11">
      <c r="A208" t="s">
        <v>1182</v>
      </c>
      <c r="B208" t="s">
        <v>821</v>
      </c>
      <c r="C208" t="s">
        <v>833</v>
      </c>
      <c r="D208" t="s">
        <v>1108</v>
      </c>
      <c r="E208" t="s">
        <v>843</v>
      </c>
      <c r="G208" t="s">
        <v>836</v>
      </c>
      <c r="H208">
        <v>4</v>
      </c>
      <c r="I208" s="1">
        <v>45839.139377197978</v>
      </c>
      <c r="J208" s="1">
        <v>45867.219499065679</v>
      </c>
      <c r="K208" s="1">
        <v>45862.874010301086</v>
      </c>
    </row>
    <row r="209" spans="1:11">
      <c r="A209" t="s">
        <v>1183</v>
      </c>
      <c r="B209" t="s">
        <v>821</v>
      </c>
      <c r="C209" t="s">
        <v>833</v>
      </c>
      <c r="D209" t="s">
        <v>1184</v>
      </c>
      <c r="E209" t="s">
        <v>843</v>
      </c>
      <c r="G209" t="s">
        <v>836</v>
      </c>
      <c r="H209">
        <v>4</v>
      </c>
      <c r="I209" s="1">
        <v>45875.551615269324</v>
      </c>
      <c r="J209" s="1">
        <v>45890.890478425958</v>
      </c>
      <c r="K209" s="1">
        <v>45897.985122016929</v>
      </c>
    </row>
    <row r="210" spans="1:11">
      <c r="A210" t="s">
        <v>1185</v>
      </c>
      <c r="B210" t="s">
        <v>821</v>
      </c>
      <c r="C210" t="s">
        <v>833</v>
      </c>
      <c r="D210" t="s">
        <v>1186</v>
      </c>
      <c r="E210" t="s">
        <v>840</v>
      </c>
      <c r="G210" t="s">
        <v>836</v>
      </c>
      <c r="H210">
        <v>4</v>
      </c>
      <c r="I210" s="1">
        <v>45848.928052968149</v>
      </c>
      <c r="J210" s="1">
        <v>45874.619519333675</v>
      </c>
      <c r="K210" s="1">
        <v>45876.681045539066</v>
      </c>
    </row>
    <row r="211" spans="1:11">
      <c r="A211" t="s">
        <v>1187</v>
      </c>
      <c r="B211" t="s">
        <v>821</v>
      </c>
      <c r="C211" t="s">
        <v>833</v>
      </c>
      <c r="D211" t="s">
        <v>1188</v>
      </c>
      <c r="E211" t="s">
        <v>835</v>
      </c>
      <c r="G211" t="s">
        <v>836</v>
      </c>
      <c r="H211">
        <v>4</v>
      </c>
      <c r="I211" s="1">
        <v>45869.962145201011</v>
      </c>
      <c r="J211" s="1">
        <v>45892.90324293053</v>
      </c>
      <c r="K211" s="1">
        <v>45884.63464938353</v>
      </c>
    </row>
    <row r="212" spans="1:11">
      <c r="A212" t="s">
        <v>1189</v>
      </c>
      <c r="B212" t="s">
        <v>821</v>
      </c>
      <c r="C212" t="s">
        <v>833</v>
      </c>
      <c r="D212" t="s">
        <v>967</v>
      </c>
      <c r="E212" t="s">
        <v>847</v>
      </c>
      <c r="G212" t="s">
        <v>836</v>
      </c>
      <c r="H212">
        <v>4</v>
      </c>
      <c r="I212" s="1">
        <v>45951.50719576679</v>
      </c>
      <c r="J212" s="1">
        <v>45975.762595424865</v>
      </c>
      <c r="K212" s="1" t="s">
        <v>837</v>
      </c>
    </row>
    <row r="213" spans="1:11">
      <c r="A213" t="s">
        <v>1190</v>
      </c>
      <c r="B213" t="s">
        <v>821</v>
      </c>
      <c r="C213" t="s">
        <v>833</v>
      </c>
      <c r="D213" t="s">
        <v>973</v>
      </c>
      <c r="E213" t="s">
        <v>835</v>
      </c>
      <c r="G213" t="s">
        <v>836</v>
      </c>
      <c r="H213">
        <v>2</v>
      </c>
      <c r="I213" s="1">
        <v>45940.026931246</v>
      </c>
      <c r="J213" s="1">
        <v>45961.237676696517</v>
      </c>
      <c r="K213" s="1">
        <v>45962.495638832523</v>
      </c>
    </row>
    <row r="214" spans="1:11">
      <c r="A214" t="s">
        <v>1191</v>
      </c>
      <c r="B214" t="s">
        <v>821</v>
      </c>
      <c r="C214" t="s">
        <v>833</v>
      </c>
      <c r="D214" t="s">
        <v>1192</v>
      </c>
      <c r="E214" t="s">
        <v>840</v>
      </c>
      <c r="G214" t="s">
        <v>836</v>
      </c>
      <c r="H214">
        <v>4</v>
      </c>
      <c r="I214" s="1">
        <v>45853.755748331176</v>
      </c>
      <c r="J214" s="1">
        <v>45869.920220858578</v>
      </c>
      <c r="K214" s="1">
        <v>45860.9575976864</v>
      </c>
    </row>
    <row r="215" spans="1:11">
      <c r="A215" t="s">
        <v>1193</v>
      </c>
      <c r="B215" t="s">
        <v>821</v>
      </c>
      <c r="C215" t="s">
        <v>833</v>
      </c>
      <c r="D215" t="s">
        <v>1194</v>
      </c>
      <c r="E215" t="s">
        <v>866</v>
      </c>
      <c r="G215" t="s">
        <v>836</v>
      </c>
      <c r="H215">
        <v>4</v>
      </c>
      <c r="I215" s="1">
        <v>45966.498410439424</v>
      </c>
      <c r="J215" s="1">
        <v>45992.123751201871</v>
      </c>
      <c r="K215" s="1" t="s">
        <v>837</v>
      </c>
    </row>
    <row r="216" spans="1:11">
      <c r="A216" t="s">
        <v>1195</v>
      </c>
      <c r="B216" t="s">
        <v>821</v>
      </c>
      <c r="C216" t="s">
        <v>833</v>
      </c>
      <c r="D216" t="s">
        <v>1196</v>
      </c>
      <c r="E216" t="s">
        <v>843</v>
      </c>
      <c r="G216" t="s">
        <v>836</v>
      </c>
      <c r="H216">
        <v>4</v>
      </c>
      <c r="I216" s="1">
        <v>45887.929360314731</v>
      </c>
      <c r="J216" s="1">
        <v>45904.75572203195</v>
      </c>
      <c r="K216" s="1">
        <v>45908.550339013658</v>
      </c>
    </row>
    <row r="217" spans="1:11">
      <c r="A217" t="s">
        <v>1197</v>
      </c>
      <c r="B217" t="s">
        <v>821</v>
      </c>
      <c r="C217" t="s">
        <v>833</v>
      </c>
      <c r="D217" t="s">
        <v>846</v>
      </c>
      <c r="E217" t="s">
        <v>866</v>
      </c>
      <c r="G217" t="s">
        <v>836</v>
      </c>
      <c r="H217">
        <v>4</v>
      </c>
      <c r="I217" s="1">
        <v>45887.33355917257</v>
      </c>
      <c r="J217" s="1">
        <v>45908.870900296672</v>
      </c>
      <c r="K217" s="1">
        <v>45909.227229713346</v>
      </c>
    </row>
    <row r="218" spans="1:11">
      <c r="A218" t="s">
        <v>1198</v>
      </c>
      <c r="B218" t="s">
        <v>821</v>
      </c>
      <c r="C218" t="s">
        <v>833</v>
      </c>
      <c r="D218" t="s">
        <v>1199</v>
      </c>
      <c r="E218" t="s">
        <v>847</v>
      </c>
      <c r="G218" t="s">
        <v>836</v>
      </c>
      <c r="H218">
        <v>4</v>
      </c>
      <c r="I218" s="1">
        <v>45998.095906378861</v>
      </c>
      <c r="J218" s="1">
        <v>46014.194011335938</v>
      </c>
      <c r="K218" s="1" t="s">
        <v>837</v>
      </c>
    </row>
    <row r="219" spans="1:11">
      <c r="A219" t="s">
        <v>1200</v>
      </c>
      <c r="B219" t="s">
        <v>821</v>
      </c>
      <c r="C219" t="s">
        <v>833</v>
      </c>
      <c r="D219" t="s">
        <v>1201</v>
      </c>
      <c r="E219" t="s">
        <v>866</v>
      </c>
      <c r="G219" t="s">
        <v>836</v>
      </c>
      <c r="H219">
        <v>4</v>
      </c>
      <c r="I219" s="1">
        <v>45928.996827246978</v>
      </c>
      <c r="J219" s="1">
        <v>45950.366588112251</v>
      </c>
      <c r="K219" s="1">
        <v>45941.397017733536</v>
      </c>
    </row>
    <row r="220" spans="1:11">
      <c r="A220" t="s">
        <v>1202</v>
      </c>
      <c r="B220" t="s">
        <v>821</v>
      </c>
      <c r="C220" t="s">
        <v>833</v>
      </c>
      <c r="D220" t="s">
        <v>1203</v>
      </c>
      <c r="E220" t="s">
        <v>843</v>
      </c>
      <c r="G220" t="s">
        <v>836</v>
      </c>
      <c r="H220">
        <v>2</v>
      </c>
      <c r="I220" s="1">
        <v>45965.74183560595</v>
      </c>
      <c r="J220" s="1">
        <v>45988.887129077491</v>
      </c>
      <c r="K220" s="1" t="s">
        <v>837</v>
      </c>
    </row>
    <row r="221" spans="1:11">
      <c r="A221" t="s">
        <v>1204</v>
      </c>
      <c r="B221" t="s">
        <v>821</v>
      </c>
      <c r="C221" t="s">
        <v>833</v>
      </c>
      <c r="D221" t="s">
        <v>1205</v>
      </c>
      <c r="E221" t="s">
        <v>847</v>
      </c>
      <c r="G221" t="s">
        <v>836</v>
      </c>
      <c r="H221">
        <v>1</v>
      </c>
      <c r="I221" s="1">
        <v>45890.037705944393</v>
      </c>
      <c r="J221" s="1">
        <v>45919.306102681025</v>
      </c>
      <c r="K221" s="1">
        <v>45925.650599090222</v>
      </c>
    </row>
    <row r="222" spans="1:11">
      <c r="A222" t="s">
        <v>1206</v>
      </c>
      <c r="B222" t="s">
        <v>821</v>
      </c>
      <c r="C222" t="s">
        <v>833</v>
      </c>
      <c r="D222" t="s">
        <v>983</v>
      </c>
      <c r="E222" t="s">
        <v>835</v>
      </c>
      <c r="G222" t="s">
        <v>836</v>
      </c>
      <c r="H222">
        <v>4</v>
      </c>
      <c r="I222" s="1">
        <v>45842.223681844458</v>
      </c>
      <c r="J222" s="1">
        <v>45858.305680349644</v>
      </c>
      <c r="K222" s="1">
        <v>45865.818299078004</v>
      </c>
    </row>
    <row r="223" spans="1:11">
      <c r="A223" t="s">
        <v>1207</v>
      </c>
      <c r="B223" t="s">
        <v>821</v>
      </c>
      <c r="C223" t="s">
        <v>833</v>
      </c>
      <c r="D223" t="s">
        <v>849</v>
      </c>
      <c r="E223" t="s">
        <v>835</v>
      </c>
      <c r="G223" t="s">
        <v>836</v>
      </c>
      <c r="H223">
        <v>4</v>
      </c>
      <c r="I223" s="1">
        <v>45908.188252189873</v>
      </c>
      <c r="J223" s="1">
        <v>45935.522199731902</v>
      </c>
      <c r="K223" s="1">
        <v>45927.473557039855</v>
      </c>
    </row>
    <row r="224" spans="1:11">
      <c r="A224" t="s">
        <v>1208</v>
      </c>
      <c r="B224" t="s">
        <v>821</v>
      </c>
      <c r="C224" t="s">
        <v>833</v>
      </c>
      <c r="D224" t="s">
        <v>1209</v>
      </c>
      <c r="E224" t="s">
        <v>847</v>
      </c>
      <c r="G224" t="s">
        <v>836</v>
      </c>
      <c r="H224">
        <v>4</v>
      </c>
      <c r="I224" s="1">
        <v>45845.284844712871</v>
      </c>
      <c r="J224" s="1">
        <v>45867.377300441665</v>
      </c>
      <c r="K224" s="1">
        <v>45857.572416724026</v>
      </c>
    </row>
    <row r="225" spans="1:11">
      <c r="A225" t="s">
        <v>1210</v>
      </c>
      <c r="B225" t="s">
        <v>821</v>
      </c>
      <c r="C225" t="s">
        <v>833</v>
      </c>
      <c r="D225" t="s">
        <v>1211</v>
      </c>
      <c r="E225" t="s">
        <v>847</v>
      </c>
      <c r="G225" t="s">
        <v>836</v>
      </c>
      <c r="H225">
        <v>4</v>
      </c>
      <c r="I225" s="1">
        <v>45849.283130320226</v>
      </c>
      <c r="J225" s="1">
        <v>45878.603769231035</v>
      </c>
      <c r="K225" s="1">
        <v>45876.799012422896</v>
      </c>
    </row>
    <row r="226" spans="1:11">
      <c r="A226" t="s">
        <v>1212</v>
      </c>
      <c r="B226" t="s">
        <v>821</v>
      </c>
      <c r="C226" t="s">
        <v>833</v>
      </c>
      <c r="D226" t="s">
        <v>1213</v>
      </c>
      <c r="E226" t="s">
        <v>847</v>
      </c>
      <c r="G226" t="s">
        <v>836</v>
      </c>
      <c r="H226">
        <v>4</v>
      </c>
      <c r="I226" s="1">
        <v>45866.206368825944</v>
      </c>
      <c r="J226" s="1">
        <v>45891.177572490938</v>
      </c>
      <c r="K226" s="1">
        <v>45901.046364530324</v>
      </c>
    </row>
    <row r="227" spans="1:11">
      <c r="A227" t="s">
        <v>1214</v>
      </c>
      <c r="B227" t="s">
        <v>821</v>
      </c>
      <c r="C227" t="s">
        <v>833</v>
      </c>
      <c r="D227" t="s">
        <v>1215</v>
      </c>
      <c r="E227" t="s">
        <v>866</v>
      </c>
      <c r="G227" t="s">
        <v>836</v>
      </c>
      <c r="H227">
        <v>4</v>
      </c>
      <c r="I227" s="1">
        <v>45910.710353147595</v>
      </c>
      <c r="J227" s="1">
        <v>45934.078268313679</v>
      </c>
      <c r="K227" s="1">
        <v>45942.844371981664</v>
      </c>
    </row>
    <row r="228" spans="1:11">
      <c r="A228" t="s">
        <v>1216</v>
      </c>
      <c r="B228" t="s">
        <v>821</v>
      </c>
      <c r="C228" t="s">
        <v>833</v>
      </c>
      <c r="D228" t="s">
        <v>992</v>
      </c>
      <c r="E228" t="s">
        <v>835</v>
      </c>
      <c r="G228" t="s">
        <v>836</v>
      </c>
      <c r="H228">
        <v>4</v>
      </c>
      <c r="I228" s="1">
        <v>45866.780862570784</v>
      </c>
      <c r="J228" s="1">
        <v>45886.870314761873</v>
      </c>
      <c r="K228" s="1">
        <v>45893.320794186955</v>
      </c>
    </row>
    <row r="229" spans="1:11">
      <c r="A229" t="s">
        <v>1217</v>
      </c>
      <c r="B229" t="s">
        <v>821</v>
      </c>
      <c r="C229" t="s">
        <v>833</v>
      </c>
      <c r="D229" t="s">
        <v>1218</v>
      </c>
      <c r="E229" t="s">
        <v>866</v>
      </c>
      <c r="G229" t="s">
        <v>836</v>
      </c>
      <c r="H229">
        <v>4</v>
      </c>
      <c r="I229" s="1">
        <v>45946.030646190302</v>
      </c>
      <c r="J229" s="1">
        <v>45966.118837248214</v>
      </c>
      <c r="K229" s="1" t="s">
        <v>837</v>
      </c>
    </row>
    <row r="230" spans="1:11">
      <c r="A230" t="s">
        <v>1219</v>
      </c>
      <c r="B230" t="s">
        <v>821</v>
      </c>
      <c r="C230" t="s">
        <v>833</v>
      </c>
      <c r="D230" t="s">
        <v>851</v>
      </c>
      <c r="E230" t="s">
        <v>847</v>
      </c>
      <c r="G230" t="s">
        <v>836</v>
      </c>
      <c r="H230">
        <v>4</v>
      </c>
      <c r="I230" s="1">
        <v>45918.795437469402</v>
      </c>
      <c r="J230" s="1">
        <v>45939.341693364309</v>
      </c>
      <c r="K230" s="1">
        <v>45938.078053517245</v>
      </c>
    </row>
    <row r="231" spans="1:11">
      <c r="A231" t="s">
        <v>1220</v>
      </c>
      <c r="B231" t="s">
        <v>821</v>
      </c>
      <c r="C231" t="s">
        <v>833</v>
      </c>
      <c r="D231" t="s">
        <v>1221</v>
      </c>
      <c r="E231" t="s">
        <v>847</v>
      </c>
      <c r="G231" t="s">
        <v>836</v>
      </c>
      <c r="H231">
        <v>4</v>
      </c>
      <c r="I231" s="1">
        <v>45871.127086132488</v>
      </c>
      <c r="J231" s="1">
        <v>45896.249438414517</v>
      </c>
      <c r="K231" s="1">
        <v>45900.514815050694</v>
      </c>
    </row>
    <row r="232" spans="1:11">
      <c r="A232" t="s">
        <v>1222</v>
      </c>
      <c r="B232" t="s">
        <v>821</v>
      </c>
      <c r="C232" t="s">
        <v>833</v>
      </c>
      <c r="D232" t="s">
        <v>1223</v>
      </c>
      <c r="E232" t="s">
        <v>866</v>
      </c>
      <c r="G232" t="s">
        <v>836</v>
      </c>
      <c r="H232">
        <v>4</v>
      </c>
      <c r="I232" s="1">
        <v>45986.003467152725</v>
      </c>
      <c r="J232" s="1">
        <v>46007.83631174569</v>
      </c>
      <c r="K232" s="1" t="s">
        <v>837</v>
      </c>
    </row>
    <row r="233" spans="1:11">
      <c r="A233" t="s">
        <v>1224</v>
      </c>
      <c r="B233" t="s">
        <v>821</v>
      </c>
      <c r="C233" t="s">
        <v>833</v>
      </c>
      <c r="D233" t="s">
        <v>1225</v>
      </c>
      <c r="E233" t="s">
        <v>835</v>
      </c>
      <c r="G233" t="s">
        <v>844</v>
      </c>
      <c r="H233">
        <v>4</v>
      </c>
      <c r="I233" s="1">
        <v>46019.045821768021</v>
      </c>
      <c r="J233" s="1">
        <v>46036.412585615428</v>
      </c>
      <c r="K233" s="1" t="s">
        <v>837</v>
      </c>
    </row>
    <row r="234" spans="1:11">
      <c r="A234" t="s">
        <v>1226</v>
      </c>
      <c r="B234" t="s">
        <v>821</v>
      </c>
      <c r="C234" t="s">
        <v>833</v>
      </c>
      <c r="D234" t="s">
        <v>1227</v>
      </c>
      <c r="E234" t="s">
        <v>847</v>
      </c>
      <c r="G234" t="s">
        <v>836</v>
      </c>
      <c r="H234">
        <v>4</v>
      </c>
      <c r="I234" s="1">
        <v>45953.339165708989</v>
      </c>
      <c r="J234" s="1">
        <v>45983.217589128792</v>
      </c>
      <c r="K234" s="1" t="s">
        <v>837</v>
      </c>
    </row>
    <row r="235" spans="1:11">
      <c r="A235" t="s">
        <v>1228</v>
      </c>
      <c r="B235" t="s">
        <v>821</v>
      </c>
      <c r="C235" t="s">
        <v>833</v>
      </c>
      <c r="D235" t="s">
        <v>1229</v>
      </c>
      <c r="E235" t="s">
        <v>866</v>
      </c>
      <c r="G235" t="s">
        <v>836</v>
      </c>
      <c r="H235">
        <v>4</v>
      </c>
      <c r="I235" s="1">
        <v>45862.662474660865</v>
      </c>
      <c r="J235" s="1">
        <v>45879.445748066879</v>
      </c>
      <c r="K235" s="1">
        <v>45888.20564303139</v>
      </c>
    </row>
    <row r="236" spans="1:11">
      <c r="A236" t="s">
        <v>1230</v>
      </c>
      <c r="B236" t="s">
        <v>821</v>
      </c>
      <c r="C236" t="s">
        <v>833</v>
      </c>
      <c r="D236" t="s">
        <v>1231</v>
      </c>
      <c r="E236" t="s">
        <v>866</v>
      </c>
      <c r="G236" t="s">
        <v>836</v>
      </c>
      <c r="H236">
        <v>4</v>
      </c>
      <c r="I236" s="1">
        <v>45944.155227089504</v>
      </c>
      <c r="J236" s="1">
        <v>45966.549701159674</v>
      </c>
      <c r="K236" s="1" t="s">
        <v>837</v>
      </c>
    </row>
    <row r="237" spans="1:11">
      <c r="A237" t="s">
        <v>1232</v>
      </c>
      <c r="B237" t="s">
        <v>821</v>
      </c>
      <c r="C237" t="s">
        <v>833</v>
      </c>
      <c r="D237" t="s">
        <v>1233</v>
      </c>
      <c r="E237" t="s">
        <v>840</v>
      </c>
      <c r="G237" t="s">
        <v>836</v>
      </c>
      <c r="H237">
        <v>4</v>
      </c>
      <c r="I237" s="1">
        <v>45990.905368723317</v>
      </c>
      <c r="J237" s="1">
        <v>46009.90321093228</v>
      </c>
      <c r="K237" s="1" t="s">
        <v>837</v>
      </c>
    </row>
    <row r="238" spans="1:11">
      <c r="A238" t="s">
        <v>1234</v>
      </c>
      <c r="B238" t="s">
        <v>821</v>
      </c>
      <c r="C238" t="s">
        <v>833</v>
      </c>
      <c r="D238" t="s">
        <v>1235</v>
      </c>
      <c r="E238" t="s">
        <v>835</v>
      </c>
      <c r="G238" t="s">
        <v>836</v>
      </c>
      <c r="H238">
        <v>1</v>
      </c>
      <c r="I238" s="1">
        <v>45920.60185606061</v>
      </c>
      <c r="J238" s="1">
        <v>45936.345794171342</v>
      </c>
      <c r="K238" s="1">
        <v>45943.318040730301</v>
      </c>
    </row>
    <row r="239" spans="1:11">
      <c r="A239" t="s">
        <v>1236</v>
      </c>
      <c r="B239" t="s">
        <v>821</v>
      </c>
      <c r="C239" t="s">
        <v>833</v>
      </c>
      <c r="D239" t="s">
        <v>1237</v>
      </c>
      <c r="E239" t="s">
        <v>835</v>
      </c>
      <c r="G239" t="s">
        <v>836</v>
      </c>
      <c r="H239">
        <v>4</v>
      </c>
      <c r="I239" s="1">
        <v>46013.705550803235</v>
      </c>
      <c r="J239" s="1">
        <v>46040.905068675289</v>
      </c>
      <c r="K239" s="1" t="s">
        <v>837</v>
      </c>
    </row>
    <row r="240" spans="1:11">
      <c r="A240" t="s">
        <v>1238</v>
      </c>
      <c r="B240" t="s">
        <v>821</v>
      </c>
      <c r="C240" t="s">
        <v>853</v>
      </c>
      <c r="D240" t="s">
        <v>1239</v>
      </c>
      <c r="E240" t="s">
        <v>840</v>
      </c>
      <c r="G240" t="s">
        <v>836</v>
      </c>
      <c r="H240">
        <v>4</v>
      </c>
      <c r="I240" s="1">
        <v>45967.567113017685</v>
      </c>
      <c r="J240" s="1">
        <v>45996.606665239386</v>
      </c>
      <c r="K240" s="1" t="s">
        <v>837</v>
      </c>
    </row>
    <row r="241" spans="1:11">
      <c r="A241" t="s">
        <v>1240</v>
      </c>
      <c r="B241" t="s">
        <v>821</v>
      </c>
      <c r="C241" t="s">
        <v>853</v>
      </c>
      <c r="D241" t="s">
        <v>1241</v>
      </c>
      <c r="E241" t="s">
        <v>866</v>
      </c>
      <c r="G241" t="s">
        <v>836</v>
      </c>
      <c r="H241">
        <v>3</v>
      </c>
      <c r="I241" s="1">
        <v>45992.79206165779</v>
      </c>
      <c r="J241" s="1">
        <v>46021.738686618817</v>
      </c>
      <c r="K241" s="1" t="s">
        <v>837</v>
      </c>
    </row>
    <row r="242" spans="1:11">
      <c r="A242" t="s">
        <v>1242</v>
      </c>
      <c r="B242" t="s">
        <v>821</v>
      </c>
      <c r="C242" t="s">
        <v>853</v>
      </c>
      <c r="D242" t="s">
        <v>1243</v>
      </c>
      <c r="E242" t="s">
        <v>866</v>
      </c>
      <c r="G242" t="s">
        <v>844</v>
      </c>
      <c r="H242">
        <v>4</v>
      </c>
      <c r="I242" s="1">
        <v>45847.447091539485</v>
      </c>
      <c r="J242" s="1">
        <v>45872.966913676857</v>
      </c>
      <c r="K242" s="1">
        <v>45875.713282504104</v>
      </c>
    </row>
    <row r="243" spans="1:11">
      <c r="A243" t="s">
        <v>1244</v>
      </c>
      <c r="B243" t="s">
        <v>821</v>
      </c>
      <c r="C243" t="s">
        <v>853</v>
      </c>
      <c r="D243" t="s">
        <v>1245</v>
      </c>
      <c r="E243" t="s">
        <v>840</v>
      </c>
      <c r="G243" t="s">
        <v>836</v>
      </c>
      <c r="H243">
        <v>4</v>
      </c>
      <c r="I243" s="1">
        <v>45973.256027544623</v>
      </c>
      <c r="J243" s="1">
        <v>45992.081059942102</v>
      </c>
      <c r="K243" s="1" t="s">
        <v>837</v>
      </c>
    </row>
    <row r="244" spans="1:11">
      <c r="A244" t="s">
        <v>1246</v>
      </c>
      <c r="B244" t="s">
        <v>821</v>
      </c>
      <c r="C244" t="s">
        <v>853</v>
      </c>
      <c r="D244" t="s">
        <v>854</v>
      </c>
      <c r="E244" t="s">
        <v>847</v>
      </c>
      <c r="G244" t="s">
        <v>836</v>
      </c>
      <c r="H244">
        <v>4</v>
      </c>
      <c r="I244" s="1">
        <v>45969.861304430327</v>
      </c>
      <c r="J244" s="1">
        <v>45989.830361676875</v>
      </c>
      <c r="K244" s="1" t="s">
        <v>837</v>
      </c>
    </row>
    <row r="245" spans="1:11">
      <c r="A245" t="s">
        <v>1247</v>
      </c>
      <c r="B245" t="s">
        <v>821</v>
      </c>
      <c r="C245" t="s">
        <v>853</v>
      </c>
      <c r="D245" t="s">
        <v>1248</v>
      </c>
      <c r="E245" t="s">
        <v>843</v>
      </c>
      <c r="G245" t="s">
        <v>836</v>
      </c>
      <c r="H245">
        <v>4</v>
      </c>
      <c r="I245" s="1">
        <v>45845.971277933902</v>
      </c>
      <c r="J245" s="1">
        <v>45867.573132515296</v>
      </c>
      <c r="K245" s="1">
        <v>45873.281587534177</v>
      </c>
    </row>
    <row r="246" spans="1:11">
      <c r="A246" t="s">
        <v>1249</v>
      </c>
      <c r="B246" t="s">
        <v>821</v>
      </c>
      <c r="C246" t="s">
        <v>853</v>
      </c>
      <c r="D246" t="s">
        <v>877</v>
      </c>
      <c r="E246" t="s">
        <v>835</v>
      </c>
      <c r="G246" t="s">
        <v>844</v>
      </c>
      <c r="H246">
        <v>4</v>
      </c>
      <c r="I246" s="1">
        <v>45916.445460465613</v>
      </c>
      <c r="J246" s="1">
        <v>45940.427224733328</v>
      </c>
      <c r="K246" s="1">
        <v>45949.37671179069</v>
      </c>
    </row>
    <row r="247" spans="1:11">
      <c r="A247" t="s">
        <v>1250</v>
      </c>
      <c r="B247" t="s">
        <v>821</v>
      </c>
      <c r="C247" t="s">
        <v>853</v>
      </c>
      <c r="D247" t="s">
        <v>1251</v>
      </c>
      <c r="E247" t="s">
        <v>840</v>
      </c>
      <c r="G247" t="s">
        <v>836</v>
      </c>
      <c r="H247">
        <v>4</v>
      </c>
      <c r="I247" s="1">
        <v>45922.86290999897</v>
      </c>
      <c r="J247" s="1">
        <v>45950.110058952938</v>
      </c>
      <c r="K247" s="1">
        <v>45940.596684591437</v>
      </c>
    </row>
    <row r="248" spans="1:11">
      <c r="A248" t="s">
        <v>1252</v>
      </c>
      <c r="B248" t="s">
        <v>821</v>
      </c>
      <c r="C248" t="s">
        <v>853</v>
      </c>
      <c r="D248" t="s">
        <v>879</v>
      </c>
      <c r="E248" t="s">
        <v>840</v>
      </c>
      <c r="G248" t="s">
        <v>836</v>
      </c>
      <c r="H248">
        <v>4</v>
      </c>
      <c r="I248" s="1">
        <v>45895.224859755283</v>
      </c>
      <c r="J248" s="1">
        <v>45917.461460817736</v>
      </c>
      <c r="K248" s="1">
        <v>45917.55505831739</v>
      </c>
    </row>
    <row r="249" spans="1:11">
      <c r="A249" t="s">
        <v>1253</v>
      </c>
      <c r="B249" t="s">
        <v>821</v>
      </c>
      <c r="C249" t="s">
        <v>853</v>
      </c>
      <c r="D249" t="s">
        <v>881</v>
      </c>
      <c r="E249" t="s">
        <v>866</v>
      </c>
      <c r="G249" t="s">
        <v>836</v>
      </c>
      <c r="H249">
        <v>1</v>
      </c>
      <c r="I249" s="1">
        <v>45975.991898240813</v>
      </c>
      <c r="J249" s="1">
        <v>45994.277226060491</v>
      </c>
      <c r="K249" s="1" t="s">
        <v>837</v>
      </c>
    </row>
    <row r="250" spans="1:11">
      <c r="A250" t="s">
        <v>1254</v>
      </c>
      <c r="B250" t="s">
        <v>821</v>
      </c>
      <c r="C250" t="s">
        <v>853</v>
      </c>
      <c r="D250" t="s">
        <v>1255</v>
      </c>
      <c r="E250" t="s">
        <v>835</v>
      </c>
      <c r="G250" t="s">
        <v>836</v>
      </c>
      <c r="H250">
        <v>3</v>
      </c>
      <c r="I250" s="1">
        <v>45885.936143106526</v>
      </c>
      <c r="J250" s="1">
        <v>45902.097935514095</v>
      </c>
      <c r="K250" s="1">
        <v>45900.916287411717</v>
      </c>
    </row>
    <row r="251" spans="1:11">
      <c r="A251" t="s">
        <v>1256</v>
      </c>
      <c r="B251" t="s">
        <v>821</v>
      </c>
      <c r="C251" t="s">
        <v>853</v>
      </c>
      <c r="D251" t="s">
        <v>1257</v>
      </c>
      <c r="E251" t="s">
        <v>843</v>
      </c>
      <c r="G251" t="s">
        <v>836</v>
      </c>
      <c r="H251">
        <v>4</v>
      </c>
      <c r="I251" s="1">
        <v>45923.011534954901</v>
      </c>
      <c r="J251" s="1">
        <v>45946.999981913701</v>
      </c>
      <c r="K251" s="1">
        <v>45946.137991045507</v>
      </c>
    </row>
    <row r="252" spans="1:11">
      <c r="A252" t="s">
        <v>1258</v>
      </c>
      <c r="B252" t="s">
        <v>821</v>
      </c>
      <c r="C252" t="s">
        <v>853</v>
      </c>
      <c r="D252" t="s">
        <v>1259</v>
      </c>
      <c r="E252" t="s">
        <v>835</v>
      </c>
      <c r="G252" t="s">
        <v>836</v>
      </c>
      <c r="H252">
        <v>4</v>
      </c>
      <c r="I252" s="1">
        <v>45889.009252900556</v>
      </c>
      <c r="J252" s="1">
        <v>45904.553648718895</v>
      </c>
      <c r="K252" s="1">
        <v>45905.607866615836</v>
      </c>
    </row>
    <row r="253" spans="1:11">
      <c r="A253" t="s">
        <v>1260</v>
      </c>
      <c r="B253" t="s">
        <v>821</v>
      </c>
      <c r="C253" t="s">
        <v>853</v>
      </c>
      <c r="D253" t="s">
        <v>1261</v>
      </c>
      <c r="E253" t="s">
        <v>847</v>
      </c>
      <c r="G253" t="s">
        <v>836</v>
      </c>
      <c r="H253">
        <v>4</v>
      </c>
      <c r="I253" s="1">
        <v>45927.662676595442</v>
      </c>
      <c r="J253" s="1">
        <v>45944.227067761531</v>
      </c>
      <c r="K253" s="1">
        <v>45951.754935258228</v>
      </c>
    </row>
    <row r="254" spans="1:11">
      <c r="A254" t="s">
        <v>1262</v>
      </c>
      <c r="B254" t="s">
        <v>821</v>
      </c>
      <c r="C254" t="s">
        <v>853</v>
      </c>
      <c r="D254" t="s">
        <v>1127</v>
      </c>
      <c r="E254" t="s">
        <v>847</v>
      </c>
      <c r="G254" t="s">
        <v>836</v>
      </c>
      <c r="H254">
        <v>4</v>
      </c>
      <c r="I254" s="1">
        <v>45989.779910879035</v>
      </c>
      <c r="J254" s="1">
        <v>46011.804661090289</v>
      </c>
      <c r="K254" s="1" t="s">
        <v>837</v>
      </c>
    </row>
    <row r="255" spans="1:11">
      <c r="A255" t="s">
        <v>1263</v>
      </c>
      <c r="B255" t="s">
        <v>821</v>
      </c>
      <c r="C255" t="s">
        <v>853</v>
      </c>
      <c r="D255" t="s">
        <v>1129</v>
      </c>
      <c r="E255" t="s">
        <v>835</v>
      </c>
      <c r="G255" t="s">
        <v>836</v>
      </c>
      <c r="H255">
        <v>2</v>
      </c>
      <c r="I255" s="1">
        <v>45908.995935873812</v>
      </c>
      <c r="J255" s="1">
        <v>45930.628063633485</v>
      </c>
      <c r="K255" s="1">
        <v>45933.358644356173</v>
      </c>
    </row>
    <row r="256" spans="1:11">
      <c r="A256" t="s">
        <v>1264</v>
      </c>
      <c r="B256" t="s">
        <v>821</v>
      </c>
      <c r="C256" t="s">
        <v>853</v>
      </c>
      <c r="D256" t="s">
        <v>1265</v>
      </c>
      <c r="E256" t="s">
        <v>843</v>
      </c>
      <c r="G256" t="s">
        <v>836</v>
      </c>
      <c r="H256">
        <v>4</v>
      </c>
      <c r="I256" s="1">
        <v>45875.338788445202</v>
      </c>
      <c r="J256" s="1">
        <v>45903.223666063372</v>
      </c>
      <c r="K256" s="1">
        <v>45900.932661037608</v>
      </c>
    </row>
    <row r="257" spans="1:11">
      <c r="A257" t="s">
        <v>1266</v>
      </c>
      <c r="B257" t="s">
        <v>821</v>
      </c>
      <c r="C257" t="s">
        <v>853</v>
      </c>
      <c r="D257" t="s">
        <v>1010</v>
      </c>
      <c r="E257" t="s">
        <v>866</v>
      </c>
      <c r="G257" t="s">
        <v>836</v>
      </c>
      <c r="H257">
        <v>1</v>
      </c>
      <c r="I257" s="1">
        <v>45855.831053825095</v>
      </c>
      <c r="J257" s="1">
        <v>45873.832084263981</v>
      </c>
      <c r="K257" s="1">
        <v>45867.331127491714</v>
      </c>
    </row>
    <row r="258" spans="1:11">
      <c r="A258" t="s">
        <v>1267</v>
      </c>
      <c r="B258" t="s">
        <v>821</v>
      </c>
      <c r="C258" t="s">
        <v>853</v>
      </c>
      <c r="D258" t="s">
        <v>1268</v>
      </c>
      <c r="E258" t="s">
        <v>866</v>
      </c>
      <c r="G258" t="s">
        <v>836</v>
      </c>
      <c r="H258">
        <v>4</v>
      </c>
      <c r="I258" s="1">
        <v>45915.321261397388</v>
      </c>
      <c r="J258" s="1">
        <v>45942.731211676037</v>
      </c>
      <c r="K258" s="1">
        <v>45938.622345095966</v>
      </c>
    </row>
    <row r="259" spans="1:11">
      <c r="A259" t="s">
        <v>1269</v>
      </c>
      <c r="B259" t="s">
        <v>821</v>
      </c>
      <c r="C259" t="s">
        <v>853</v>
      </c>
      <c r="D259" t="s">
        <v>1270</v>
      </c>
      <c r="E259" t="s">
        <v>866</v>
      </c>
      <c r="G259" t="s">
        <v>836</v>
      </c>
      <c r="H259">
        <v>4</v>
      </c>
      <c r="I259" s="1">
        <v>45890.136711968909</v>
      </c>
      <c r="J259" s="1">
        <v>45908.439449295343</v>
      </c>
      <c r="K259" s="1">
        <v>45900.858118389908</v>
      </c>
    </row>
    <row r="260" spans="1:11">
      <c r="A260" t="s">
        <v>1271</v>
      </c>
      <c r="B260" t="s">
        <v>821</v>
      </c>
      <c r="C260" t="s">
        <v>853</v>
      </c>
      <c r="D260" t="s">
        <v>1016</v>
      </c>
      <c r="E260" t="s">
        <v>843</v>
      </c>
      <c r="G260" t="s">
        <v>836</v>
      </c>
      <c r="H260">
        <v>3</v>
      </c>
      <c r="I260" s="1">
        <v>45841.464714075897</v>
      </c>
      <c r="J260" s="1">
        <v>45860.627140104079</v>
      </c>
      <c r="K260" s="1">
        <v>45854.575974062347</v>
      </c>
    </row>
    <row r="261" spans="1:11">
      <c r="A261" t="s">
        <v>1272</v>
      </c>
      <c r="B261" t="s">
        <v>821</v>
      </c>
      <c r="C261" t="s">
        <v>853</v>
      </c>
      <c r="D261" t="s">
        <v>1022</v>
      </c>
      <c r="E261" t="s">
        <v>835</v>
      </c>
      <c r="G261" t="s">
        <v>836</v>
      </c>
      <c r="H261">
        <v>3</v>
      </c>
      <c r="I261" s="1">
        <v>45970.816515087121</v>
      </c>
      <c r="J261" s="1">
        <v>45989.874866858328</v>
      </c>
      <c r="K261" s="1" t="s">
        <v>837</v>
      </c>
    </row>
    <row r="262" spans="1:11">
      <c r="A262" t="s">
        <v>1273</v>
      </c>
      <c r="B262" t="s">
        <v>821</v>
      </c>
      <c r="C262" t="s">
        <v>853</v>
      </c>
      <c r="D262" t="s">
        <v>1026</v>
      </c>
      <c r="E262" t="s">
        <v>866</v>
      </c>
      <c r="G262" t="s">
        <v>836</v>
      </c>
      <c r="H262">
        <v>4</v>
      </c>
      <c r="I262" s="1">
        <v>45987.863124002346</v>
      </c>
      <c r="J262" s="1">
        <v>46008.364123849926</v>
      </c>
      <c r="K262" s="1" t="s">
        <v>837</v>
      </c>
    </row>
    <row r="263" spans="1:11">
      <c r="A263" t="s">
        <v>1274</v>
      </c>
      <c r="B263" t="s">
        <v>821</v>
      </c>
      <c r="C263" t="s">
        <v>853</v>
      </c>
      <c r="D263" t="s">
        <v>1029</v>
      </c>
      <c r="E263" t="s">
        <v>840</v>
      </c>
      <c r="G263" t="s">
        <v>836</v>
      </c>
      <c r="H263">
        <v>4</v>
      </c>
      <c r="I263" s="1">
        <v>45905.819603134565</v>
      </c>
      <c r="J263" s="1">
        <v>45923.691652708163</v>
      </c>
      <c r="K263" s="1">
        <v>45917.841304231602</v>
      </c>
    </row>
    <row r="264" spans="1:11">
      <c r="A264" t="s">
        <v>1275</v>
      </c>
      <c r="B264" t="s">
        <v>821</v>
      </c>
      <c r="C264" t="s">
        <v>853</v>
      </c>
      <c r="D264" t="s">
        <v>1031</v>
      </c>
      <c r="E264" t="s">
        <v>835</v>
      </c>
      <c r="G264" t="s">
        <v>836</v>
      </c>
      <c r="H264">
        <v>4</v>
      </c>
      <c r="I264" s="1">
        <v>45991.575184794332</v>
      </c>
      <c r="J264" s="1">
        <v>46007.956837319063</v>
      </c>
      <c r="K264" s="1" t="s">
        <v>837</v>
      </c>
    </row>
    <row r="265" spans="1:11">
      <c r="A265" t="s">
        <v>1276</v>
      </c>
      <c r="B265" t="s">
        <v>821</v>
      </c>
      <c r="C265" t="s">
        <v>853</v>
      </c>
      <c r="D265" t="s">
        <v>1037</v>
      </c>
      <c r="E265" t="s">
        <v>840</v>
      </c>
      <c r="G265" t="s">
        <v>836</v>
      </c>
      <c r="H265">
        <v>4</v>
      </c>
      <c r="I265" s="1">
        <v>45927.821242065867</v>
      </c>
      <c r="J265" s="1">
        <v>45950.194499115969</v>
      </c>
      <c r="K265" s="1">
        <v>45943.706214830308</v>
      </c>
    </row>
    <row r="266" spans="1:11">
      <c r="A266" t="s">
        <v>1277</v>
      </c>
      <c r="B266" t="s">
        <v>821</v>
      </c>
      <c r="C266" t="s">
        <v>853</v>
      </c>
      <c r="D266" t="s">
        <v>1278</v>
      </c>
      <c r="E266" t="s">
        <v>843</v>
      </c>
      <c r="G266" t="s">
        <v>836</v>
      </c>
      <c r="H266">
        <v>4</v>
      </c>
      <c r="I266" s="1">
        <v>45999.01680020355</v>
      </c>
      <c r="J266" s="1">
        <v>46017.659550895252</v>
      </c>
      <c r="K266" s="1" t="s">
        <v>837</v>
      </c>
    </row>
    <row r="267" spans="1:11">
      <c r="A267" t="s">
        <v>1279</v>
      </c>
      <c r="B267" t="s">
        <v>821</v>
      </c>
      <c r="C267" t="s">
        <v>853</v>
      </c>
      <c r="D267" t="s">
        <v>1280</v>
      </c>
      <c r="E267" t="s">
        <v>843</v>
      </c>
      <c r="G267" t="s">
        <v>844</v>
      </c>
      <c r="H267">
        <v>3</v>
      </c>
      <c r="I267" s="1">
        <v>45879.404274889719</v>
      </c>
      <c r="J267" s="1">
        <v>45904.631765856393</v>
      </c>
      <c r="K267" s="1">
        <v>45904.094062205142</v>
      </c>
    </row>
    <row r="268" spans="1:11">
      <c r="A268" t="s">
        <v>1281</v>
      </c>
      <c r="B268" t="s">
        <v>821</v>
      </c>
      <c r="C268" t="s">
        <v>853</v>
      </c>
      <c r="D268" t="s">
        <v>1282</v>
      </c>
      <c r="E268" t="s">
        <v>840</v>
      </c>
      <c r="G268" t="s">
        <v>836</v>
      </c>
      <c r="H268">
        <v>4</v>
      </c>
      <c r="I268" s="1">
        <v>46007.011851564668</v>
      </c>
      <c r="J268" s="1">
        <v>46033.685552116542</v>
      </c>
      <c r="K268" s="1" t="s">
        <v>837</v>
      </c>
    </row>
    <row r="269" spans="1:11">
      <c r="A269" t="s">
        <v>1283</v>
      </c>
      <c r="B269" t="s">
        <v>821</v>
      </c>
      <c r="C269" t="s">
        <v>853</v>
      </c>
      <c r="D269" t="s">
        <v>1284</v>
      </c>
      <c r="E269" t="s">
        <v>866</v>
      </c>
      <c r="G269" t="s">
        <v>836</v>
      </c>
      <c r="H269">
        <v>3</v>
      </c>
      <c r="I269" s="1">
        <v>45894.363072243024</v>
      </c>
      <c r="J269" s="1">
        <v>45915.540230363222</v>
      </c>
      <c r="K269" s="1">
        <v>45914.773267612945</v>
      </c>
    </row>
    <row r="270" spans="1:11">
      <c r="A270" t="s">
        <v>1285</v>
      </c>
      <c r="B270" t="s">
        <v>821</v>
      </c>
      <c r="C270" t="s">
        <v>853</v>
      </c>
      <c r="D270" t="s">
        <v>1043</v>
      </c>
      <c r="E270" t="s">
        <v>866</v>
      </c>
      <c r="G270" t="s">
        <v>836</v>
      </c>
      <c r="H270">
        <v>4</v>
      </c>
      <c r="I270" s="1">
        <v>45887.970855159969</v>
      </c>
      <c r="J270" s="1">
        <v>45909.435522700645</v>
      </c>
      <c r="K270" s="1">
        <v>45919.177484245054</v>
      </c>
    </row>
    <row r="271" spans="1:11">
      <c r="A271" t="s">
        <v>1286</v>
      </c>
      <c r="B271" t="s">
        <v>821</v>
      </c>
      <c r="C271" t="s">
        <v>853</v>
      </c>
      <c r="D271" t="s">
        <v>1287</v>
      </c>
      <c r="E271" t="s">
        <v>847</v>
      </c>
      <c r="G271" t="s">
        <v>836</v>
      </c>
      <c r="H271">
        <v>4</v>
      </c>
      <c r="I271" s="1">
        <v>45951.555757844551</v>
      </c>
      <c r="J271" s="1">
        <v>45968.735050602671</v>
      </c>
      <c r="K271" s="1" t="s">
        <v>837</v>
      </c>
    </row>
    <row r="272" spans="1:11">
      <c r="A272" t="s">
        <v>1288</v>
      </c>
      <c r="B272" t="s">
        <v>821</v>
      </c>
      <c r="C272" t="s">
        <v>853</v>
      </c>
      <c r="D272" t="s">
        <v>1289</v>
      </c>
      <c r="E272" t="s">
        <v>835</v>
      </c>
      <c r="G272" t="s">
        <v>836</v>
      </c>
      <c r="H272">
        <v>3</v>
      </c>
      <c r="I272" s="1">
        <v>45853.239160185949</v>
      </c>
      <c r="J272" s="1">
        <v>45872.539548788533</v>
      </c>
      <c r="K272" s="1">
        <v>45869.865453199571</v>
      </c>
    </row>
    <row r="273" spans="1:11">
      <c r="A273" t="s">
        <v>1290</v>
      </c>
      <c r="B273" t="s">
        <v>821</v>
      </c>
      <c r="C273" t="s">
        <v>853</v>
      </c>
      <c r="D273" t="s">
        <v>1291</v>
      </c>
      <c r="E273" t="s">
        <v>866</v>
      </c>
      <c r="G273" t="s">
        <v>836</v>
      </c>
      <c r="H273">
        <v>4</v>
      </c>
      <c r="I273" s="1">
        <v>46015.545499354572</v>
      </c>
      <c r="J273" s="1">
        <v>46038.153825326561</v>
      </c>
      <c r="K273" s="1" t="s">
        <v>837</v>
      </c>
    </row>
    <row r="274" spans="1:11">
      <c r="A274" t="s">
        <v>1292</v>
      </c>
      <c r="B274" t="s">
        <v>821</v>
      </c>
      <c r="C274" t="s">
        <v>853</v>
      </c>
      <c r="D274" t="s">
        <v>1293</v>
      </c>
      <c r="E274" t="s">
        <v>847</v>
      </c>
      <c r="G274" t="s">
        <v>836</v>
      </c>
      <c r="H274">
        <v>4</v>
      </c>
      <c r="I274" s="1">
        <v>45859.096362247277</v>
      </c>
      <c r="J274" s="1">
        <v>45887.610253206782</v>
      </c>
      <c r="K274" s="1">
        <v>45879.970511180923</v>
      </c>
    </row>
    <row r="275" spans="1:11">
      <c r="A275" t="s">
        <v>1294</v>
      </c>
      <c r="B275" t="s">
        <v>821</v>
      </c>
      <c r="C275" t="s">
        <v>853</v>
      </c>
      <c r="D275" t="s">
        <v>1295</v>
      </c>
      <c r="E275" t="s">
        <v>847</v>
      </c>
      <c r="G275" t="s">
        <v>836</v>
      </c>
      <c r="H275">
        <v>4</v>
      </c>
      <c r="I275" s="1">
        <v>45925.776803628447</v>
      </c>
      <c r="J275" s="1">
        <v>45949.443723701384</v>
      </c>
      <c r="K275" s="1">
        <v>45955.993005353732</v>
      </c>
    </row>
    <row r="276" spans="1:11">
      <c r="A276" t="s">
        <v>1296</v>
      </c>
      <c r="B276" t="s">
        <v>821</v>
      </c>
      <c r="C276" t="s">
        <v>853</v>
      </c>
      <c r="D276" t="s">
        <v>1297</v>
      </c>
      <c r="E276" t="s">
        <v>843</v>
      </c>
      <c r="G276" t="s">
        <v>836</v>
      </c>
      <c r="H276">
        <v>4</v>
      </c>
      <c r="I276" s="1">
        <v>45922.248064812673</v>
      </c>
      <c r="J276" s="1">
        <v>45945.522525336237</v>
      </c>
      <c r="K276" s="1">
        <v>45941.653885018924</v>
      </c>
    </row>
    <row r="277" spans="1:11">
      <c r="A277" t="s">
        <v>1298</v>
      </c>
      <c r="B277" t="s">
        <v>821</v>
      </c>
      <c r="C277" t="s">
        <v>853</v>
      </c>
      <c r="D277" t="s">
        <v>1299</v>
      </c>
      <c r="E277" t="s">
        <v>840</v>
      </c>
      <c r="G277" t="s">
        <v>836</v>
      </c>
      <c r="H277">
        <v>4</v>
      </c>
      <c r="I277" s="1">
        <v>45875.691565045825</v>
      </c>
      <c r="J277" s="1">
        <v>45902.57559006368</v>
      </c>
      <c r="K277" s="1">
        <v>45892.738528845293</v>
      </c>
    </row>
    <row r="278" spans="1:11">
      <c r="A278" t="s">
        <v>1300</v>
      </c>
      <c r="B278" t="s">
        <v>821</v>
      </c>
      <c r="C278" t="s">
        <v>853</v>
      </c>
      <c r="D278" t="s">
        <v>1301</v>
      </c>
      <c r="E278" t="s">
        <v>866</v>
      </c>
      <c r="G278" t="s">
        <v>836</v>
      </c>
      <c r="H278">
        <v>4</v>
      </c>
      <c r="I278" s="1">
        <v>45959.121897751116</v>
      </c>
      <c r="J278" s="1">
        <v>45981.468841092712</v>
      </c>
      <c r="K278" s="1" t="s">
        <v>837</v>
      </c>
    </row>
    <row r="279" spans="1:11">
      <c r="A279" t="s">
        <v>1302</v>
      </c>
      <c r="B279" t="s">
        <v>821</v>
      </c>
      <c r="C279" t="s">
        <v>862</v>
      </c>
      <c r="D279" t="s">
        <v>863</v>
      </c>
      <c r="E279" t="s">
        <v>843</v>
      </c>
      <c r="G279" t="s">
        <v>836</v>
      </c>
      <c r="H279">
        <v>1</v>
      </c>
      <c r="I279" s="1">
        <v>45861.875006981674</v>
      </c>
      <c r="J279" s="1">
        <v>45889.121057842647</v>
      </c>
      <c r="K279" s="1">
        <v>45896.77661738851</v>
      </c>
    </row>
    <row r="280" spans="1:11">
      <c r="A280" t="s">
        <v>1303</v>
      </c>
      <c r="B280" t="s">
        <v>821</v>
      </c>
      <c r="C280" t="s">
        <v>862</v>
      </c>
      <c r="D280" t="s">
        <v>1304</v>
      </c>
      <c r="E280" t="s">
        <v>866</v>
      </c>
      <c r="G280" t="s">
        <v>836</v>
      </c>
      <c r="H280">
        <v>4</v>
      </c>
      <c r="I280" s="1">
        <v>45891.558219518971</v>
      </c>
      <c r="J280" s="1">
        <v>45919.330273245752</v>
      </c>
      <c r="K280" s="1">
        <v>45925.184925175454</v>
      </c>
    </row>
    <row r="281" spans="1:11">
      <c r="A281" t="s">
        <v>1305</v>
      </c>
      <c r="B281" t="s">
        <v>821</v>
      </c>
      <c r="C281" t="s">
        <v>862</v>
      </c>
      <c r="D281" t="s">
        <v>1306</v>
      </c>
      <c r="E281" t="s">
        <v>847</v>
      </c>
      <c r="G281" t="s">
        <v>836</v>
      </c>
      <c r="H281">
        <v>4</v>
      </c>
      <c r="I281" s="1">
        <v>45847.618173760966</v>
      </c>
      <c r="J281" s="1">
        <v>45864.082266347708</v>
      </c>
      <c r="K281" s="1">
        <v>45859.377993511443</v>
      </c>
    </row>
    <row r="282" spans="1:11">
      <c r="A282" t="s">
        <v>1307</v>
      </c>
      <c r="B282" t="s">
        <v>821</v>
      </c>
      <c r="C282" t="s">
        <v>862</v>
      </c>
      <c r="D282" t="s">
        <v>1308</v>
      </c>
      <c r="E282" t="s">
        <v>840</v>
      </c>
      <c r="G282" t="s">
        <v>836</v>
      </c>
      <c r="H282">
        <v>4</v>
      </c>
      <c r="I282" s="1">
        <v>45902.533251470682</v>
      </c>
      <c r="J282" s="1">
        <v>45932.440520740289</v>
      </c>
      <c r="K282" s="1">
        <v>45926.405427648555</v>
      </c>
    </row>
    <row r="283" spans="1:11">
      <c r="A283" t="s">
        <v>1309</v>
      </c>
      <c r="B283" t="s">
        <v>821</v>
      </c>
      <c r="C283" t="s">
        <v>862</v>
      </c>
      <c r="D283" t="s">
        <v>1310</v>
      </c>
      <c r="E283" t="s">
        <v>840</v>
      </c>
      <c r="G283" t="s">
        <v>844</v>
      </c>
      <c r="H283">
        <v>4</v>
      </c>
      <c r="I283" s="1">
        <v>45901.728585539968</v>
      </c>
      <c r="J283" s="1">
        <v>45924.910280819531</v>
      </c>
      <c r="K283" s="1">
        <v>45921.848435114371</v>
      </c>
    </row>
    <row r="284" spans="1:11">
      <c r="A284" t="s">
        <v>1311</v>
      </c>
      <c r="B284" t="s">
        <v>821</v>
      </c>
      <c r="C284" t="s">
        <v>862</v>
      </c>
      <c r="D284" t="s">
        <v>1312</v>
      </c>
      <c r="E284" t="s">
        <v>840</v>
      </c>
      <c r="G284" t="s">
        <v>836</v>
      </c>
      <c r="H284">
        <v>1</v>
      </c>
      <c r="I284" s="1">
        <v>45980.099960442778</v>
      </c>
      <c r="J284" s="1">
        <v>45998.00143467803</v>
      </c>
      <c r="K284" s="1" t="s">
        <v>837</v>
      </c>
    </row>
    <row r="285" spans="1:11">
      <c r="A285" t="s">
        <v>1313</v>
      </c>
      <c r="B285" t="s">
        <v>821</v>
      </c>
      <c r="C285" t="s">
        <v>862</v>
      </c>
      <c r="D285" t="s">
        <v>1314</v>
      </c>
      <c r="E285" t="s">
        <v>847</v>
      </c>
      <c r="G285" t="s">
        <v>836</v>
      </c>
      <c r="H285">
        <v>4</v>
      </c>
      <c r="I285" s="1">
        <v>45954.365243052955</v>
      </c>
      <c r="J285" s="1">
        <v>45982.554995912229</v>
      </c>
      <c r="K285" s="1" t="s">
        <v>837</v>
      </c>
    </row>
    <row r="286" spans="1:11">
      <c r="A286" t="s">
        <v>1315</v>
      </c>
      <c r="B286" t="s">
        <v>821</v>
      </c>
      <c r="C286" t="s">
        <v>862</v>
      </c>
      <c r="D286" t="s">
        <v>865</v>
      </c>
      <c r="E286" t="s">
        <v>866</v>
      </c>
      <c r="G286" t="s">
        <v>836</v>
      </c>
      <c r="H286">
        <v>4</v>
      </c>
      <c r="I286" s="1">
        <v>45932.348586436761</v>
      </c>
      <c r="J286" s="1">
        <v>45959.524623287289</v>
      </c>
      <c r="K286" s="1">
        <v>45955.259993538399</v>
      </c>
    </row>
    <row r="287" spans="1:11">
      <c r="A287" t="s">
        <v>1316</v>
      </c>
      <c r="B287" t="s">
        <v>821</v>
      </c>
      <c r="C287" t="s">
        <v>862</v>
      </c>
      <c r="D287" t="s">
        <v>1317</v>
      </c>
      <c r="E287" t="s">
        <v>843</v>
      </c>
      <c r="G287" t="s">
        <v>836</v>
      </c>
      <c r="H287">
        <v>2</v>
      </c>
      <c r="I287" s="1">
        <v>46021.264967668962</v>
      </c>
      <c r="J287" s="1">
        <v>46044.313950014264</v>
      </c>
      <c r="K287" s="1" t="s">
        <v>837</v>
      </c>
    </row>
    <row r="288" spans="1:11">
      <c r="A288" t="s">
        <v>1318</v>
      </c>
      <c r="B288" t="s">
        <v>821</v>
      </c>
      <c r="C288" t="s">
        <v>862</v>
      </c>
      <c r="D288" t="s">
        <v>868</v>
      </c>
      <c r="E288" t="s">
        <v>843</v>
      </c>
      <c r="G288" t="s">
        <v>836</v>
      </c>
      <c r="H288">
        <v>4</v>
      </c>
      <c r="I288" s="1">
        <v>45866.427407863979</v>
      </c>
      <c r="J288" s="1">
        <v>45887.932508628182</v>
      </c>
      <c r="K288" s="1">
        <v>45881.922522345718</v>
      </c>
    </row>
    <row r="289" spans="1:11">
      <c r="A289" t="s">
        <v>1319</v>
      </c>
      <c r="B289" t="s">
        <v>821</v>
      </c>
      <c r="C289" t="s">
        <v>862</v>
      </c>
      <c r="D289" t="s">
        <v>1057</v>
      </c>
      <c r="E289" t="s">
        <v>843</v>
      </c>
      <c r="G289" t="s">
        <v>836</v>
      </c>
      <c r="H289">
        <v>4</v>
      </c>
      <c r="I289" s="1">
        <v>45962.670222762819</v>
      </c>
      <c r="J289" s="1">
        <v>45984.675192418872</v>
      </c>
      <c r="K289" s="1" t="s">
        <v>837</v>
      </c>
    </row>
    <row r="290" spans="1:11">
      <c r="A290" t="s">
        <v>1320</v>
      </c>
      <c r="B290" t="s">
        <v>821</v>
      </c>
      <c r="C290" t="s">
        <v>862</v>
      </c>
      <c r="D290" t="s">
        <v>1061</v>
      </c>
      <c r="E290" t="s">
        <v>835</v>
      </c>
      <c r="G290" t="s">
        <v>836</v>
      </c>
      <c r="H290">
        <v>3</v>
      </c>
      <c r="I290" s="1">
        <v>45997.474714223863</v>
      </c>
      <c r="J290" s="1">
        <v>46013.415396662604</v>
      </c>
      <c r="K290" s="1" t="s">
        <v>837</v>
      </c>
    </row>
    <row r="291" spans="1:11">
      <c r="A291" t="s">
        <v>1321</v>
      </c>
      <c r="B291" t="s">
        <v>821</v>
      </c>
      <c r="C291" t="s">
        <v>862</v>
      </c>
      <c r="D291" t="s">
        <v>1322</v>
      </c>
      <c r="E291" t="s">
        <v>847</v>
      </c>
      <c r="G291" t="s">
        <v>836</v>
      </c>
      <c r="H291">
        <v>4</v>
      </c>
      <c r="I291" s="1">
        <v>45865.964096276257</v>
      </c>
      <c r="J291" s="1">
        <v>45881.410277504066</v>
      </c>
      <c r="K291" s="1">
        <v>45881.40565463146</v>
      </c>
    </row>
    <row r="292" spans="1:11">
      <c r="A292" t="s">
        <v>1323</v>
      </c>
      <c r="B292" t="s">
        <v>821</v>
      </c>
      <c r="C292" t="s">
        <v>862</v>
      </c>
      <c r="D292" t="s">
        <v>870</v>
      </c>
      <c r="E292" t="s">
        <v>843</v>
      </c>
      <c r="G292" t="s">
        <v>836</v>
      </c>
      <c r="H292">
        <v>4</v>
      </c>
      <c r="I292" s="1">
        <v>46000.776125515113</v>
      </c>
      <c r="J292" s="1">
        <v>46022.91822348252</v>
      </c>
      <c r="K292" s="1" t="s">
        <v>837</v>
      </c>
    </row>
    <row r="293" spans="1:11">
      <c r="A293" t="s">
        <v>1324</v>
      </c>
      <c r="B293" t="s">
        <v>821</v>
      </c>
      <c r="C293" t="s">
        <v>862</v>
      </c>
      <c r="D293" t="s">
        <v>1325</v>
      </c>
      <c r="E293" t="s">
        <v>843</v>
      </c>
      <c r="G293" t="s">
        <v>836</v>
      </c>
      <c r="H293">
        <v>4</v>
      </c>
      <c r="I293" s="1">
        <v>45957.662369710204</v>
      </c>
      <c r="J293" s="1">
        <v>45973.060368177597</v>
      </c>
      <c r="K293" s="1" t="s">
        <v>837</v>
      </c>
    </row>
    <row r="294" spans="1:11">
      <c r="A294" t="s">
        <v>1326</v>
      </c>
      <c r="B294" t="s">
        <v>821</v>
      </c>
      <c r="C294" t="s">
        <v>862</v>
      </c>
      <c r="D294" t="s">
        <v>1327</v>
      </c>
      <c r="E294" t="s">
        <v>840</v>
      </c>
      <c r="G294" t="s">
        <v>836</v>
      </c>
      <c r="H294">
        <v>4</v>
      </c>
      <c r="I294" s="1">
        <v>45900.458197770742</v>
      </c>
      <c r="J294" s="1">
        <v>45926.399635662761</v>
      </c>
      <c r="K294" s="1">
        <v>45932.840434756188</v>
      </c>
    </row>
    <row r="295" spans="1:11">
      <c r="A295" t="s">
        <v>1328</v>
      </c>
      <c r="B295" t="s">
        <v>821</v>
      </c>
      <c r="C295" t="s">
        <v>862</v>
      </c>
      <c r="D295" t="s">
        <v>1329</v>
      </c>
      <c r="E295" t="s">
        <v>843</v>
      </c>
      <c r="G295" t="s">
        <v>836</v>
      </c>
      <c r="H295">
        <v>2</v>
      </c>
      <c r="I295" s="1">
        <v>45955.135337125044</v>
      </c>
      <c r="J295" s="1">
        <v>45975.945529659504</v>
      </c>
      <c r="K295" s="1" t="s">
        <v>837</v>
      </c>
    </row>
    <row r="296" spans="1:11">
      <c r="A296" t="s">
        <v>1330</v>
      </c>
      <c r="B296" t="s">
        <v>821</v>
      </c>
      <c r="C296" t="s">
        <v>862</v>
      </c>
      <c r="D296" t="s">
        <v>1144</v>
      </c>
      <c r="E296" t="s">
        <v>866</v>
      </c>
      <c r="G296" t="s">
        <v>836</v>
      </c>
      <c r="H296">
        <v>2</v>
      </c>
      <c r="I296" s="1">
        <v>45967.06254532298</v>
      </c>
      <c r="J296" s="1">
        <v>45988.72197303702</v>
      </c>
      <c r="K296" s="1" t="s">
        <v>837</v>
      </c>
    </row>
    <row r="297" spans="1:11">
      <c r="A297" t="s">
        <v>1331</v>
      </c>
      <c r="B297" t="s">
        <v>821</v>
      </c>
      <c r="C297" t="s">
        <v>862</v>
      </c>
      <c r="D297" t="s">
        <v>1148</v>
      </c>
      <c r="E297" t="s">
        <v>866</v>
      </c>
      <c r="G297" t="s">
        <v>836</v>
      </c>
      <c r="H297">
        <v>2</v>
      </c>
      <c r="I297" s="1">
        <v>46010.461785858861</v>
      </c>
      <c r="J297" s="1">
        <v>46036.360272112906</v>
      </c>
      <c r="K297" s="1" t="s">
        <v>837</v>
      </c>
    </row>
    <row r="298" spans="1:11">
      <c r="A298" t="s">
        <v>1332</v>
      </c>
      <c r="B298" t="s">
        <v>821</v>
      </c>
      <c r="C298" t="s">
        <v>862</v>
      </c>
      <c r="D298" t="s">
        <v>1333</v>
      </c>
      <c r="E298" t="s">
        <v>847</v>
      </c>
      <c r="G298" t="s">
        <v>836</v>
      </c>
      <c r="H298">
        <v>2</v>
      </c>
      <c r="I298" s="1">
        <v>45874.133343177942</v>
      </c>
      <c r="J298" s="1">
        <v>45889.143139152475</v>
      </c>
      <c r="K298" s="1">
        <v>45897.513684219433</v>
      </c>
    </row>
    <row r="299" spans="1:11">
      <c r="A299" t="s">
        <v>1334</v>
      </c>
      <c r="B299" t="s">
        <v>821</v>
      </c>
      <c r="C299" t="s">
        <v>862</v>
      </c>
      <c r="D299" t="s">
        <v>923</v>
      </c>
      <c r="E299" t="s">
        <v>843</v>
      </c>
      <c r="G299" t="s">
        <v>836</v>
      </c>
      <c r="H299">
        <v>4</v>
      </c>
      <c r="I299" s="1">
        <v>45855.480008846389</v>
      </c>
      <c r="J299" s="1">
        <v>45875.704256263009</v>
      </c>
      <c r="K299" s="1">
        <v>45877.524154043429</v>
      </c>
    </row>
    <row r="300" spans="1:11">
      <c r="A300" t="s">
        <v>1335</v>
      </c>
      <c r="B300" t="s">
        <v>821</v>
      </c>
      <c r="C300" t="s">
        <v>862</v>
      </c>
      <c r="D300" t="s">
        <v>1069</v>
      </c>
      <c r="E300" t="s">
        <v>843</v>
      </c>
      <c r="G300" t="s">
        <v>836</v>
      </c>
      <c r="H300">
        <v>4</v>
      </c>
      <c r="I300" s="1">
        <v>45897.496523626425</v>
      </c>
      <c r="J300" s="1">
        <v>45926.711480615944</v>
      </c>
      <c r="K300" s="1">
        <v>45922.545601258847</v>
      </c>
    </row>
    <row r="301" spans="1:11">
      <c r="A301" t="s">
        <v>1336</v>
      </c>
      <c r="B301" t="s">
        <v>821</v>
      </c>
      <c r="C301" t="s">
        <v>862</v>
      </c>
      <c r="D301" t="s">
        <v>1071</v>
      </c>
      <c r="E301" t="s">
        <v>847</v>
      </c>
      <c r="G301" t="s">
        <v>836</v>
      </c>
      <c r="H301">
        <v>4</v>
      </c>
      <c r="I301" s="1">
        <v>45986.284543087466</v>
      </c>
      <c r="J301" s="1">
        <v>46011.68607937693</v>
      </c>
      <c r="K301" s="1" t="s">
        <v>837</v>
      </c>
    </row>
    <row r="302" spans="1:11">
      <c r="A302" t="s">
        <v>1337</v>
      </c>
      <c r="B302" t="s">
        <v>821</v>
      </c>
      <c r="C302" t="s">
        <v>862</v>
      </c>
      <c r="D302" t="s">
        <v>1077</v>
      </c>
      <c r="E302" t="s">
        <v>835</v>
      </c>
      <c r="G302" t="s">
        <v>836</v>
      </c>
      <c r="H302">
        <v>4</v>
      </c>
      <c r="I302" s="1">
        <v>45981.620030941929</v>
      </c>
      <c r="J302" s="1">
        <v>46010.26623823891</v>
      </c>
      <c r="K302" s="1" t="s">
        <v>837</v>
      </c>
    </row>
    <row r="303" spans="1:11">
      <c r="A303" t="s">
        <v>1338</v>
      </c>
      <c r="B303" t="s">
        <v>821</v>
      </c>
      <c r="C303" t="s">
        <v>862</v>
      </c>
      <c r="D303" t="s">
        <v>1339</v>
      </c>
      <c r="E303" t="s">
        <v>843</v>
      </c>
      <c r="G303" t="s">
        <v>836</v>
      </c>
      <c r="H303">
        <v>4</v>
      </c>
      <c r="I303" s="1">
        <v>45845.682285476141</v>
      </c>
      <c r="J303" s="1">
        <v>45861.64767036424</v>
      </c>
      <c r="K303" s="1">
        <v>45857.519763322984</v>
      </c>
    </row>
    <row r="304" spans="1:11">
      <c r="A304" t="s">
        <v>1340</v>
      </c>
      <c r="B304" t="s">
        <v>821</v>
      </c>
      <c r="C304" t="s">
        <v>862</v>
      </c>
      <c r="D304" t="s">
        <v>1341</v>
      </c>
      <c r="E304" t="s">
        <v>843</v>
      </c>
      <c r="G304" t="s">
        <v>836</v>
      </c>
      <c r="H304">
        <v>4</v>
      </c>
      <c r="I304" s="1">
        <v>45862.882764166294</v>
      </c>
      <c r="J304" s="1">
        <v>45889.819208219742</v>
      </c>
      <c r="K304" s="1">
        <v>45892.717545916814</v>
      </c>
    </row>
    <row r="305" spans="1:11">
      <c r="A305" t="s">
        <v>1342</v>
      </c>
      <c r="B305" t="s">
        <v>821</v>
      </c>
      <c r="C305" t="s">
        <v>862</v>
      </c>
      <c r="D305" t="s">
        <v>1081</v>
      </c>
      <c r="E305" t="s">
        <v>843</v>
      </c>
      <c r="G305" t="s">
        <v>836</v>
      </c>
      <c r="H305">
        <v>1</v>
      </c>
      <c r="I305" s="1">
        <v>45969.100567724672</v>
      </c>
      <c r="J305" s="1">
        <v>45985.557846408243</v>
      </c>
      <c r="K305" s="1" t="s">
        <v>837</v>
      </c>
    </row>
    <row r="306" spans="1:11">
      <c r="A306" t="s">
        <v>1343</v>
      </c>
      <c r="B306" t="s">
        <v>821</v>
      </c>
      <c r="C306" t="s">
        <v>862</v>
      </c>
      <c r="D306" t="s">
        <v>1344</v>
      </c>
      <c r="E306" t="s">
        <v>847</v>
      </c>
      <c r="G306" t="s">
        <v>836</v>
      </c>
      <c r="H306">
        <v>4</v>
      </c>
      <c r="I306" s="1">
        <v>46015.419457556156</v>
      </c>
      <c r="J306" s="1">
        <v>46042.09665905757</v>
      </c>
      <c r="K306" s="1" t="s">
        <v>837</v>
      </c>
    </row>
    <row r="307" spans="1:11">
      <c r="A307" t="s">
        <v>1345</v>
      </c>
      <c r="B307" t="s">
        <v>821</v>
      </c>
      <c r="C307" t="s">
        <v>862</v>
      </c>
      <c r="D307" t="s">
        <v>1346</v>
      </c>
      <c r="E307" t="s">
        <v>866</v>
      </c>
      <c r="G307" t="s">
        <v>836</v>
      </c>
      <c r="H307">
        <v>4</v>
      </c>
      <c r="I307" s="1">
        <v>45910.52917466189</v>
      </c>
      <c r="J307" s="1">
        <v>45927.460496103748</v>
      </c>
      <c r="K307" s="1">
        <v>45928.67314818161</v>
      </c>
    </row>
    <row r="308" spans="1:11">
      <c r="A308" t="s">
        <v>1347</v>
      </c>
      <c r="B308" t="s">
        <v>821</v>
      </c>
      <c r="C308" t="s">
        <v>862</v>
      </c>
      <c r="D308" t="s">
        <v>1089</v>
      </c>
      <c r="E308" t="s">
        <v>835</v>
      </c>
      <c r="G308" t="s">
        <v>836</v>
      </c>
      <c r="H308">
        <v>4</v>
      </c>
      <c r="I308" s="1">
        <v>45882.588446292553</v>
      </c>
      <c r="J308" s="1">
        <v>45908.131692361814</v>
      </c>
      <c r="K308" s="1">
        <v>45899.561436117518</v>
      </c>
    </row>
    <row r="309" spans="1:11">
      <c r="A309" t="s">
        <v>1348</v>
      </c>
      <c r="B309" t="s">
        <v>821</v>
      </c>
      <c r="C309" t="s">
        <v>862</v>
      </c>
      <c r="D309" t="s">
        <v>1349</v>
      </c>
      <c r="E309" t="s">
        <v>847</v>
      </c>
      <c r="G309" t="s">
        <v>836</v>
      </c>
      <c r="H309">
        <v>3</v>
      </c>
      <c r="I309" s="1">
        <v>45999.755588353866</v>
      </c>
      <c r="J309" s="1">
        <v>46018.561682237807</v>
      </c>
      <c r="K309" s="1" t="s">
        <v>837</v>
      </c>
    </row>
    <row r="310" spans="1:11">
      <c r="A310" t="s">
        <v>1350</v>
      </c>
      <c r="B310" t="s">
        <v>821</v>
      </c>
      <c r="C310" t="s">
        <v>862</v>
      </c>
      <c r="D310" t="s">
        <v>1351</v>
      </c>
      <c r="E310" t="s">
        <v>835</v>
      </c>
      <c r="G310" t="s">
        <v>836</v>
      </c>
      <c r="H310">
        <v>4</v>
      </c>
      <c r="I310" s="1">
        <v>45867.755756068305</v>
      </c>
      <c r="J310" s="1">
        <v>45892.212378870761</v>
      </c>
      <c r="K310" s="1">
        <v>45882.417049142045</v>
      </c>
    </row>
    <row r="311" spans="1:11">
      <c r="A311" t="s">
        <v>1352</v>
      </c>
      <c r="B311" t="s">
        <v>821</v>
      </c>
      <c r="C311" t="s">
        <v>862</v>
      </c>
      <c r="D311" t="s">
        <v>901</v>
      </c>
      <c r="E311" t="s">
        <v>840</v>
      </c>
      <c r="G311" t="s">
        <v>836</v>
      </c>
      <c r="H311">
        <v>4</v>
      </c>
      <c r="I311" s="1">
        <v>46007.134357727205</v>
      </c>
      <c r="J311" s="1">
        <v>46032.031271847067</v>
      </c>
      <c r="K311" s="1" t="s">
        <v>837</v>
      </c>
    </row>
    <row r="312" spans="1:11">
      <c r="A312" t="s">
        <v>1353</v>
      </c>
      <c r="B312" t="s">
        <v>821</v>
      </c>
      <c r="C312" t="s">
        <v>862</v>
      </c>
      <c r="D312" t="s">
        <v>1354</v>
      </c>
      <c r="E312" t="s">
        <v>840</v>
      </c>
      <c r="G312" t="s">
        <v>844</v>
      </c>
      <c r="H312">
        <v>3</v>
      </c>
      <c r="I312" s="1">
        <v>45972.32925599756</v>
      </c>
      <c r="J312" s="1">
        <v>45995.481037870377</v>
      </c>
      <c r="K312" s="1" t="s">
        <v>837</v>
      </c>
    </row>
  </sheetData>
  <autoFilter ref="A1:H312" xr:uid="{7FC7CD0A-1B89-4FE7-84FA-0F11780F8FE1}">
    <sortState xmlns:xlrd2="http://schemas.microsoft.com/office/spreadsheetml/2017/richdata2" ref="A2:H312">
      <sortCondition ref="A1:A312"/>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DB04-C2F3-4783-A799-104B3E7A5F7C}">
  <dimension ref="A1:J579"/>
  <sheetViews>
    <sheetView workbookViewId="0">
      <selection activeCell="E10" sqref="E10"/>
    </sheetView>
  </sheetViews>
  <sheetFormatPr defaultRowHeight="14.5"/>
  <cols>
    <col min="5" max="5" width="10.1796875" bestFit="1" customWidth="1"/>
    <col min="6" max="6" width="24.453125" bestFit="1" customWidth="1"/>
    <col min="7" max="7" width="13.26953125" bestFit="1" customWidth="1"/>
    <col min="8" max="8" width="11.54296875" bestFit="1" customWidth="1"/>
    <col min="9" max="9" width="14.453125" bestFit="1" customWidth="1"/>
    <col min="10" max="10" width="17.453125" bestFit="1" customWidth="1"/>
  </cols>
  <sheetData>
    <row r="1" spans="1:10">
      <c r="A1" t="s">
        <v>705</v>
      </c>
      <c r="B1" t="s">
        <v>706</v>
      </c>
      <c r="C1" t="s">
        <v>707</v>
      </c>
      <c r="D1" t="s">
        <v>30</v>
      </c>
      <c r="E1" t="s">
        <v>1355</v>
      </c>
      <c r="F1" t="s">
        <v>33</v>
      </c>
      <c r="G1" t="s">
        <v>1356</v>
      </c>
      <c r="H1" t="s">
        <v>1357</v>
      </c>
      <c r="I1" t="s">
        <v>1358</v>
      </c>
      <c r="J1" t="s">
        <v>1359</v>
      </c>
    </row>
    <row r="2" spans="1:10">
      <c r="A2">
        <v>2025</v>
      </c>
      <c r="B2" t="s">
        <v>1360</v>
      </c>
      <c r="C2" t="s">
        <v>711</v>
      </c>
      <c r="D2" t="s">
        <v>70</v>
      </c>
      <c r="E2" s="1">
        <f>EOMONTH(DATE(A2, MONTH(1 &amp; C2), 1), 0)</f>
        <v>45900</v>
      </c>
      <c r="F2" t="s">
        <v>138</v>
      </c>
      <c r="G2">
        <v>36000</v>
      </c>
      <c r="H2">
        <v>0</v>
      </c>
      <c r="I2">
        <v>24000</v>
      </c>
      <c r="J2">
        <f ca="1">IF(E2&lt;TODAY(),0,I2)</f>
        <v>0</v>
      </c>
    </row>
    <row r="3" spans="1:10">
      <c r="A3">
        <v>2025</v>
      </c>
      <c r="B3" t="s">
        <v>1360</v>
      </c>
      <c r="C3" t="s">
        <v>712</v>
      </c>
      <c r="D3" t="s">
        <v>70</v>
      </c>
      <c r="E3" s="1">
        <f t="shared" ref="E3:E66" si="0">EOMONTH(DATE(A3, MONTH(1 &amp; C3), 1), 0)</f>
        <v>45930</v>
      </c>
      <c r="F3" t="s">
        <v>138</v>
      </c>
      <c r="G3">
        <v>48000</v>
      </c>
      <c r="H3">
        <v>80000</v>
      </c>
      <c r="I3">
        <v>80000</v>
      </c>
      <c r="J3">
        <f t="shared" ref="J3:J66" ca="1" si="1">IF(E3&lt;TODAY(),0,I3)</f>
        <v>0</v>
      </c>
    </row>
    <row r="4" spans="1:10">
      <c r="A4">
        <v>2025</v>
      </c>
      <c r="B4" t="s">
        <v>803</v>
      </c>
      <c r="C4" t="s">
        <v>713</v>
      </c>
      <c r="D4" t="s">
        <v>70</v>
      </c>
      <c r="E4" s="1">
        <f t="shared" si="0"/>
        <v>45961</v>
      </c>
      <c r="F4" t="s">
        <v>138</v>
      </c>
      <c r="G4">
        <v>60000</v>
      </c>
      <c r="H4">
        <v>24000</v>
      </c>
      <c r="I4">
        <v>80000</v>
      </c>
      <c r="J4">
        <f t="shared" ca="1" si="1"/>
        <v>0</v>
      </c>
    </row>
    <row r="5" spans="1:10">
      <c r="A5">
        <v>2025</v>
      </c>
      <c r="B5" t="s">
        <v>803</v>
      </c>
      <c r="C5" t="s">
        <v>714</v>
      </c>
      <c r="D5" t="s">
        <v>70</v>
      </c>
      <c r="E5" s="1">
        <f t="shared" si="0"/>
        <v>45991</v>
      </c>
      <c r="F5" t="s">
        <v>138</v>
      </c>
      <c r="G5">
        <v>60000</v>
      </c>
      <c r="H5">
        <v>27000</v>
      </c>
      <c r="I5">
        <v>80000</v>
      </c>
      <c r="J5">
        <f t="shared" ca="1" si="1"/>
        <v>0</v>
      </c>
    </row>
    <row r="6" spans="1:10">
      <c r="A6">
        <v>2025</v>
      </c>
      <c r="B6" t="s">
        <v>803</v>
      </c>
      <c r="C6" t="s">
        <v>715</v>
      </c>
      <c r="D6" t="s">
        <v>70</v>
      </c>
      <c r="E6" s="1">
        <f t="shared" si="0"/>
        <v>46022</v>
      </c>
      <c r="F6" t="s">
        <v>138</v>
      </c>
      <c r="G6">
        <v>60000</v>
      </c>
      <c r="H6">
        <v>60000</v>
      </c>
      <c r="I6">
        <v>80000</v>
      </c>
      <c r="J6">
        <f t="shared" ca="1" si="1"/>
        <v>0</v>
      </c>
    </row>
    <row r="7" spans="1:10">
      <c r="A7">
        <v>2026</v>
      </c>
      <c r="B7" t="s">
        <v>1361</v>
      </c>
      <c r="C7" t="s">
        <v>716</v>
      </c>
      <c r="D7" t="s">
        <v>70</v>
      </c>
      <c r="E7" s="1">
        <f t="shared" si="0"/>
        <v>46053</v>
      </c>
      <c r="F7" t="s">
        <v>138</v>
      </c>
      <c r="G7">
        <v>60000</v>
      </c>
      <c r="H7">
        <v>100000</v>
      </c>
      <c r="I7">
        <v>48000</v>
      </c>
      <c r="J7">
        <f t="shared" ca="1" si="1"/>
        <v>0</v>
      </c>
    </row>
    <row r="8" spans="1:10">
      <c r="A8">
        <v>2026</v>
      </c>
      <c r="B8" t="s">
        <v>1361</v>
      </c>
      <c r="C8" t="s">
        <v>717</v>
      </c>
      <c r="D8" t="s">
        <v>70</v>
      </c>
      <c r="E8" s="1">
        <f t="shared" si="0"/>
        <v>46081</v>
      </c>
      <c r="F8" t="s">
        <v>138</v>
      </c>
      <c r="G8">
        <v>60000</v>
      </c>
      <c r="H8">
        <v>0</v>
      </c>
      <c r="I8">
        <v>100000</v>
      </c>
      <c r="J8">
        <f t="shared" ca="1" si="1"/>
        <v>0</v>
      </c>
    </row>
    <row r="9" spans="1:10">
      <c r="A9">
        <v>2026</v>
      </c>
      <c r="B9" t="s">
        <v>1361</v>
      </c>
      <c r="C9" t="s">
        <v>718</v>
      </c>
      <c r="D9" t="s">
        <v>70</v>
      </c>
      <c r="E9" s="1">
        <f t="shared" si="0"/>
        <v>46112</v>
      </c>
      <c r="F9" t="s">
        <v>138</v>
      </c>
      <c r="G9">
        <v>60000</v>
      </c>
      <c r="H9">
        <v>0</v>
      </c>
      <c r="I9">
        <v>100000</v>
      </c>
      <c r="J9">
        <f t="shared" ca="1" si="1"/>
        <v>100000</v>
      </c>
    </row>
    <row r="10" spans="1:10">
      <c r="A10">
        <v>2026</v>
      </c>
      <c r="B10" t="s">
        <v>1362</v>
      </c>
      <c r="C10" t="s">
        <v>719</v>
      </c>
      <c r="D10" t="s">
        <v>70</v>
      </c>
      <c r="E10" s="1">
        <f t="shared" si="0"/>
        <v>46142</v>
      </c>
      <c r="F10" t="s">
        <v>138</v>
      </c>
      <c r="G10">
        <v>60000</v>
      </c>
      <c r="H10">
        <v>0</v>
      </c>
      <c r="I10">
        <v>150000</v>
      </c>
      <c r="J10">
        <f t="shared" ca="1" si="1"/>
        <v>150000</v>
      </c>
    </row>
    <row r="11" spans="1:10">
      <c r="A11">
        <v>2026</v>
      </c>
      <c r="B11" t="s">
        <v>1362</v>
      </c>
      <c r="C11" t="s">
        <v>720</v>
      </c>
      <c r="D11" t="s">
        <v>70</v>
      </c>
      <c r="E11" s="1">
        <f t="shared" si="0"/>
        <v>46173</v>
      </c>
      <c r="F11" t="s">
        <v>138</v>
      </c>
      <c r="G11">
        <v>60000</v>
      </c>
      <c r="H11">
        <v>0</v>
      </c>
      <c r="I11">
        <v>60000</v>
      </c>
      <c r="J11">
        <f t="shared" ca="1" si="1"/>
        <v>60000</v>
      </c>
    </row>
    <row r="12" spans="1:10">
      <c r="A12">
        <v>2026</v>
      </c>
      <c r="B12" t="s">
        <v>1362</v>
      </c>
      <c r="C12" t="s">
        <v>721</v>
      </c>
      <c r="D12" t="s">
        <v>70</v>
      </c>
      <c r="E12" s="1">
        <f t="shared" si="0"/>
        <v>46203</v>
      </c>
      <c r="F12" t="s">
        <v>138</v>
      </c>
      <c r="G12">
        <v>60000</v>
      </c>
      <c r="H12">
        <v>0</v>
      </c>
      <c r="I12">
        <v>60000</v>
      </c>
      <c r="J12">
        <f t="shared" ca="1" si="1"/>
        <v>60000</v>
      </c>
    </row>
    <row r="13" spans="1:10">
      <c r="A13">
        <v>2026</v>
      </c>
      <c r="B13" t="s">
        <v>1360</v>
      </c>
      <c r="C13" t="s">
        <v>710</v>
      </c>
      <c r="D13" t="s">
        <v>70</v>
      </c>
      <c r="E13" s="1">
        <f t="shared" si="0"/>
        <v>46234</v>
      </c>
      <c r="F13" t="s">
        <v>138</v>
      </c>
      <c r="G13">
        <v>60000</v>
      </c>
      <c r="H13">
        <v>0</v>
      </c>
      <c r="I13">
        <v>60000</v>
      </c>
      <c r="J13">
        <f t="shared" ca="1" si="1"/>
        <v>60000</v>
      </c>
    </row>
    <row r="14" spans="1:10">
      <c r="A14">
        <v>2026</v>
      </c>
      <c r="B14" t="s">
        <v>1360</v>
      </c>
      <c r="C14" t="s">
        <v>711</v>
      </c>
      <c r="D14" t="s">
        <v>70</v>
      </c>
      <c r="E14" s="1">
        <f t="shared" si="0"/>
        <v>46265</v>
      </c>
      <c r="F14" t="s">
        <v>138</v>
      </c>
      <c r="G14">
        <v>60000</v>
      </c>
      <c r="H14">
        <v>0</v>
      </c>
      <c r="I14">
        <v>60000</v>
      </c>
      <c r="J14">
        <f t="shared" ca="1" si="1"/>
        <v>60000</v>
      </c>
    </row>
    <row r="15" spans="1:10">
      <c r="A15">
        <v>2026</v>
      </c>
      <c r="B15" t="s">
        <v>1360</v>
      </c>
      <c r="C15" t="s">
        <v>712</v>
      </c>
      <c r="D15" t="s">
        <v>70</v>
      </c>
      <c r="E15" s="1">
        <f t="shared" si="0"/>
        <v>46295</v>
      </c>
      <c r="F15" t="s">
        <v>138</v>
      </c>
      <c r="G15">
        <v>60000</v>
      </c>
      <c r="H15">
        <v>0</v>
      </c>
      <c r="I15">
        <v>60000</v>
      </c>
      <c r="J15">
        <f t="shared" ca="1" si="1"/>
        <v>60000</v>
      </c>
    </row>
    <row r="16" spans="1:10">
      <c r="A16">
        <v>2026</v>
      </c>
      <c r="B16" t="s">
        <v>803</v>
      </c>
      <c r="C16" t="s">
        <v>713</v>
      </c>
      <c r="D16" t="s">
        <v>70</v>
      </c>
      <c r="E16" s="1">
        <f t="shared" si="0"/>
        <v>46326</v>
      </c>
      <c r="F16" t="s">
        <v>138</v>
      </c>
      <c r="G16">
        <v>60000</v>
      </c>
      <c r="H16">
        <v>0</v>
      </c>
      <c r="I16">
        <v>60000</v>
      </c>
      <c r="J16">
        <f t="shared" ca="1" si="1"/>
        <v>60000</v>
      </c>
    </row>
    <row r="17" spans="1:10">
      <c r="A17">
        <v>2026</v>
      </c>
      <c r="B17" t="s">
        <v>803</v>
      </c>
      <c r="C17" t="s">
        <v>714</v>
      </c>
      <c r="D17" t="s">
        <v>70</v>
      </c>
      <c r="E17" s="1">
        <f t="shared" si="0"/>
        <v>46356</v>
      </c>
      <c r="F17" t="s">
        <v>138</v>
      </c>
      <c r="G17">
        <v>60000</v>
      </c>
      <c r="I17">
        <v>60000</v>
      </c>
      <c r="J17">
        <f t="shared" ca="1" si="1"/>
        <v>60000</v>
      </c>
    </row>
    <row r="18" spans="1:10">
      <c r="A18">
        <v>2026</v>
      </c>
      <c r="B18" t="s">
        <v>803</v>
      </c>
      <c r="C18" t="s">
        <v>715</v>
      </c>
      <c r="D18" t="s">
        <v>70</v>
      </c>
      <c r="E18" s="1">
        <f t="shared" si="0"/>
        <v>46387</v>
      </c>
      <c r="F18" t="s">
        <v>138</v>
      </c>
      <c r="G18">
        <v>60000</v>
      </c>
      <c r="H18">
        <v>0</v>
      </c>
      <c r="I18">
        <v>60000</v>
      </c>
      <c r="J18">
        <f t="shared" ca="1" si="1"/>
        <v>60000</v>
      </c>
    </row>
    <row r="19" spans="1:10">
      <c r="A19">
        <v>2025</v>
      </c>
      <c r="B19" t="s">
        <v>1360</v>
      </c>
      <c r="C19" t="s">
        <v>711</v>
      </c>
      <c r="D19" t="s">
        <v>70</v>
      </c>
      <c r="E19" s="1">
        <f t="shared" si="0"/>
        <v>45900</v>
      </c>
      <c r="F19" t="s">
        <v>72</v>
      </c>
      <c r="G19">
        <v>11000</v>
      </c>
      <c r="H19">
        <v>0</v>
      </c>
      <c r="I19">
        <v>11000</v>
      </c>
      <c r="J19">
        <f t="shared" ca="1" si="1"/>
        <v>0</v>
      </c>
    </row>
    <row r="20" spans="1:10">
      <c r="A20">
        <v>2025</v>
      </c>
      <c r="B20" t="s">
        <v>1360</v>
      </c>
      <c r="C20" t="s">
        <v>712</v>
      </c>
      <c r="D20" t="s">
        <v>70</v>
      </c>
      <c r="E20" s="1">
        <f t="shared" si="0"/>
        <v>45930</v>
      </c>
      <c r="F20" t="s">
        <v>72</v>
      </c>
      <c r="G20">
        <v>11000</v>
      </c>
      <c r="H20">
        <v>0</v>
      </c>
      <c r="I20">
        <v>11000</v>
      </c>
      <c r="J20">
        <f t="shared" ca="1" si="1"/>
        <v>0</v>
      </c>
    </row>
    <row r="21" spans="1:10">
      <c r="A21">
        <v>2025</v>
      </c>
      <c r="B21" t="s">
        <v>803</v>
      </c>
      <c r="C21" t="s">
        <v>713</v>
      </c>
      <c r="D21" t="s">
        <v>70</v>
      </c>
      <c r="E21" s="1">
        <f t="shared" si="0"/>
        <v>45961</v>
      </c>
      <c r="F21" t="s">
        <v>72</v>
      </c>
      <c r="G21">
        <v>11000</v>
      </c>
      <c r="H21">
        <v>20000</v>
      </c>
      <c r="I21">
        <v>11000</v>
      </c>
      <c r="J21">
        <f t="shared" ca="1" si="1"/>
        <v>0</v>
      </c>
    </row>
    <row r="22" spans="1:10">
      <c r="A22">
        <v>2025</v>
      </c>
      <c r="B22" t="s">
        <v>803</v>
      </c>
      <c r="C22" t="s">
        <v>714</v>
      </c>
      <c r="D22" t="s">
        <v>70</v>
      </c>
      <c r="E22" s="1">
        <f t="shared" si="0"/>
        <v>45991</v>
      </c>
      <c r="F22" t="s">
        <v>72</v>
      </c>
      <c r="G22">
        <v>11000</v>
      </c>
      <c r="H22">
        <v>80000</v>
      </c>
      <c r="I22">
        <v>11000</v>
      </c>
      <c r="J22">
        <f t="shared" ca="1" si="1"/>
        <v>0</v>
      </c>
    </row>
    <row r="23" spans="1:10">
      <c r="A23">
        <v>2025</v>
      </c>
      <c r="B23" t="s">
        <v>803</v>
      </c>
      <c r="C23" t="s">
        <v>715</v>
      </c>
      <c r="D23" t="s">
        <v>70</v>
      </c>
      <c r="E23" s="1">
        <f t="shared" si="0"/>
        <v>46022</v>
      </c>
      <c r="F23" t="s">
        <v>72</v>
      </c>
      <c r="G23">
        <v>11000</v>
      </c>
      <c r="H23">
        <v>20000</v>
      </c>
      <c r="I23">
        <v>11000</v>
      </c>
      <c r="J23">
        <f t="shared" ca="1" si="1"/>
        <v>0</v>
      </c>
    </row>
    <row r="24" spans="1:10">
      <c r="A24">
        <v>2026</v>
      </c>
      <c r="B24" t="s">
        <v>1361</v>
      </c>
      <c r="C24" t="s">
        <v>716</v>
      </c>
      <c r="D24" t="s">
        <v>70</v>
      </c>
      <c r="E24" s="1">
        <f t="shared" si="0"/>
        <v>46053</v>
      </c>
      <c r="F24" t="s">
        <v>72</v>
      </c>
      <c r="G24">
        <v>11000</v>
      </c>
      <c r="H24">
        <v>20000</v>
      </c>
      <c r="I24">
        <v>11000</v>
      </c>
      <c r="J24">
        <f t="shared" ca="1" si="1"/>
        <v>0</v>
      </c>
    </row>
    <row r="25" spans="1:10">
      <c r="A25">
        <v>2026</v>
      </c>
      <c r="B25" t="s">
        <v>1361</v>
      </c>
      <c r="C25" t="s">
        <v>717</v>
      </c>
      <c r="D25" t="s">
        <v>70</v>
      </c>
      <c r="E25" s="1">
        <f t="shared" si="0"/>
        <v>46081</v>
      </c>
      <c r="F25" t="s">
        <v>72</v>
      </c>
      <c r="G25">
        <v>11000</v>
      </c>
      <c r="H25">
        <v>0</v>
      </c>
      <c r="I25">
        <v>11000</v>
      </c>
      <c r="J25">
        <f t="shared" ca="1" si="1"/>
        <v>0</v>
      </c>
    </row>
    <row r="26" spans="1:10">
      <c r="A26">
        <v>2026</v>
      </c>
      <c r="B26" t="s">
        <v>1361</v>
      </c>
      <c r="C26" t="s">
        <v>718</v>
      </c>
      <c r="D26" t="s">
        <v>70</v>
      </c>
      <c r="E26" s="1">
        <f t="shared" si="0"/>
        <v>46112</v>
      </c>
      <c r="F26" t="s">
        <v>72</v>
      </c>
      <c r="G26">
        <v>11000</v>
      </c>
      <c r="H26">
        <v>0</v>
      </c>
      <c r="I26">
        <v>11000</v>
      </c>
      <c r="J26">
        <f t="shared" ca="1" si="1"/>
        <v>11000</v>
      </c>
    </row>
    <row r="27" spans="1:10">
      <c r="A27">
        <v>2026</v>
      </c>
      <c r="B27" t="s">
        <v>1362</v>
      </c>
      <c r="C27" t="s">
        <v>719</v>
      </c>
      <c r="D27" t="s">
        <v>70</v>
      </c>
      <c r="E27" s="1">
        <f t="shared" si="0"/>
        <v>46142</v>
      </c>
      <c r="F27" t="s">
        <v>72</v>
      </c>
      <c r="G27">
        <v>11000</v>
      </c>
      <c r="H27">
        <v>0</v>
      </c>
      <c r="I27">
        <v>11000</v>
      </c>
      <c r="J27">
        <f t="shared" ca="1" si="1"/>
        <v>11000</v>
      </c>
    </row>
    <row r="28" spans="1:10">
      <c r="A28">
        <v>2026</v>
      </c>
      <c r="B28" t="s">
        <v>1362</v>
      </c>
      <c r="C28" t="s">
        <v>720</v>
      </c>
      <c r="D28" t="s">
        <v>70</v>
      </c>
      <c r="E28" s="1">
        <f t="shared" si="0"/>
        <v>46173</v>
      </c>
      <c r="F28" t="s">
        <v>72</v>
      </c>
      <c r="G28">
        <v>11000</v>
      </c>
      <c r="H28">
        <v>0</v>
      </c>
      <c r="I28">
        <v>11000</v>
      </c>
      <c r="J28">
        <f t="shared" ca="1" si="1"/>
        <v>11000</v>
      </c>
    </row>
    <row r="29" spans="1:10">
      <c r="A29">
        <v>2026</v>
      </c>
      <c r="B29" t="s">
        <v>1362</v>
      </c>
      <c r="C29" t="s">
        <v>721</v>
      </c>
      <c r="D29" t="s">
        <v>70</v>
      </c>
      <c r="E29" s="1">
        <f t="shared" si="0"/>
        <v>46203</v>
      </c>
      <c r="F29" t="s">
        <v>72</v>
      </c>
      <c r="G29">
        <v>11000</v>
      </c>
      <c r="H29">
        <v>0</v>
      </c>
      <c r="I29">
        <v>11000</v>
      </c>
      <c r="J29">
        <f t="shared" ca="1" si="1"/>
        <v>11000</v>
      </c>
    </row>
    <row r="30" spans="1:10">
      <c r="A30">
        <v>2026</v>
      </c>
      <c r="B30" t="s">
        <v>1360</v>
      </c>
      <c r="C30" t="s">
        <v>710</v>
      </c>
      <c r="D30" t="s">
        <v>70</v>
      </c>
      <c r="E30" s="1">
        <f t="shared" si="0"/>
        <v>46234</v>
      </c>
      <c r="F30" t="s">
        <v>72</v>
      </c>
      <c r="G30">
        <v>11000</v>
      </c>
      <c r="H30">
        <v>0</v>
      </c>
      <c r="I30">
        <v>11000</v>
      </c>
      <c r="J30">
        <f t="shared" ca="1" si="1"/>
        <v>11000</v>
      </c>
    </row>
    <row r="31" spans="1:10">
      <c r="A31">
        <v>2026</v>
      </c>
      <c r="B31" t="s">
        <v>1360</v>
      </c>
      <c r="C31" t="s">
        <v>711</v>
      </c>
      <c r="D31" t="s">
        <v>70</v>
      </c>
      <c r="E31" s="1">
        <f t="shared" si="0"/>
        <v>46265</v>
      </c>
      <c r="F31" t="s">
        <v>72</v>
      </c>
      <c r="G31">
        <v>11000</v>
      </c>
      <c r="H31">
        <v>0</v>
      </c>
      <c r="I31">
        <v>11000</v>
      </c>
      <c r="J31">
        <f t="shared" ca="1" si="1"/>
        <v>11000</v>
      </c>
    </row>
    <row r="32" spans="1:10">
      <c r="A32">
        <v>2026</v>
      </c>
      <c r="B32" t="s">
        <v>1360</v>
      </c>
      <c r="C32" t="s">
        <v>712</v>
      </c>
      <c r="D32" t="s">
        <v>70</v>
      </c>
      <c r="E32" s="1">
        <f t="shared" si="0"/>
        <v>46295</v>
      </c>
      <c r="F32" t="s">
        <v>72</v>
      </c>
      <c r="G32">
        <v>11000</v>
      </c>
      <c r="H32">
        <v>0</v>
      </c>
      <c r="I32">
        <v>11000</v>
      </c>
      <c r="J32">
        <f t="shared" ca="1" si="1"/>
        <v>11000</v>
      </c>
    </row>
    <row r="33" spans="1:10">
      <c r="A33">
        <v>2026</v>
      </c>
      <c r="B33" t="s">
        <v>803</v>
      </c>
      <c r="C33" t="s">
        <v>713</v>
      </c>
      <c r="D33" t="s">
        <v>70</v>
      </c>
      <c r="E33" s="1">
        <f t="shared" si="0"/>
        <v>46326</v>
      </c>
      <c r="F33" t="s">
        <v>72</v>
      </c>
      <c r="G33">
        <v>11000</v>
      </c>
      <c r="H33">
        <v>0</v>
      </c>
      <c r="I33">
        <v>11000</v>
      </c>
      <c r="J33">
        <f t="shared" ca="1" si="1"/>
        <v>11000</v>
      </c>
    </row>
    <row r="34" spans="1:10">
      <c r="A34">
        <v>2026</v>
      </c>
      <c r="B34" t="s">
        <v>803</v>
      </c>
      <c r="C34" t="s">
        <v>714</v>
      </c>
      <c r="D34" t="s">
        <v>70</v>
      </c>
      <c r="E34" s="1">
        <f t="shared" si="0"/>
        <v>46356</v>
      </c>
      <c r="F34" t="s">
        <v>72</v>
      </c>
      <c r="G34">
        <v>11000</v>
      </c>
      <c r="H34">
        <v>0</v>
      </c>
      <c r="I34">
        <v>11000</v>
      </c>
      <c r="J34">
        <f t="shared" ca="1" si="1"/>
        <v>11000</v>
      </c>
    </row>
    <row r="35" spans="1:10">
      <c r="A35">
        <v>2026</v>
      </c>
      <c r="B35" t="s">
        <v>803</v>
      </c>
      <c r="C35" t="s">
        <v>715</v>
      </c>
      <c r="D35" t="s">
        <v>70</v>
      </c>
      <c r="E35" s="1">
        <f t="shared" si="0"/>
        <v>46387</v>
      </c>
      <c r="F35" t="s">
        <v>72</v>
      </c>
      <c r="G35">
        <v>11000</v>
      </c>
      <c r="H35">
        <v>0</v>
      </c>
      <c r="I35">
        <v>11000</v>
      </c>
      <c r="J35">
        <f t="shared" ca="1" si="1"/>
        <v>11000</v>
      </c>
    </row>
    <row r="36" spans="1:10">
      <c r="A36">
        <v>2025</v>
      </c>
      <c r="B36" t="s">
        <v>1360</v>
      </c>
      <c r="C36" t="s">
        <v>711</v>
      </c>
      <c r="D36" t="s">
        <v>70</v>
      </c>
      <c r="E36" s="1">
        <f t="shared" si="0"/>
        <v>45900</v>
      </c>
      <c r="F36" t="s">
        <v>289</v>
      </c>
      <c r="G36">
        <v>30000</v>
      </c>
      <c r="H36">
        <v>0</v>
      </c>
      <c r="I36">
        <v>15000</v>
      </c>
      <c r="J36">
        <f t="shared" ca="1" si="1"/>
        <v>0</v>
      </c>
    </row>
    <row r="37" spans="1:10">
      <c r="A37">
        <v>2025</v>
      </c>
      <c r="B37" t="s">
        <v>1360</v>
      </c>
      <c r="C37" t="s">
        <v>712</v>
      </c>
      <c r="D37" t="s">
        <v>70</v>
      </c>
      <c r="E37" s="1">
        <f t="shared" si="0"/>
        <v>45930</v>
      </c>
      <c r="F37" t="s">
        <v>289</v>
      </c>
      <c r="G37">
        <v>45000</v>
      </c>
      <c r="H37">
        <v>60000</v>
      </c>
      <c r="I37">
        <v>100000</v>
      </c>
      <c r="J37">
        <f t="shared" ca="1" si="1"/>
        <v>0</v>
      </c>
    </row>
    <row r="38" spans="1:10">
      <c r="A38">
        <v>2025</v>
      </c>
      <c r="B38" t="s">
        <v>803</v>
      </c>
      <c r="C38" t="s">
        <v>713</v>
      </c>
      <c r="D38" t="s">
        <v>70</v>
      </c>
      <c r="E38" s="1">
        <f t="shared" si="0"/>
        <v>45961</v>
      </c>
      <c r="F38" t="s">
        <v>289</v>
      </c>
      <c r="G38">
        <v>60000</v>
      </c>
      <c r="H38">
        <v>100000</v>
      </c>
      <c r="I38">
        <v>100000</v>
      </c>
      <c r="J38">
        <f t="shared" ca="1" si="1"/>
        <v>0</v>
      </c>
    </row>
    <row r="39" spans="1:10">
      <c r="A39">
        <v>2025</v>
      </c>
      <c r="B39" t="s">
        <v>803</v>
      </c>
      <c r="C39" t="s">
        <v>714</v>
      </c>
      <c r="D39" t="s">
        <v>70</v>
      </c>
      <c r="E39" s="1">
        <f t="shared" si="0"/>
        <v>45991</v>
      </c>
      <c r="F39" t="s">
        <v>289</v>
      </c>
      <c r="G39">
        <v>60000</v>
      </c>
      <c r="H39">
        <v>18000</v>
      </c>
      <c r="I39">
        <v>100000</v>
      </c>
      <c r="J39">
        <f t="shared" ca="1" si="1"/>
        <v>0</v>
      </c>
    </row>
    <row r="40" spans="1:10">
      <c r="A40">
        <v>2025</v>
      </c>
      <c r="B40" t="s">
        <v>803</v>
      </c>
      <c r="C40" t="s">
        <v>715</v>
      </c>
      <c r="D40" t="s">
        <v>70</v>
      </c>
      <c r="E40" s="1">
        <f t="shared" si="0"/>
        <v>46022</v>
      </c>
      <c r="F40" t="s">
        <v>289</v>
      </c>
      <c r="G40">
        <v>60000</v>
      </c>
      <c r="H40">
        <v>200000</v>
      </c>
      <c r="I40">
        <v>150000</v>
      </c>
      <c r="J40">
        <f t="shared" ca="1" si="1"/>
        <v>0</v>
      </c>
    </row>
    <row r="41" spans="1:10">
      <c r="A41">
        <v>2026</v>
      </c>
      <c r="B41" t="s">
        <v>1361</v>
      </c>
      <c r="C41" t="s">
        <v>716</v>
      </c>
      <c r="D41" t="s">
        <v>70</v>
      </c>
      <c r="E41" s="1">
        <f t="shared" si="0"/>
        <v>46053</v>
      </c>
      <c r="F41" t="s">
        <v>289</v>
      </c>
      <c r="G41">
        <v>60000</v>
      </c>
      <c r="H41">
        <v>120000</v>
      </c>
      <c r="I41">
        <v>150000</v>
      </c>
      <c r="J41">
        <f t="shared" ca="1" si="1"/>
        <v>0</v>
      </c>
    </row>
    <row r="42" spans="1:10">
      <c r="A42">
        <v>2026</v>
      </c>
      <c r="B42" t="s">
        <v>1361</v>
      </c>
      <c r="C42" t="s">
        <v>717</v>
      </c>
      <c r="D42" t="s">
        <v>70</v>
      </c>
      <c r="E42" s="1">
        <f t="shared" si="0"/>
        <v>46081</v>
      </c>
      <c r="F42" t="s">
        <v>289</v>
      </c>
      <c r="G42">
        <v>60000</v>
      </c>
      <c r="H42">
        <v>0</v>
      </c>
      <c r="I42">
        <v>100000</v>
      </c>
      <c r="J42">
        <f t="shared" ca="1" si="1"/>
        <v>0</v>
      </c>
    </row>
    <row r="43" spans="1:10">
      <c r="A43">
        <v>2026</v>
      </c>
      <c r="B43" t="s">
        <v>1361</v>
      </c>
      <c r="C43" t="s">
        <v>718</v>
      </c>
      <c r="D43" t="s">
        <v>70</v>
      </c>
      <c r="E43" s="1">
        <f t="shared" si="0"/>
        <v>46112</v>
      </c>
      <c r="F43" t="s">
        <v>289</v>
      </c>
      <c r="G43">
        <v>60000</v>
      </c>
      <c r="H43">
        <v>0</v>
      </c>
      <c r="I43">
        <v>100000</v>
      </c>
      <c r="J43">
        <f t="shared" ca="1" si="1"/>
        <v>100000</v>
      </c>
    </row>
    <row r="44" spans="1:10">
      <c r="A44">
        <v>2026</v>
      </c>
      <c r="B44" t="s">
        <v>1362</v>
      </c>
      <c r="C44" t="s">
        <v>719</v>
      </c>
      <c r="D44" t="s">
        <v>70</v>
      </c>
      <c r="E44" s="1">
        <f t="shared" si="0"/>
        <v>46142</v>
      </c>
      <c r="F44" t="s">
        <v>289</v>
      </c>
      <c r="G44">
        <v>60000</v>
      </c>
      <c r="H44">
        <v>0</v>
      </c>
      <c r="I44">
        <v>100000</v>
      </c>
      <c r="J44">
        <f t="shared" ca="1" si="1"/>
        <v>100000</v>
      </c>
    </row>
    <row r="45" spans="1:10">
      <c r="A45">
        <v>2026</v>
      </c>
      <c r="B45" t="s">
        <v>1362</v>
      </c>
      <c r="C45" t="s">
        <v>720</v>
      </c>
      <c r="D45" t="s">
        <v>70</v>
      </c>
      <c r="E45" s="1">
        <f t="shared" si="0"/>
        <v>46173</v>
      </c>
      <c r="F45" t="s">
        <v>289</v>
      </c>
      <c r="G45">
        <v>60000</v>
      </c>
      <c r="H45">
        <v>0</v>
      </c>
      <c r="I45">
        <v>45000</v>
      </c>
      <c r="J45">
        <f t="shared" ca="1" si="1"/>
        <v>45000</v>
      </c>
    </row>
    <row r="46" spans="1:10">
      <c r="A46">
        <v>2026</v>
      </c>
      <c r="B46" t="s">
        <v>1362</v>
      </c>
      <c r="C46" t="s">
        <v>721</v>
      </c>
      <c r="D46" t="s">
        <v>70</v>
      </c>
      <c r="E46" s="1">
        <f t="shared" si="0"/>
        <v>46203</v>
      </c>
      <c r="F46" t="s">
        <v>289</v>
      </c>
      <c r="G46">
        <v>60000</v>
      </c>
      <c r="H46">
        <v>0</v>
      </c>
      <c r="I46">
        <v>45000</v>
      </c>
      <c r="J46">
        <f t="shared" ca="1" si="1"/>
        <v>45000</v>
      </c>
    </row>
    <row r="47" spans="1:10">
      <c r="A47">
        <v>2026</v>
      </c>
      <c r="B47" t="s">
        <v>1360</v>
      </c>
      <c r="C47" t="s">
        <v>710</v>
      </c>
      <c r="D47" t="s">
        <v>70</v>
      </c>
      <c r="E47" s="1">
        <f t="shared" si="0"/>
        <v>46234</v>
      </c>
      <c r="F47" t="s">
        <v>289</v>
      </c>
      <c r="G47">
        <v>60000</v>
      </c>
      <c r="H47">
        <v>0</v>
      </c>
      <c r="I47">
        <v>150000</v>
      </c>
      <c r="J47">
        <f t="shared" ca="1" si="1"/>
        <v>150000</v>
      </c>
    </row>
    <row r="48" spans="1:10">
      <c r="A48">
        <v>2026</v>
      </c>
      <c r="B48" t="s">
        <v>1360</v>
      </c>
      <c r="C48" t="s">
        <v>711</v>
      </c>
      <c r="D48" t="s">
        <v>70</v>
      </c>
      <c r="E48" s="1">
        <f t="shared" si="0"/>
        <v>46265</v>
      </c>
      <c r="F48" t="s">
        <v>289</v>
      </c>
      <c r="G48">
        <v>60000</v>
      </c>
      <c r="H48">
        <v>0</v>
      </c>
      <c r="I48">
        <v>45000</v>
      </c>
      <c r="J48">
        <f t="shared" ca="1" si="1"/>
        <v>45000</v>
      </c>
    </row>
    <row r="49" spans="1:10">
      <c r="A49">
        <v>2026</v>
      </c>
      <c r="B49" t="s">
        <v>1360</v>
      </c>
      <c r="C49" t="s">
        <v>712</v>
      </c>
      <c r="D49" t="s">
        <v>70</v>
      </c>
      <c r="E49" s="1">
        <f t="shared" si="0"/>
        <v>46295</v>
      </c>
      <c r="F49" t="s">
        <v>289</v>
      </c>
      <c r="G49">
        <v>60000</v>
      </c>
      <c r="H49">
        <v>0</v>
      </c>
      <c r="I49">
        <v>45000</v>
      </c>
      <c r="J49">
        <f t="shared" ca="1" si="1"/>
        <v>45000</v>
      </c>
    </row>
    <row r="50" spans="1:10">
      <c r="A50">
        <v>2026</v>
      </c>
      <c r="B50" t="s">
        <v>803</v>
      </c>
      <c r="C50" t="s">
        <v>713</v>
      </c>
      <c r="D50" t="s">
        <v>70</v>
      </c>
      <c r="E50" s="1">
        <f t="shared" si="0"/>
        <v>46326</v>
      </c>
      <c r="F50" t="s">
        <v>289</v>
      </c>
      <c r="G50">
        <v>60000</v>
      </c>
      <c r="H50">
        <v>0</v>
      </c>
      <c r="I50">
        <v>45000</v>
      </c>
      <c r="J50">
        <f t="shared" ca="1" si="1"/>
        <v>45000</v>
      </c>
    </row>
    <row r="51" spans="1:10">
      <c r="A51">
        <v>2026</v>
      </c>
      <c r="B51" t="s">
        <v>803</v>
      </c>
      <c r="C51" t="s">
        <v>714</v>
      </c>
      <c r="D51" t="s">
        <v>70</v>
      </c>
      <c r="E51" s="1">
        <f t="shared" si="0"/>
        <v>46356</v>
      </c>
      <c r="F51" t="s">
        <v>289</v>
      </c>
      <c r="G51">
        <v>60000</v>
      </c>
      <c r="I51">
        <v>45000</v>
      </c>
      <c r="J51">
        <f t="shared" ca="1" si="1"/>
        <v>45000</v>
      </c>
    </row>
    <row r="52" spans="1:10">
      <c r="A52">
        <v>2026</v>
      </c>
      <c r="B52" t="s">
        <v>803</v>
      </c>
      <c r="C52" t="s">
        <v>715</v>
      </c>
      <c r="D52" t="s">
        <v>70</v>
      </c>
      <c r="E52" s="1">
        <f t="shared" si="0"/>
        <v>46387</v>
      </c>
      <c r="F52" t="s">
        <v>289</v>
      </c>
      <c r="G52">
        <v>60000</v>
      </c>
      <c r="H52">
        <v>0</v>
      </c>
      <c r="I52">
        <v>45000</v>
      </c>
      <c r="J52">
        <f t="shared" ca="1" si="1"/>
        <v>45000</v>
      </c>
    </row>
    <row r="53" spans="1:10">
      <c r="A53">
        <v>2025</v>
      </c>
      <c r="B53" t="s">
        <v>1360</v>
      </c>
      <c r="C53" t="s">
        <v>711</v>
      </c>
      <c r="D53" t="s">
        <v>70</v>
      </c>
      <c r="E53" s="1">
        <f t="shared" si="0"/>
        <v>45900</v>
      </c>
      <c r="F53" t="s">
        <v>172</v>
      </c>
      <c r="G53">
        <v>40000</v>
      </c>
      <c r="H53">
        <v>0</v>
      </c>
      <c r="I53">
        <v>20000</v>
      </c>
      <c r="J53">
        <f t="shared" ca="1" si="1"/>
        <v>0</v>
      </c>
    </row>
    <row r="54" spans="1:10">
      <c r="A54">
        <v>2025</v>
      </c>
      <c r="B54" t="s">
        <v>1360</v>
      </c>
      <c r="C54" t="s">
        <v>712</v>
      </c>
      <c r="D54" t="s">
        <v>70</v>
      </c>
      <c r="E54" s="1">
        <f t="shared" si="0"/>
        <v>45930</v>
      </c>
      <c r="F54" t="s">
        <v>172</v>
      </c>
      <c r="G54">
        <v>50000</v>
      </c>
      <c r="H54">
        <v>0</v>
      </c>
      <c r="I54">
        <v>20000</v>
      </c>
      <c r="J54">
        <f t="shared" ca="1" si="1"/>
        <v>0</v>
      </c>
    </row>
    <row r="55" spans="1:10">
      <c r="A55">
        <v>2025</v>
      </c>
      <c r="B55" t="s">
        <v>803</v>
      </c>
      <c r="C55" t="s">
        <v>713</v>
      </c>
      <c r="D55" t="s">
        <v>70</v>
      </c>
      <c r="E55" s="1">
        <f t="shared" si="0"/>
        <v>45961</v>
      </c>
      <c r="F55" t="s">
        <v>172</v>
      </c>
      <c r="G55">
        <v>60000</v>
      </c>
      <c r="H55">
        <v>10000</v>
      </c>
      <c r="I55">
        <v>20000</v>
      </c>
      <c r="J55">
        <f t="shared" ca="1" si="1"/>
        <v>0</v>
      </c>
    </row>
    <row r="56" spans="1:10">
      <c r="A56">
        <v>2025</v>
      </c>
      <c r="B56" t="s">
        <v>803</v>
      </c>
      <c r="C56" t="s">
        <v>714</v>
      </c>
      <c r="D56" t="s">
        <v>70</v>
      </c>
      <c r="E56" s="1">
        <f t="shared" si="0"/>
        <v>45991</v>
      </c>
      <c r="F56" t="s">
        <v>172</v>
      </c>
      <c r="G56">
        <v>60000</v>
      </c>
      <c r="H56">
        <v>24000</v>
      </c>
      <c r="I56">
        <v>20000</v>
      </c>
      <c r="J56">
        <f t="shared" ca="1" si="1"/>
        <v>0</v>
      </c>
    </row>
    <row r="57" spans="1:10">
      <c r="A57">
        <v>2025</v>
      </c>
      <c r="B57" t="s">
        <v>803</v>
      </c>
      <c r="C57" t="s">
        <v>715</v>
      </c>
      <c r="D57" t="s">
        <v>70</v>
      </c>
      <c r="E57" s="1">
        <f t="shared" si="0"/>
        <v>46022</v>
      </c>
      <c r="F57" t="s">
        <v>172</v>
      </c>
      <c r="G57">
        <v>60000</v>
      </c>
      <c r="H57">
        <v>200000</v>
      </c>
      <c r="I57">
        <v>30000</v>
      </c>
      <c r="J57">
        <f t="shared" ca="1" si="1"/>
        <v>0</v>
      </c>
    </row>
    <row r="58" spans="1:10">
      <c r="A58">
        <v>2026</v>
      </c>
      <c r="B58" t="s">
        <v>1361</v>
      </c>
      <c r="C58" t="s">
        <v>716</v>
      </c>
      <c r="D58" t="s">
        <v>70</v>
      </c>
      <c r="E58" s="1">
        <f t="shared" si="0"/>
        <v>46053</v>
      </c>
      <c r="F58" t="s">
        <v>172</v>
      </c>
      <c r="G58">
        <v>60000</v>
      </c>
      <c r="H58">
        <v>0</v>
      </c>
      <c r="I58">
        <v>40000</v>
      </c>
      <c r="J58">
        <f t="shared" ca="1" si="1"/>
        <v>0</v>
      </c>
    </row>
    <row r="59" spans="1:10">
      <c r="A59">
        <v>2026</v>
      </c>
      <c r="B59" t="s">
        <v>1361</v>
      </c>
      <c r="C59" t="s">
        <v>717</v>
      </c>
      <c r="D59" t="s">
        <v>70</v>
      </c>
      <c r="E59" s="1">
        <f t="shared" si="0"/>
        <v>46081</v>
      </c>
      <c r="F59" t="s">
        <v>172</v>
      </c>
      <c r="G59">
        <v>60000</v>
      </c>
      <c r="H59">
        <v>0</v>
      </c>
      <c r="I59">
        <v>100000</v>
      </c>
      <c r="J59">
        <f t="shared" ca="1" si="1"/>
        <v>0</v>
      </c>
    </row>
    <row r="60" spans="1:10">
      <c r="A60">
        <v>2026</v>
      </c>
      <c r="B60" t="s">
        <v>1361</v>
      </c>
      <c r="C60" t="s">
        <v>718</v>
      </c>
      <c r="D60" t="s">
        <v>70</v>
      </c>
      <c r="E60" s="1">
        <f t="shared" si="0"/>
        <v>46112</v>
      </c>
      <c r="F60" t="s">
        <v>172</v>
      </c>
      <c r="G60">
        <v>60000</v>
      </c>
      <c r="H60">
        <v>0</v>
      </c>
      <c r="I60">
        <v>100000</v>
      </c>
      <c r="J60">
        <f t="shared" ca="1" si="1"/>
        <v>100000</v>
      </c>
    </row>
    <row r="61" spans="1:10">
      <c r="A61">
        <v>2026</v>
      </c>
      <c r="B61" t="s">
        <v>1362</v>
      </c>
      <c r="C61" t="s">
        <v>719</v>
      </c>
      <c r="D61" t="s">
        <v>70</v>
      </c>
      <c r="E61" s="1">
        <f t="shared" si="0"/>
        <v>46142</v>
      </c>
      <c r="F61" t="s">
        <v>172</v>
      </c>
      <c r="G61">
        <v>60000</v>
      </c>
      <c r="H61">
        <v>0</v>
      </c>
      <c r="I61">
        <v>100000</v>
      </c>
      <c r="J61">
        <f t="shared" ca="1" si="1"/>
        <v>100000</v>
      </c>
    </row>
    <row r="62" spans="1:10">
      <c r="A62">
        <v>2026</v>
      </c>
      <c r="B62" t="s">
        <v>1362</v>
      </c>
      <c r="C62" t="s">
        <v>720</v>
      </c>
      <c r="D62" t="s">
        <v>70</v>
      </c>
      <c r="E62" s="1">
        <f t="shared" si="0"/>
        <v>46173</v>
      </c>
      <c r="F62" t="s">
        <v>172</v>
      </c>
      <c r="G62">
        <v>60000</v>
      </c>
      <c r="H62">
        <v>0</v>
      </c>
      <c r="I62">
        <v>40000</v>
      </c>
      <c r="J62">
        <f t="shared" ca="1" si="1"/>
        <v>40000</v>
      </c>
    </row>
    <row r="63" spans="1:10">
      <c r="A63">
        <v>2026</v>
      </c>
      <c r="B63" t="s">
        <v>1362</v>
      </c>
      <c r="C63" t="s">
        <v>721</v>
      </c>
      <c r="D63" t="s">
        <v>70</v>
      </c>
      <c r="E63" s="1">
        <f t="shared" si="0"/>
        <v>46203</v>
      </c>
      <c r="F63" t="s">
        <v>172</v>
      </c>
      <c r="G63">
        <v>60000</v>
      </c>
      <c r="H63">
        <v>0</v>
      </c>
      <c r="I63">
        <v>40000</v>
      </c>
      <c r="J63">
        <f t="shared" ca="1" si="1"/>
        <v>40000</v>
      </c>
    </row>
    <row r="64" spans="1:10">
      <c r="A64">
        <v>2026</v>
      </c>
      <c r="B64" t="s">
        <v>1360</v>
      </c>
      <c r="C64" t="s">
        <v>710</v>
      </c>
      <c r="D64" t="s">
        <v>70</v>
      </c>
      <c r="E64" s="1">
        <f t="shared" si="0"/>
        <v>46234</v>
      </c>
      <c r="F64" t="s">
        <v>172</v>
      </c>
      <c r="G64">
        <v>60000</v>
      </c>
      <c r="H64">
        <v>0</v>
      </c>
      <c r="I64">
        <v>40000</v>
      </c>
      <c r="J64">
        <f t="shared" ca="1" si="1"/>
        <v>40000</v>
      </c>
    </row>
    <row r="65" spans="1:10">
      <c r="A65">
        <v>2026</v>
      </c>
      <c r="B65" t="s">
        <v>1360</v>
      </c>
      <c r="C65" t="s">
        <v>711</v>
      </c>
      <c r="D65" t="s">
        <v>70</v>
      </c>
      <c r="E65" s="1">
        <f t="shared" si="0"/>
        <v>46265</v>
      </c>
      <c r="F65" t="s">
        <v>172</v>
      </c>
      <c r="G65">
        <v>60000</v>
      </c>
      <c r="H65">
        <v>0</v>
      </c>
      <c r="I65">
        <v>40000</v>
      </c>
      <c r="J65">
        <f t="shared" ca="1" si="1"/>
        <v>40000</v>
      </c>
    </row>
    <row r="66" spans="1:10">
      <c r="A66">
        <v>2026</v>
      </c>
      <c r="B66" t="s">
        <v>1360</v>
      </c>
      <c r="C66" t="s">
        <v>712</v>
      </c>
      <c r="D66" t="s">
        <v>70</v>
      </c>
      <c r="E66" s="1">
        <f t="shared" si="0"/>
        <v>46295</v>
      </c>
      <c r="F66" t="s">
        <v>172</v>
      </c>
      <c r="G66">
        <v>60000</v>
      </c>
      <c r="H66">
        <v>0</v>
      </c>
      <c r="I66">
        <v>40000</v>
      </c>
      <c r="J66">
        <f t="shared" ca="1" si="1"/>
        <v>40000</v>
      </c>
    </row>
    <row r="67" spans="1:10">
      <c r="A67">
        <v>2026</v>
      </c>
      <c r="B67" t="s">
        <v>803</v>
      </c>
      <c r="C67" t="s">
        <v>713</v>
      </c>
      <c r="D67" t="s">
        <v>70</v>
      </c>
      <c r="E67" s="1">
        <f t="shared" ref="E67:E130" si="2">EOMONTH(DATE(A67, MONTH(1 &amp; C67), 1), 0)</f>
        <v>46326</v>
      </c>
      <c r="F67" t="s">
        <v>172</v>
      </c>
      <c r="G67">
        <v>60000</v>
      </c>
      <c r="H67">
        <v>0</v>
      </c>
      <c r="I67">
        <v>40000</v>
      </c>
      <c r="J67">
        <f t="shared" ref="J67:J130" ca="1" si="3">IF(E67&lt;TODAY(),0,I67)</f>
        <v>40000</v>
      </c>
    </row>
    <row r="68" spans="1:10">
      <c r="A68">
        <v>2026</v>
      </c>
      <c r="B68" t="s">
        <v>803</v>
      </c>
      <c r="C68" t="s">
        <v>714</v>
      </c>
      <c r="D68" t="s">
        <v>70</v>
      </c>
      <c r="E68" s="1">
        <f t="shared" si="2"/>
        <v>46356</v>
      </c>
      <c r="F68" t="s">
        <v>172</v>
      </c>
      <c r="G68">
        <v>60000</v>
      </c>
      <c r="H68">
        <v>0</v>
      </c>
      <c r="I68">
        <v>40000</v>
      </c>
      <c r="J68">
        <f t="shared" ca="1" si="3"/>
        <v>40000</v>
      </c>
    </row>
    <row r="69" spans="1:10">
      <c r="A69">
        <v>2026</v>
      </c>
      <c r="B69" t="s">
        <v>803</v>
      </c>
      <c r="C69" t="s">
        <v>715</v>
      </c>
      <c r="D69" t="s">
        <v>70</v>
      </c>
      <c r="E69" s="1">
        <f t="shared" si="2"/>
        <v>46387</v>
      </c>
      <c r="F69" t="s">
        <v>172</v>
      </c>
      <c r="G69">
        <v>60000</v>
      </c>
      <c r="H69">
        <v>0</v>
      </c>
      <c r="I69">
        <v>40000</v>
      </c>
      <c r="J69">
        <f t="shared" ca="1" si="3"/>
        <v>40000</v>
      </c>
    </row>
    <row r="70" spans="1:10">
      <c r="A70">
        <v>2025</v>
      </c>
      <c r="B70" t="s">
        <v>1360</v>
      </c>
      <c r="C70" t="s">
        <v>711</v>
      </c>
      <c r="D70" t="s">
        <v>70</v>
      </c>
      <c r="E70" s="1">
        <f t="shared" si="2"/>
        <v>45900</v>
      </c>
      <c r="F70" t="s">
        <v>219</v>
      </c>
      <c r="G70">
        <v>0</v>
      </c>
      <c r="H70">
        <v>0</v>
      </c>
      <c r="I70">
        <v>13000</v>
      </c>
      <c r="J70">
        <f t="shared" ca="1" si="3"/>
        <v>0</v>
      </c>
    </row>
    <row r="71" spans="1:10">
      <c r="A71">
        <v>2025</v>
      </c>
      <c r="B71" t="s">
        <v>1360</v>
      </c>
      <c r="C71" t="s">
        <v>712</v>
      </c>
      <c r="D71" t="s">
        <v>70</v>
      </c>
      <c r="E71" s="1">
        <f t="shared" si="2"/>
        <v>45930</v>
      </c>
      <c r="F71" t="s">
        <v>219</v>
      </c>
      <c r="G71">
        <v>0</v>
      </c>
      <c r="H71">
        <v>0</v>
      </c>
      <c r="I71">
        <v>13000</v>
      </c>
      <c r="J71">
        <f t="shared" ca="1" si="3"/>
        <v>0</v>
      </c>
    </row>
    <row r="72" spans="1:10">
      <c r="A72">
        <v>2025</v>
      </c>
      <c r="B72" t="s">
        <v>803</v>
      </c>
      <c r="C72" t="s">
        <v>713</v>
      </c>
      <c r="D72" t="s">
        <v>70</v>
      </c>
      <c r="E72" s="1">
        <f t="shared" si="2"/>
        <v>45961</v>
      </c>
      <c r="F72" t="s">
        <v>219</v>
      </c>
      <c r="G72">
        <v>0</v>
      </c>
      <c r="H72">
        <v>0</v>
      </c>
      <c r="I72">
        <v>13000</v>
      </c>
      <c r="J72">
        <f t="shared" ca="1" si="3"/>
        <v>0</v>
      </c>
    </row>
    <row r="73" spans="1:10">
      <c r="A73">
        <v>2025</v>
      </c>
      <c r="B73" t="s">
        <v>803</v>
      </c>
      <c r="C73" t="s">
        <v>714</v>
      </c>
      <c r="D73" t="s">
        <v>70</v>
      </c>
      <c r="E73" s="1">
        <f t="shared" si="2"/>
        <v>45991</v>
      </c>
      <c r="F73" t="s">
        <v>219</v>
      </c>
      <c r="G73">
        <v>0</v>
      </c>
      <c r="H73">
        <v>0</v>
      </c>
      <c r="I73">
        <v>13000</v>
      </c>
      <c r="J73">
        <f t="shared" ca="1" si="3"/>
        <v>0</v>
      </c>
    </row>
    <row r="74" spans="1:10">
      <c r="A74">
        <v>2025</v>
      </c>
      <c r="B74" t="s">
        <v>803</v>
      </c>
      <c r="C74" t="s">
        <v>715</v>
      </c>
      <c r="D74" t="s">
        <v>70</v>
      </c>
      <c r="E74" s="1">
        <f t="shared" si="2"/>
        <v>46022</v>
      </c>
      <c r="F74" t="s">
        <v>219</v>
      </c>
      <c r="G74">
        <v>0</v>
      </c>
      <c r="H74">
        <v>0</v>
      </c>
      <c r="I74">
        <v>13000</v>
      </c>
      <c r="J74">
        <f t="shared" ca="1" si="3"/>
        <v>0</v>
      </c>
    </row>
    <row r="75" spans="1:10">
      <c r="A75">
        <v>2026</v>
      </c>
      <c r="B75" t="s">
        <v>1361</v>
      </c>
      <c r="C75" t="s">
        <v>716</v>
      </c>
      <c r="D75" t="s">
        <v>70</v>
      </c>
      <c r="E75" s="1">
        <f t="shared" si="2"/>
        <v>46053</v>
      </c>
      <c r="F75" t="s">
        <v>219</v>
      </c>
      <c r="G75">
        <v>0</v>
      </c>
      <c r="H75">
        <v>0</v>
      </c>
      <c r="I75">
        <v>13000</v>
      </c>
      <c r="J75">
        <f t="shared" ca="1" si="3"/>
        <v>0</v>
      </c>
    </row>
    <row r="76" spans="1:10">
      <c r="A76">
        <v>2026</v>
      </c>
      <c r="B76" t="s">
        <v>1361</v>
      </c>
      <c r="C76" t="s">
        <v>717</v>
      </c>
      <c r="D76" t="s">
        <v>70</v>
      </c>
      <c r="E76" s="1">
        <f t="shared" si="2"/>
        <v>46081</v>
      </c>
      <c r="F76" t="s">
        <v>219</v>
      </c>
      <c r="G76">
        <v>0</v>
      </c>
      <c r="H76">
        <v>0</v>
      </c>
      <c r="I76">
        <v>13000</v>
      </c>
      <c r="J76">
        <f t="shared" ca="1" si="3"/>
        <v>0</v>
      </c>
    </row>
    <row r="77" spans="1:10">
      <c r="A77">
        <v>2026</v>
      </c>
      <c r="B77" t="s">
        <v>1361</v>
      </c>
      <c r="C77" t="s">
        <v>718</v>
      </c>
      <c r="D77" t="s">
        <v>70</v>
      </c>
      <c r="E77" s="1">
        <f t="shared" si="2"/>
        <v>46112</v>
      </c>
      <c r="F77" t="s">
        <v>219</v>
      </c>
      <c r="G77">
        <v>0</v>
      </c>
      <c r="H77">
        <v>0</v>
      </c>
      <c r="I77">
        <v>13000</v>
      </c>
      <c r="J77">
        <f t="shared" ca="1" si="3"/>
        <v>13000</v>
      </c>
    </row>
    <row r="78" spans="1:10">
      <c r="A78">
        <v>2026</v>
      </c>
      <c r="B78" t="s">
        <v>1362</v>
      </c>
      <c r="C78" t="s">
        <v>719</v>
      </c>
      <c r="D78" t="s">
        <v>70</v>
      </c>
      <c r="E78" s="1">
        <f t="shared" si="2"/>
        <v>46142</v>
      </c>
      <c r="F78" t="s">
        <v>219</v>
      </c>
      <c r="G78">
        <v>0</v>
      </c>
      <c r="H78">
        <v>0</v>
      </c>
      <c r="I78">
        <v>13000</v>
      </c>
      <c r="J78">
        <f t="shared" ca="1" si="3"/>
        <v>13000</v>
      </c>
    </row>
    <row r="79" spans="1:10">
      <c r="A79">
        <v>2026</v>
      </c>
      <c r="B79" t="s">
        <v>1362</v>
      </c>
      <c r="C79" t="s">
        <v>720</v>
      </c>
      <c r="D79" t="s">
        <v>70</v>
      </c>
      <c r="E79" s="1">
        <f t="shared" si="2"/>
        <v>46173</v>
      </c>
      <c r="F79" t="s">
        <v>219</v>
      </c>
      <c r="G79">
        <v>0</v>
      </c>
      <c r="H79">
        <v>0</v>
      </c>
      <c r="I79">
        <v>13000</v>
      </c>
      <c r="J79">
        <f t="shared" ca="1" si="3"/>
        <v>13000</v>
      </c>
    </row>
    <row r="80" spans="1:10">
      <c r="A80">
        <v>2026</v>
      </c>
      <c r="B80" t="s">
        <v>1362</v>
      </c>
      <c r="C80" t="s">
        <v>721</v>
      </c>
      <c r="D80" t="s">
        <v>70</v>
      </c>
      <c r="E80" s="1">
        <f t="shared" si="2"/>
        <v>46203</v>
      </c>
      <c r="F80" t="s">
        <v>219</v>
      </c>
      <c r="G80">
        <v>0</v>
      </c>
      <c r="H80">
        <v>0</v>
      </c>
      <c r="I80">
        <v>13000</v>
      </c>
      <c r="J80">
        <f t="shared" ca="1" si="3"/>
        <v>13000</v>
      </c>
    </row>
    <row r="81" spans="1:10">
      <c r="A81">
        <v>2026</v>
      </c>
      <c r="B81" t="s">
        <v>1360</v>
      </c>
      <c r="C81" t="s">
        <v>710</v>
      </c>
      <c r="D81" t="s">
        <v>70</v>
      </c>
      <c r="E81" s="1">
        <f t="shared" si="2"/>
        <v>46234</v>
      </c>
      <c r="F81" t="s">
        <v>219</v>
      </c>
      <c r="G81">
        <v>0</v>
      </c>
      <c r="H81">
        <v>0</v>
      </c>
      <c r="I81">
        <v>13000</v>
      </c>
      <c r="J81">
        <f t="shared" ca="1" si="3"/>
        <v>13000</v>
      </c>
    </row>
    <row r="82" spans="1:10">
      <c r="A82">
        <v>2026</v>
      </c>
      <c r="B82" t="s">
        <v>1360</v>
      </c>
      <c r="C82" t="s">
        <v>711</v>
      </c>
      <c r="D82" t="s">
        <v>70</v>
      </c>
      <c r="E82" s="1">
        <f t="shared" si="2"/>
        <v>46265</v>
      </c>
      <c r="F82" t="s">
        <v>219</v>
      </c>
      <c r="G82">
        <v>0</v>
      </c>
      <c r="H82">
        <v>0</v>
      </c>
      <c r="I82">
        <v>13000</v>
      </c>
      <c r="J82">
        <f t="shared" ca="1" si="3"/>
        <v>13000</v>
      </c>
    </row>
    <row r="83" spans="1:10">
      <c r="A83">
        <v>2026</v>
      </c>
      <c r="B83" t="s">
        <v>1360</v>
      </c>
      <c r="C83" t="s">
        <v>712</v>
      </c>
      <c r="D83" t="s">
        <v>70</v>
      </c>
      <c r="E83" s="1">
        <f t="shared" si="2"/>
        <v>46295</v>
      </c>
      <c r="F83" t="s">
        <v>219</v>
      </c>
      <c r="G83">
        <v>0</v>
      </c>
      <c r="H83">
        <v>0</v>
      </c>
      <c r="I83">
        <v>13000</v>
      </c>
      <c r="J83">
        <f t="shared" ca="1" si="3"/>
        <v>13000</v>
      </c>
    </row>
    <row r="84" spans="1:10">
      <c r="A84">
        <v>2026</v>
      </c>
      <c r="B84" t="s">
        <v>803</v>
      </c>
      <c r="C84" t="s">
        <v>713</v>
      </c>
      <c r="D84" t="s">
        <v>70</v>
      </c>
      <c r="E84" s="1">
        <f t="shared" si="2"/>
        <v>46326</v>
      </c>
      <c r="F84" t="s">
        <v>219</v>
      </c>
      <c r="G84">
        <v>0</v>
      </c>
      <c r="H84">
        <v>0</v>
      </c>
      <c r="I84">
        <v>13000</v>
      </c>
      <c r="J84">
        <f t="shared" ca="1" si="3"/>
        <v>13000</v>
      </c>
    </row>
    <row r="85" spans="1:10">
      <c r="A85">
        <v>2026</v>
      </c>
      <c r="B85" t="s">
        <v>803</v>
      </c>
      <c r="C85" t="s">
        <v>714</v>
      </c>
      <c r="D85" t="s">
        <v>70</v>
      </c>
      <c r="E85" s="1">
        <f t="shared" si="2"/>
        <v>46356</v>
      </c>
      <c r="F85" t="s">
        <v>219</v>
      </c>
      <c r="G85">
        <v>0</v>
      </c>
      <c r="H85">
        <v>0</v>
      </c>
      <c r="I85">
        <v>13000</v>
      </c>
      <c r="J85">
        <f t="shared" ca="1" si="3"/>
        <v>13000</v>
      </c>
    </row>
    <row r="86" spans="1:10">
      <c r="A86">
        <v>2026</v>
      </c>
      <c r="B86" t="s">
        <v>803</v>
      </c>
      <c r="C86" t="s">
        <v>715</v>
      </c>
      <c r="D86" t="s">
        <v>70</v>
      </c>
      <c r="E86" s="1">
        <f t="shared" si="2"/>
        <v>46387</v>
      </c>
      <c r="F86" t="s">
        <v>219</v>
      </c>
      <c r="G86">
        <v>0</v>
      </c>
      <c r="H86">
        <v>0</v>
      </c>
      <c r="I86">
        <v>13000</v>
      </c>
      <c r="J86">
        <f t="shared" ca="1" si="3"/>
        <v>13000</v>
      </c>
    </row>
    <row r="87" spans="1:10">
      <c r="A87">
        <v>2025</v>
      </c>
      <c r="B87" t="s">
        <v>1360</v>
      </c>
      <c r="C87" t="s">
        <v>711</v>
      </c>
      <c r="D87" t="s">
        <v>70</v>
      </c>
      <c r="E87" s="1">
        <f t="shared" si="2"/>
        <v>45900</v>
      </c>
      <c r="F87" t="s">
        <v>86</v>
      </c>
      <c r="G87">
        <v>18000</v>
      </c>
      <c r="H87">
        <v>0</v>
      </c>
      <c r="I87">
        <v>6000</v>
      </c>
      <c r="J87">
        <f t="shared" ca="1" si="3"/>
        <v>0</v>
      </c>
    </row>
    <row r="88" spans="1:10">
      <c r="A88">
        <v>2025</v>
      </c>
      <c r="B88" t="s">
        <v>1360</v>
      </c>
      <c r="C88" t="s">
        <v>712</v>
      </c>
      <c r="D88" t="s">
        <v>70</v>
      </c>
      <c r="E88" s="1">
        <f t="shared" si="2"/>
        <v>45930</v>
      </c>
      <c r="F88" t="s">
        <v>86</v>
      </c>
      <c r="G88">
        <v>24000</v>
      </c>
      <c r="H88">
        <v>0</v>
      </c>
      <c r="I88">
        <v>6000</v>
      </c>
      <c r="J88">
        <f t="shared" ca="1" si="3"/>
        <v>0</v>
      </c>
    </row>
    <row r="89" spans="1:10">
      <c r="A89">
        <v>2025</v>
      </c>
      <c r="B89" t="s">
        <v>803</v>
      </c>
      <c r="C89" t="s">
        <v>713</v>
      </c>
      <c r="D89" t="s">
        <v>70</v>
      </c>
      <c r="E89" s="1">
        <f t="shared" si="2"/>
        <v>45961</v>
      </c>
      <c r="F89" t="s">
        <v>86</v>
      </c>
      <c r="G89">
        <v>30000</v>
      </c>
      <c r="H89">
        <v>0</v>
      </c>
      <c r="I89">
        <v>6000</v>
      </c>
      <c r="J89">
        <f t="shared" ca="1" si="3"/>
        <v>0</v>
      </c>
    </row>
    <row r="90" spans="1:10">
      <c r="A90">
        <v>2025</v>
      </c>
      <c r="B90" t="s">
        <v>803</v>
      </c>
      <c r="C90" t="s">
        <v>714</v>
      </c>
      <c r="D90" t="s">
        <v>70</v>
      </c>
      <c r="E90" s="1">
        <f t="shared" si="2"/>
        <v>45991</v>
      </c>
      <c r="F90" t="s">
        <v>86</v>
      </c>
      <c r="G90">
        <v>30000</v>
      </c>
      <c r="H90">
        <v>6000</v>
      </c>
      <c r="I90">
        <v>6000</v>
      </c>
      <c r="J90">
        <f t="shared" ca="1" si="3"/>
        <v>0</v>
      </c>
    </row>
    <row r="91" spans="1:10">
      <c r="A91">
        <v>2025</v>
      </c>
      <c r="B91" t="s">
        <v>803</v>
      </c>
      <c r="C91" t="s">
        <v>715</v>
      </c>
      <c r="D91" t="s">
        <v>70</v>
      </c>
      <c r="E91" s="1">
        <f t="shared" si="2"/>
        <v>46022</v>
      </c>
      <c r="F91" t="s">
        <v>86</v>
      </c>
      <c r="G91">
        <v>30000</v>
      </c>
      <c r="H91">
        <v>300000</v>
      </c>
      <c r="I91">
        <v>200000</v>
      </c>
      <c r="J91">
        <f t="shared" ca="1" si="3"/>
        <v>0</v>
      </c>
    </row>
    <row r="92" spans="1:10">
      <c r="A92">
        <v>2026</v>
      </c>
      <c r="B92" t="s">
        <v>1361</v>
      </c>
      <c r="C92" t="s">
        <v>716</v>
      </c>
      <c r="D92" t="s">
        <v>70</v>
      </c>
      <c r="E92" s="1">
        <f t="shared" si="2"/>
        <v>46053</v>
      </c>
      <c r="F92" t="s">
        <v>86</v>
      </c>
      <c r="G92">
        <v>30000</v>
      </c>
      <c r="H92">
        <v>50000</v>
      </c>
      <c r="I92">
        <v>24000</v>
      </c>
      <c r="J92">
        <f t="shared" ca="1" si="3"/>
        <v>0</v>
      </c>
    </row>
    <row r="93" spans="1:10">
      <c r="A93">
        <v>2026</v>
      </c>
      <c r="B93" t="s">
        <v>1361</v>
      </c>
      <c r="C93" t="s">
        <v>717</v>
      </c>
      <c r="D93" t="s">
        <v>70</v>
      </c>
      <c r="E93" s="1">
        <f t="shared" si="2"/>
        <v>46081</v>
      </c>
      <c r="F93" t="s">
        <v>86</v>
      </c>
      <c r="G93">
        <v>30000</v>
      </c>
      <c r="H93">
        <v>0</v>
      </c>
      <c r="I93">
        <v>150000</v>
      </c>
      <c r="J93">
        <f t="shared" ca="1" si="3"/>
        <v>0</v>
      </c>
    </row>
    <row r="94" spans="1:10">
      <c r="A94">
        <v>2026</v>
      </c>
      <c r="B94" t="s">
        <v>1361</v>
      </c>
      <c r="C94" t="s">
        <v>718</v>
      </c>
      <c r="D94" t="s">
        <v>70</v>
      </c>
      <c r="E94" s="1">
        <f t="shared" si="2"/>
        <v>46112</v>
      </c>
      <c r="F94" t="s">
        <v>86</v>
      </c>
      <c r="G94">
        <v>30000</v>
      </c>
      <c r="H94">
        <v>0</v>
      </c>
      <c r="I94">
        <v>150000</v>
      </c>
      <c r="J94">
        <f t="shared" ca="1" si="3"/>
        <v>150000</v>
      </c>
    </row>
    <row r="95" spans="1:10">
      <c r="A95">
        <v>2026</v>
      </c>
      <c r="B95" t="s">
        <v>1362</v>
      </c>
      <c r="C95" t="s">
        <v>719</v>
      </c>
      <c r="D95" t="s">
        <v>70</v>
      </c>
      <c r="E95" s="1">
        <f t="shared" si="2"/>
        <v>46142</v>
      </c>
      <c r="F95" t="s">
        <v>86</v>
      </c>
      <c r="G95">
        <v>30000</v>
      </c>
      <c r="H95">
        <v>0</v>
      </c>
      <c r="I95">
        <v>150000</v>
      </c>
      <c r="J95">
        <f t="shared" ca="1" si="3"/>
        <v>150000</v>
      </c>
    </row>
    <row r="96" spans="1:10">
      <c r="A96">
        <v>2026</v>
      </c>
      <c r="B96" t="s">
        <v>1362</v>
      </c>
      <c r="C96" t="s">
        <v>720</v>
      </c>
      <c r="D96" t="s">
        <v>70</v>
      </c>
      <c r="E96" s="1">
        <f t="shared" si="2"/>
        <v>46173</v>
      </c>
      <c r="F96" t="s">
        <v>86</v>
      </c>
      <c r="G96">
        <v>30000</v>
      </c>
      <c r="H96">
        <v>0</v>
      </c>
      <c r="I96">
        <v>30000</v>
      </c>
      <c r="J96">
        <f t="shared" ca="1" si="3"/>
        <v>30000</v>
      </c>
    </row>
    <row r="97" spans="1:10">
      <c r="A97">
        <v>2026</v>
      </c>
      <c r="B97" t="s">
        <v>1362</v>
      </c>
      <c r="C97" t="s">
        <v>721</v>
      </c>
      <c r="D97" t="s">
        <v>70</v>
      </c>
      <c r="E97" s="1">
        <f t="shared" si="2"/>
        <v>46203</v>
      </c>
      <c r="F97" t="s">
        <v>86</v>
      </c>
      <c r="G97">
        <v>30000</v>
      </c>
      <c r="H97">
        <v>0</v>
      </c>
      <c r="I97">
        <v>30000</v>
      </c>
      <c r="J97">
        <f t="shared" ca="1" si="3"/>
        <v>30000</v>
      </c>
    </row>
    <row r="98" spans="1:10">
      <c r="A98">
        <v>2026</v>
      </c>
      <c r="B98" t="s">
        <v>1360</v>
      </c>
      <c r="C98" t="s">
        <v>710</v>
      </c>
      <c r="D98" t="s">
        <v>70</v>
      </c>
      <c r="E98" s="1">
        <f t="shared" si="2"/>
        <v>46234</v>
      </c>
      <c r="F98" t="s">
        <v>86</v>
      </c>
      <c r="G98">
        <v>30000</v>
      </c>
      <c r="H98">
        <v>0</v>
      </c>
      <c r="I98">
        <v>30000</v>
      </c>
      <c r="J98">
        <f t="shared" ca="1" si="3"/>
        <v>30000</v>
      </c>
    </row>
    <row r="99" spans="1:10">
      <c r="A99">
        <v>2026</v>
      </c>
      <c r="B99" t="s">
        <v>1360</v>
      </c>
      <c r="C99" t="s">
        <v>711</v>
      </c>
      <c r="D99" t="s">
        <v>70</v>
      </c>
      <c r="E99" s="1">
        <f t="shared" si="2"/>
        <v>46265</v>
      </c>
      <c r="F99" t="s">
        <v>86</v>
      </c>
      <c r="G99">
        <v>30000</v>
      </c>
      <c r="H99">
        <v>0</v>
      </c>
      <c r="I99">
        <v>30000</v>
      </c>
      <c r="J99">
        <f t="shared" ca="1" si="3"/>
        <v>30000</v>
      </c>
    </row>
    <row r="100" spans="1:10">
      <c r="A100">
        <v>2026</v>
      </c>
      <c r="B100" t="s">
        <v>1360</v>
      </c>
      <c r="C100" t="s">
        <v>712</v>
      </c>
      <c r="D100" t="s">
        <v>70</v>
      </c>
      <c r="E100" s="1">
        <f t="shared" si="2"/>
        <v>46295</v>
      </c>
      <c r="F100" t="s">
        <v>86</v>
      </c>
      <c r="G100">
        <v>30000</v>
      </c>
      <c r="H100">
        <v>0</v>
      </c>
      <c r="I100">
        <v>30000</v>
      </c>
      <c r="J100">
        <f t="shared" ca="1" si="3"/>
        <v>30000</v>
      </c>
    </row>
    <row r="101" spans="1:10">
      <c r="A101">
        <v>2026</v>
      </c>
      <c r="B101" t="s">
        <v>803</v>
      </c>
      <c r="C101" t="s">
        <v>713</v>
      </c>
      <c r="D101" t="s">
        <v>70</v>
      </c>
      <c r="E101" s="1">
        <f t="shared" si="2"/>
        <v>46326</v>
      </c>
      <c r="F101" t="s">
        <v>86</v>
      </c>
      <c r="G101">
        <v>30000</v>
      </c>
      <c r="H101">
        <v>0</v>
      </c>
      <c r="I101">
        <v>30000</v>
      </c>
      <c r="J101">
        <f t="shared" ca="1" si="3"/>
        <v>30000</v>
      </c>
    </row>
    <row r="102" spans="1:10">
      <c r="A102">
        <v>2026</v>
      </c>
      <c r="B102" t="s">
        <v>803</v>
      </c>
      <c r="C102" t="s">
        <v>714</v>
      </c>
      <c r="D102" t="s">
        <v>70</v>
      </c>
      <c r="E102" s="1">
        <f t="shared" si="2"/>
        <v>46356</v>
      </c>
      <c r="F102" t="s">
        <v>86</v>
      </c>
      <c r="G102">
        <v>30000</v>
      </c>
      <c r="H102">
        <v>0</v>
      </c>
      <c r="I102">
        <v>30000</v>
      </c>
      <c r="J102">
        <f t="shared" ca="1" si="3"/>
        <v>30000</v>
      </c>
    </row>
    <row r="103" spans="1:10">
      <c r="A103">
        <v>2026</v>
      </c>
      <c r="B103" t="s">
        <v>803</v>
      </c>
      <c r="C103" t="s">
        <v>715</v>
      </c>
      <c r="D103" t="s">
        <v>70</v>
      </c>
      <c r="E103" s="1">
        <f t="shared" si="2"/>
        <v>46387</v>
      </c>
      <c r="F103" t="s">
        <v>86</v>
      </c>
      <c r="G103">
        <v>30000</v>
      </c>
      <c r="H103">
        <v>0</v>
      </c>
      <c r="I103">
        <v>30000</v>
      </c>
      <c r="J103">
        <f t="shared" ca="1" si="3"/>
        <v>30000</v>
      </c>
    </row>
    <row r="104" spans="1:10">
      <c r="A104">
        <v>2025</v>
      </c>
      <c r="B104" t="s">
        <v>1360</v>
      </c>
      <c r="C104" t="s">
        <v>711</v>
      </c>
      <c r="D104" t="s">
        <v>70</v>
      </c>
      <c r="E104" s="1">
        <f t="shared" si="2"/>
        <v>45900</v>
      </c>
      <c r="F104" t="s">
        <v>346</v>
      </c>
      <c r="G104">
        <v>24000</v>
      </c>
      <c r="H104">
        <v>0</v>
      </c>
      <c r="I104">
        <v>0</v>
      </c>
      <c r="J104">
        <f t="shared" ca="1" si="3"/>
        <v>0</v>
      </c>
    </row>
    <row r="105" spans="1:10">
      <c r="A105">
        <v>2025</v>
      </c>
      <c r="B105" t="s">
        <v>1360</v>
      </c>
      <c r="C105" t="s">
        <v>712</v>
      </c>
      <c r="D105" t="s">
        <v>70</v>
      </c>
      <c r="E105" s="1">
        <f t="shared" si="2"/>
        <v>45930</v>
      </c>
      <c r="F105" t="s">
        <v>346</v>
      </c>
      <c r="G105">
        <v>32000</v>
      </c>
      <c r="H105">
        <v>0</v>
      </c>
      <c r="I105">
        <v>0</v>
      </c>
      <c r="J105">
        <f t="shared" ca="1" si="3"/>
        <v>0</v>
      </c>
    </row>
    <row r="106" spans="1:10">
      <c r="A106">
        <v>2025</v>
      </c>
      <c r="B106" t="s">
        <v>803</v>
      </c>
      <c r="C106" t="s">
        <v>713</v>
      </c>
      <c r="D106" t="s">
        <v>70</v>
      </c>
      <c r="E106" s="1">
        <f t="shared" si="2"/>
        <v>45961</v>
      </c>
      <c r="F106" t="s">
        <v>346</v>
      </c>
      <c r="G106">
        <v>40000</v>
      </c>
      <c r="H106">
        <v>0</v>
      </c>
      <c r="I106">
        <v>0</v>
      </c>
      <c r="J106">
        <f t="shared" ca="1" si="3"/>
        <v>0</v>
      </c>
    </row>
    <row r="107" spans="1:10">
      <c r="A107">
        <v>2025</v>
      </c>
      <c r="B107" t="s">
        <v>803</v>
      </c>
      <c r="C107" t="s">
        <v>714</v>
      </c>
      <c r="D107" t="s">
        <v>70</v>
      </c>
      <c r="E107" s="1">
        <f t="shared" si="2"/>
        <v>45991</v>
      </c>
      <c r="F107" t="s">
        <v>346</v>
      </c>
      <c r="G107">
        <v>48000</v>
      </c>
      <c r="H107">
        <v>100000</v>
      </c>
      <c r="I107">
        <v>0</v>
      </c>
      <c r="J107">
        <f t="shared" ca="1" si="3"/>
        <v>0</v>
      </c>
    </row>
    <row r="108" spans="1:10">
      <c r="A108">
        <v>2025</v>
      </c>
      <c r="B108" t="s">
        <v>803</v>
      </c>
      <c r="C108" t="s">
        <v>715</v>
      </c>
      <c r="D108" t="s">
        <v>70</v>
      </c>
      <c r="E108" s="1">
        <f t="shared" si="2"/>
        <v>46022</v>
      </c>
      <c r="F108" t="s">
        <v>346</v>
      </c>
      <c r="G108">
        <v>48000</v>
      </c>
      <c r="H108">
        <v>0</v>
      </c>
      <c r="I108">
        <v>16000</v>
      </c>
      <c r="J108">
        <f t="shared" ca="1" si="3"/>
        <v>0</v>
      </c>
    </row>
    <row r="109" spans="1:10">
      <c r="A109">
        <v>2026</v>
      </c>
      <c r="B109" t="s">
        <v>1361</v>
      </c>
      <c r="C109" t="s">
        <v>716</v>
      </c>
      <c r="D109" t="s">
        <v>70</v>
      </c>
      <c r="E109" s="1">
        <f t="shared" si="2"/>
        <v>46053</v>
      </c>
      <c r="F109" t="s">
        <v>346</v>
      </c>
      <c r="G109">
        <v>48000</v>
      </c>
      <c r="H109">
        <v>0</v>
      </c>
      <c r="I109">
        <v>24000</v>
      </c>
      <c r="J109">
        <f t="shared" ca="1" si="3"/>
        <v>0</v>
      </c>
    </row>
    <row r="110" spans="1:10">
      <c r="A110">
        <v>2026</v>
      </c>
      <c r="B110" t="s">
        <v>1361</v>
      </c>
      <c r="C110" t="s">
        <v>717</v>
      </c>
      <c r="D110" t="s">
        <v>70</v>
      </c>
      <c r="E110" s="1">
        <f t="shared" si="2"/>
        <v>46081</v>
      </c>
      <c r="F110" t="s">
        <v>346</v>
      </c>
      <c r="G110">
        <v>48000</v>
      </c>
      <c r="H110">
        <v>0</v>
      </c>
      <c r="I110">
        <v>24000</v>
      </c>
      <c r="J110">
        <f t="shared" ca="1" si="3"/>
        <v>0</v>
      </c>
    </row>
    <row r="111" spans="1:10">
      <c r="A111">
        <v>2026</v>
      </c>
      <c r="B111" t="s">
        <v>1361</v>
      </c>
      <c r="C111" t="s">
        <v>718</v>
      </c>
      <c r="D111" t="s">
        <v>70</v>
      </c>
      <c r="E111" s="1">
        <f t="shared" si="2"/>
        <v>46112</v>
      </c>
      <c r="F111" t="s">
        <v>346</v>
      </c>
      <c r="G111">
        <v>48000</v>
      </c>
      <c r="H111">
        <v>0</v>
      </c>
      <c r="I111">
        <v>32000</v>
      </c>
      <c r="J111">
        <f t="shared" ca="1" si="3"/>
        <v>32000</v>
      </c>
    </row>
    <row r="112" spans="1:10">
      <c r="A112">
        <v>2026</v>
      </c>
      <c r="B112" t="s">
        <v>1362</v>
      </c>
      <c r="C112" t="s">
        <v>719</v>
      </c>
      <c r="D112" t="s">
        <v>70</v>
      </c>
      <c r="E112" s="1">
        <f t="shared" si="2"/>
        <v>46142</v>
      </c>
      <c r="F112" t="s">
        <v>346</v>
      </c>
      <c r="G112">
        <v>48000</v>
      </c>
      <c r="H112">
        <v>0</v>
      </c>
      <c r="I112">
        <v>32000</v>
      </c>
      <c r="J112">
        <f t="shared" ca="1" si="3"/>
        <v>32000</v>
      </c>
    </row>
    <row r="113" spans="1:10">
      <c r="A113">
        <v>2026</v>
      </c>
      <c r="B113" t="s">
        <v>1362</v>
      </c>
      <c r="C113" t="s">
        <v>720</v>
      </c>
      <c r="D113" t="s">
        <v>70</v>
      </c>
      <c r="E113" s="1">
        <f t="shared" si="2"/>
        <v>46173</v>
      </c>
      <c r="F113" t="s">
        <v>346</v>
      </c>
      <c r="G113">
        <v>48000</v>
      </c>
      <c r="H113">
        <v>0</v>
      </c>
      <c r="I113">
        <v>32000</v>
      </c>
      <c r="J113">
        <f t="shared" ca="1" si="3"/>
        <v>32000</v>
      </c>
    </row>
    <row r="114" spans="1:10">
      <c r="A114">
        <v>2026</v>
      </c>
      <c r="B114" t="s">
        <v>1362</v>
      </c>
      <c r="C114" t="s">
        <v>721</v>
      </c>
      <c r="D114" t="s">
        <v>70</v>
      </c>
      <c r="E114" s="1">
        <f t="shared" si="2"/>
        <v>46203</v>
      </c>
      <c r="F114" t="s">
        <v>346</v>
      </c>
      <c r="G114">
        <v>48000</v>
      </c>
      <c r="H114">
        <v>0</v>
      </c>
      <c r="I114">
        <v>32000</v>
      </c>
      <c r="J114">
        <f t="shared" ca="1" si="3"/>
        <v>32000</v>
      </c>
    </row>
    <row r="115" spans="1:10">
      <c r="A115">
        <v>2026</v>
      </c>
      <c r="B115" t="s">
        <v>1360</v>
      </c>
      <c r="C115" t="s">
        <v>710</v>
      </c>
      <c r="D115" t="s">
        <v>70</v>
      </c>
      <c r="E115" s="1">
        <f t="shared" si="2"/>
        <v>46234</v>
      </c>
      <c r="F115" t="s">
        <v>346</v>
      </c>
      <c r="G115">
        <v>48000</v>
      </c>
      <c r="H115">
        <v>0</v>
      </c>
      <c r="I115">
        <v>32000</v>
      </c>
      <c r="J115">
        <f t="shared" ca="1" si="3"/>
        <v>32000</v>
      </c>
    </row>
    <row r="116" spans="1:10">
      <c r="A116">
        <v>2026</v>
      </c>
      <c r="B116" t="s">
        <v>1360</v>
      </c>
      <c r="C116" t="s">
        <v>711</v>
      </c>
      <c r="D116" t="s">
        <v>70</v>
      </c>
      <c r="E116" s="1">
        <f t="shared" si="2"/>
        <v>46265</v>
      </c>
      <c r="F116" t="s">
        <v>346</v>
      </c>
      <c r="G116">
        <v>48000</v>
      </c>
      <c r="H116">
        <v>0</v>
      </c>
      <c r="I116">
        <v>32000</v>
      </c>
      <c r="J116">
        <f t="shared" ca="1" si="3"/>
        <v>32000</v>
      </c>
    </row>
    <row r="117" spans="1:10">
      <c r="A117">
        <v>2026</v>
      </c>
      <c r="B117" t="s">
        <v>1360</v>
      </c>
      <c r="C117" t="s">
        <v>712</v>
      </c>
      <c r="D117" t="s">
        <v>70</v>
      </c>
      <c r="E117" s="1">
        <f t="shared" si="2"/>
        <v>46295</v>
      </c>
      <c r="F117" t="s">
        <v>346</v>
      </c>
      <c r="G117">
        <v>48000</v>
      </c>
      <c r="H117">
        <v>0</v>
      </c>
      <c r="I117">
        <v>32000</v>
      </c>
      <c r="J117">
        <f t="shared" ca="1" si="3"/>
        <v>32000</v>
      </c>
    </row>
    <row r="118" spans="1:10">
      <c r="A118">
        <v>2026</v>
      </c>
      <c r="B118" t="s">
        <v>803</v>
      </c>
      <c r="C118" t="s">
        <v>713</v>
      </c>
      <c r="D118" t="s">
        <v>70</v>
      </c>
      <c r="E118" s="1">
        <f t="shared" si="2"/>
        <v>46326</v>
      </c>
      <c r="F118" t="s">
        <v>346</v>
      </c>
      <c r="G118">
        <v>48000</v>
      </c>
      <c r="H118">
        <v>0</v>
      </c>
      <c r="I118">
        <v>32000</v>
      </c>
      <c r="J118">
        <f t="shared" ca="1" si="3"/>
        <v>32000</v>
      </c>
    </row>
    <row r="119" spans="1:10">
      <c r="A119">
        <v>2026</v>
      </c>
      <c r="B119" t="s">
        <v>803</v>
      </c>
      <c r="C119" t="s">
        <v>714</v>
      </c>
      <c r="D119" t="s">
        <v>70</v>
      </c>
      <c r="E119" s="1">
        <f t="shared" si="2"/>
        <v>46356</v>
      </c>
      <c r="F119" t="s">
        <v>346</v>
      </c>
      <c r="G119">
        <v>48000</v>
      </c>
      <c r="I119">
        <v>32000</v>
      </c>
      <c r="J119">
        <f t="shared" ca="1" si="3"/>
        <v>32000</v>
      </c>
    </row>
    <row r="120" spans="1:10">
      <c r="A120">
        <v>2026</v>
      </c>
      <c r="B120" t="s">
        <v>803</v>
      </c>
      <c r="C120" t="s">
        <v>715</v>
      </c>
      <c r="D120" t="s">
        <v>70</v>
      </c>
      <c r="E120" s="1">
        <f t="shared" si="2"/>
        <v>46387</v>
      </c>
      <c r="F120" t="s">
        <v>346</v>
      </c>
      <c r="G120">
        <v>48000</v>
      </c>
      <c r="H120">
        <v>0</v>
      </c>
      <c r="I120">
        <v>32000</v>
      </c>
      <c r="J120">
        <f t="shared" ca="1" si="3"/>
        <v>32000</v>
      </c>
    </row>
    <row r="121" spans="1:10">
      <c r="A121">
        <v>2025</v>
      </c>
      <c r="B121" t="s">
        <v>1360</v>
      </c>
      <c r="C121" t="s">
        <v>711</v>
      </c>
      <c r="D121" t="s">
        <v>70</v>
      </c>
      <c r="E121" s="1">
        <f t="shared" si="2"/>
        <v>45900</v>
      </c>
      <c r="F121" t="s">
        <v>76</v>
      </c>
      <c r="G121">
        <v>18000</v>
      </c>
      <c r="H121">
        <v>0</v>
      </c>
      <c r="I121">
        <v>0</v>
      </c>
      <c r="J121">
        <f t="shared" ca="1" si="3"/>
        <v>0</v>
      </c>
    </row>
    <row r="122" spans="1:10">
      <c r="A122">
        <v>2025</v>
      </c>
      <c r="B122" t="s">
        <v>1360</v>
      </c>
      <c r="C122" t="s">
        <v>712</v>
      </c>
      <c r="D122" t="s">
        <v>70</v>
      </c>
      <c r="E122" s="1">
        <f t="shared" si="2"/>
        <v>45930</v>
      </c>
      <c r="F122" t="s">
        <v>76</v>
      </c>
      <c r="G122">
        <v>27000</v>
      </c>
      <c r="H122">
        <v>0</v>
      </c>
      <c r="I122">
        <v>0</v>
      </c>
      <c r="J122">
        <f t="shared" ca="1" si="3"/>
        <v>0</v>
      </c>
    </row>
    <row r="123" spans="1:10">
      <c r="A123">
        <v>2025</v>
      </c>
      <c r="B123" t="s">
        <v>803</v>
      </c>
      <c r="C123" t="s">
        <v>713</v>
      </c>
      <c r="D123" t="s">
        <v>70</v>
      </c>
      <c r="E123" s="1">
        <f t="shared" si="2"/>
        <v>45961</v>
      </c>
      <c r="F123" t="s">
        <v>76</v>
      </c>
      <c r="G123">
        <v>36000</v>
      </c>
      <c r="H123">
        <v>100000</v>
      </c>
      <c r="I123">
        <v>0</v>
      </c>
      <c r="J123">
        <f t="shared" ca="1" si="3"/>
        <v>0</v>
      </c>
    </row>
    <row r="124" spans="1:10">
      <c r="A124">
        <v>2025</v>
      </c>
      <c r="B124" t="s">
        <v>803</v>
      </c>
      <c r="C124" t="s">
        <v>714</v>
      </c>
      <c r="D124" t="s">
        <v>70</v>
      </c>
      <c r="E124" s="1">
        <f t="shared" si="2"/>
        <v>45991</v>
      </c>
      <c r="F124" t="s">
        <v>76</v>
      </c>
      <c r="G124">
        <v>45000</v>
      </c>
      <c r="H124">
        <v>100000</v>
      </c>
      <c r="I124">
        <v>0</v>
      </c>
      <c r="J124">
        <f t="shared" ca="1" si="3"/>
        <v>0</v>
      </c>
    </row>
    <row r="125" spans="1:10">
      <c r="A125">
        <v>2025</v>
      </c>
      <c r="B125" t="s">
        <v>803</v>
      </c>
      <c r="C125" t="s">
        <v>715</v>
      </c>
      <c r="D125" t="s">
        <v>70</v>
      </c>
      <c r="E125" s="1">
        <f t="shared" si="2"/>
        <v>46022</v>
      </c>
      <c r="F125" t="s">
        <v>76</v>
      </c>
      <c r="G125">
        <v>45000</v>
      </c>
      <c r="H125">
        <v>0</v>
      </c>
      <c r="I125">
        <v>0</v>
      </c>
      <c r="J125">
        <f t="shared" ca="1" si="3"/>
        <v>0</v>
      </c>
    </row>
    <row r="126" spans="1:10">
      <c r="A126">
        <v>2026</v>
      </c>
      <c r="B126" t="s">
        <v>1361</v>
      </c>
      <c r="C126" t="s">
        <v>716</v>
      </c>
      <c r="D126" t="s">
        <v>70</v>
      </c>
      <c r="E126" s="1">
        <f t="shared" si="2"/>
        <v>46053</v>
      </c>
      <c r="F126" t="s">
        <v>76</v>
      </c>
      <c r="G126">
        <v>45000</v>
      </c>
      <c r="H126">
        <v>60000</v>
      </c>
      <c r="I126">
        <v>9000</v>
      </c>
      <c r="J126">
        <f t="shared" ca="1" si="3"/>
        <v>0</v>
      </c>
    </row>
    <row r="127" spans="1:10">
      <c r="A127">
        <v>2026</v>
      </c>
      <c r="B127" t="s">
        <v>1361</v>
      </c>
      <c r="C127" t="s">
        <v>717</v>
      </c>
      <c r="D127" t="s">
        <v>70</v>
      </c>
      <c r="E127" s="1">
        <f t="shared" si="2"/>
        <v>46081</v>
      </c>
      <c r="F127" t="s">
        <v>76</v>
      </c>
      <c r="G127">
        <v>45000</v>
      </c>
      <c r="H127">
        <v>0</v>
      </c>
      <c r="I127">
        <v>9000</v>
      </c>
      <c r="J127">
        <f t="shared" ca="1" si="3"/>
        <v>0</v>
      </c>
    </row>
    <row r="128" spans="1:10">
      <c r="A128">
        <v>2026</v>
      </c>
      <c r="B128" t="s">
        <v>1361</v>
      </c>
      <c r="C128" t="s">
        <v>718</v>
      </c>
      <c r="D128" t="s">
        <v>70</v>
      </c>
      <c r="E128" s="1">
        <f t="shared" si="2"/>
        <v>46112</v>
      </c>
      <c r="F128" t="s">
        <v>76</v>
      </c>
      <c r="G128">
        <v>45000</v>
      </c>
      <c r="H128">
        <v>0</v>
      </c>
      <c r="I128">
        <v>9000</v>
      </c>
      <c r="J128">
        <f t="shared" ca="1" si="3"/>
        <v>9000</v>
      </c>
    </row>
    <row r="129" spans="1:10">
      <c r="A129">
        <v>2026</v>
      </c>
      <c r="B129" t="s">
        <v>1362</v>
      </c>
      <c r="C129" t="s">
        <v>719</v>
      </c>
      <c r="D129" t="s">
        <v>70</v>
      </c>
      <c r="E129" s="1">
        <f t="shared" si="2"/>
        <v>46142</v>
      </c>
      <c r="F129" t="s">
        <v>76</v>
      </c>
      <c r="G129">
        <v>45000</v>
      </c>
      <c r="H129">
        <v>0</v>
      </c>
      <c r="I129">
        <v>9000</v>
      </c>
      <c r="J129">
        <f t="shared" ca="1" si="3"/>
        <v>9000</v>
      </c>
    </row>
    <row r="130" spans="1:10">
      <c r="A130">
        <v>2026</v>
      </c>
      <c r="B130" t="s">
        <v>1362</v>
      </c>
      <c r="C130" t="s">
        <v>720</v>
      </c>
      <c r="D130" t="s">
        <v>70</v>
      </c>
      <c r="E130" s="1">
        <f t="shared" si="2"/>
        <v>46173</v>
      </c>
      <c r="F130" t="s">
        <v>76</v>
      </c>
      <c r="G130">
        <v>45000</v>
      </c>
      <c r="H130">
        <v>0</v>
      </c>
      <c r="I130">
        <v>9000</v>
      </c>
      <c r="J130">
        <f t="shared" ca="1" si="3"/>
        <v>9000</v>
      </c>
    </row>
    <row r="131" spans="1:10">
      <c r="A131">
        <v>2026</v>
      </c>
      <c r="B131" t="s">
        <v>1362</v>
      </c>
      <c r="C131" t="s">
        <v>721</v>
      </c>
      <c r="D131" t="s">
        <v>70</v>
      </c>
      <c r="E131" s="1">
        <f t="shared" ref="E131:E194" si="4">EOMONTH(DATE(A131, MONTH(1 &amp; C131), 1), 0)</f>
        <v>46203</v>
      </c>
      <c r="F131" t="s">
        <v>76</v>
      </c>
      <c r="G131">
        <v>45000</v>
      </c>
      <c r="H131">
        <v>0</v>
      </c>
      <c r="I131">
        <v>9000</v>
      </c>
      <c r="J131">
        <f t="shared" ref="J131:J194" ca="1" si="5">IF(E131&lt;TODAY(),0,I131)</f>
        <v>9000</v>
      </c>
    </row>
    <row r="132" spans="1:10">
      <c r="A132">
        <v>2026</v>
      </c>
      <c r="B132" t="s">
        <v>1360</v>
      </c>
      <c r="C132" t="s">
        <v>710</v>
      </c>
      <c r="D132" t="s">
        <v>70</v>
      </c>
      <c r="E132" s="1">
        <f t="shared" si="4"/>
        <v>46234</v>
      </c>
      <c r="F132" t="s">
        <v>76</v>
      </c>
      <c r="G132">
        <v>45000</v>
      </c>
      <c r="H132">
        <v>0</v>
      </c>
      <c r="I132">
        <v>9000</v>
      </c>
      <c r="J132">
        <f t="shared" ca="1" si="5"/>
        <v>9000</v>
      </c>
    </row>
    <row r="133" spans="1:10">
      <c r="A133">
        <v>2026</v>
      </c>
      <c r="B133" t="s">
        <v>1360</v>
      </c>
      <c r="C133" t="s">
        <v>711</v>
      </c>
      <c r="D133" t="s">
        <v>70</v>
      </c>
      <c r="E133" s="1">
        <f t="shared" si="4"/>
        <v>46265</v>
      </c>
      <c r="F133" t="s">
        <v>76</v>
      </c>
      <c r="G133">
        <v>45000</v>
      </c>
      <c r="H133">
        <v>0</v>
      </c>
      <c r="I133">
        <v>9000</v>
      </c>
      <c r="J133">
        <f t="shared" ca="1" si="5"/>
        <v>9000</v>
      </c>
    </row>
    <row r="134" spans="1:10">
      <c r="A134">
        <v>2026</v>
      </c>
      <c r="B134" t="s">
        <v>1360</v>
      </c>
      <c r="C134" t="s">
        <v>712</v>
      </c>
      <c r="D134" t="s">
        <v>70</v>
      </c>
      <c r="E134" s="1">
        <f t="shared" si="4"/>
        <v>46295</v>
      </c>
      <c r="F134" t="s">
        <v>76</v>
      </c>
      <c r="G134">
        <v>45000</v>
      </c>
      <c r="H134">
        <v>0</v>
      </c>
      <c r="I134">
        <v>9000</v>
      </c>
      <c r="J134">
        <f t="shared" ca="1" si="5"/>
        <v>9000</v>
      </c>
    </row>
    <row r="135" spans="1:10">
      <c r="A135">
        <v>2026</v>
      </c>
      <c r="B135" t="s">
        <v>803</v>
      </c>
      <c r="C135" t="s">
        <v>713</v>
      </c>
      <c r="D135" t="s">
        <v>70</v>
      </c>
      <c r="E135" s="1">
        <f t="shared" si="4"/>
        <v>46326</v>
      </c>
      <c r="F135" t="s">
        <v>76</v>
      </c>
      <c r="G135">
        <v>45000</v>
      </c>
      <c r="H135">
        <v>0</v>
      </c>
      <c r="I135">
        <v>9000</v>
      </c>
      <c r="J135">
        <f t="shared" ca="1" si="5"/>
        <v>9000</v>
      </c>
    </row>
    <row r="136" spans="1:10">
      <c r="A136">
        <v>2026</v>
      </c>
      <c r="B136" t="s">
        <v>803</v>
      </c>
      <c r="C136" t="s">
        <v>714</v>
      </c>
      <c r="D136" t="s">
        <v>70</v>
      </c>
      <c r="E136" s="1">
        <f t="shared" si="4"/>
        <v>46356</v>
      </c>
      <c r="F136" t="s">
        <v>76</v>
      </c>
      <c r="G136">
        <v>45000</v>
      </c>
      <c r="I136">
        <v>9000</v>
      </c>
      <c r="J136">
        <f t="shared" ca="1" si="5"/>
        <v>9000</v>
      </c>
    </row>
    <row r="137" spans="1:10">
      <c r="A137">
        <v>2026</v>
      </c>
      <c r="B137" t="s">
        <v>803</v>
      </c>
      <c r="C137" t="s">
        <v>715</v>
      </c>
      <c r="D137" t="s">
        <v>70</v>
      </c>
      <c r="E137" s="1">
        <f t="shared" si="4"/>
        <v>46387</v>
      </c>
      <c r="F137" t="s">
        <v>76</v>
      </c>
      <c r="G137">
        <v>45000</v>
      </c>
      <c r="H137">
        <v>0</v>
      </c>
      <c r="I137">
        <v>9000</v>
      </c>
      <c r="J137">
        <f t="shared" ca="1" si="5"/>
        <v>9000</v>
      </c>
    </row>
    <row r="138" spans="1:10">
      <c r="A138">
        <v>2025</v>
      </c>
      <c r="B138" t="s">
        <v>1360</v>
      </c>
      <c r="C138" t="s">
        <v>711</v>
      </c>
      <c r="D138" t="s">
        <v>70</v>
      </c>
      <c r="E138" s="1">
        <f t="shared" si="4"/>
        <v>45900</v>
      </c>
      <c r="F138" t="s">
        <v>165</v>
      </c>
      <c r="G138">
        <v>80000</v>
      </c>
      <c r="H138">
        <v>0</v>
      </c>
      <c r="I138">
        <v>0</v>
      </c>
      <c r="J138">
        <f t="shared" ca="1" si="5"/>
        <v>0</v>
      </c>
    </row>
    <row r="139" spans="1:10">
      <c r="A139">
        <v>2025</v>
      </c>
      <c r="B139" t="s">
        <v>1360</v>
      </c>
      <c r="C139" t="s">
        <v>712</v>
      </c>
      <c r="D139" t="s">
        <v>70</v>
      </c>
      <c r="E139" s="1">
        <f t="shared" si="4"/>
        <v>45930</v>
      </c>
      <c r="F139" t="s">
        <v>165</v>
      </c>
      <c r="G139">
        <v>120000</v>
      </c>
      <c r="H139">
        <v>200000</v>
      </c>
      <c r="I139">
        <v>0</v>
      </c>
      <c r="J139">
        <f t="shared" ca="1" si="5"/>
        <v>0</v>
      </c>
    </row>
    <row r="140" spans="1:10">
      <c r="A140">
        <v>2025</v>
      </c>
      <c r="B140" t="s">
        <v>803</v>
      </c>
      <c r="C140" t="s">
        <v>713</v>
      </c>
      <c r="D140" t="s">
        <v>70</v>
      </c>
      <c r="E140" s="1">
        <f t="shared" si="4"/>
        <v>45961</v>
      </c>
      <c r="F140" t="s">
        <v>165</v>
      </c>
      <c r="G140">
        <v>140000</v>
      </c>
      <c r="H140">
        <v>20000</v>
      </c>
      <c r="I140">
        <v>0</v>
      </c>
      <c r="J140">
        <f t="shared" ca="1" si="5"/>
        <v>0</v>
      </c>
    </row>
    <row r="141" spans="1:10">
      <c r="A141">
        <v>2025</v>
      </c>
      <c r="B141" t="s">
        <v>803</v>
      </c>
      <c r="C141" t="s">
        <v>714</v>
      </c>
      <c r="D141" t="s">
        <v>70</v>
      </c>
      <c r="E141" s="1">
        <f t="shared" si="4"/>
        <v>45991</v>
      </c>
      <c r="F141" t="s">
        <v>165</v>
      </c>
      <c r="G141">
        <v>140000</v>
      </c>
      <c r="H141">
        <v>65000</v>
      </c>
      <c r="I141">
        <v>40000</v>
      </c>
      <c r="J141">
        <f t="shared" ca="1" si="5"/>
        <v>0</v>
      </c>
    </row>
    <row r="142" spans="1:10">
      <c r="A142">
        <v>2025</v>
      </c>
      <c r="B142" t="s">
        <v>803</v>
      </c>
      <c r="C142" t="s">
        <v>715</v>
      </c>
      <c r="D142" t="s">
        <v>70</v>
      </c>
      <c r="E142" s="1">
        <f t="shared" si="4"/>
        <v>46022</v>
      </c>
      <c r="F142" t="s">
        <v>165</v>
      </c>
      <c r="G142">
        <v>140000</v>
      </c>
      <c r="H142">
        <v>300000</v>
      </c>
      <c r="I142">
        <v>40000</v>
      </c>
      <c r="J142">
        <f t="shared" ca="1" si="5"/>
        <v>0</v>
      </c>
    </row>
    <row r="143" spans="1:10">
      <c r="A143">
        <v>2026</v>
      </c>
      <c r="B143" t="s">
        <v>1361</v>
      </c>
      <c r="C143" t="s">
        <v>716</v>
      </c>
      <c r="D143" t="s">
        <v>70</v>
      </c>
      <c r="E143" s="1">
        <f t="shared" si="4"/>
        <v>46053</v>
      </c>
      <c r="F143" t="s">
        <v>165</v>
      </c>
      <c r="G143">
        <v>140000</v>
      </c>
      <c r="H143">
        <v>200000</v>
      </c>
      <c r="I143">
        <v>80000</v>
      </c>
      <c r="J143">
        <f t="shared" ca="1" si="5"/>
        <v>0</v>
      </c>
    </row>
    <row r="144" spans="1:10">
      <c r="A144">
        <v>2026</v>
      </c>
      <c r="B144" t="s">
        <v>1361</v>
      </c>
      <c r="C144" t="s">
        <v>717</v>
      </c>
      <c r="D144" t="s">
        <v>70</v>
      </c>
      <c r="E144" s="1">
        <f t="shared" si="4"/>
        <v>46081</v>
      </c>
      <c r="F144" t="s">
        <v>165</v>
      </c>
      <c r="G144">
        <v>140000</v>
      </c>
      <c r="H144">
        <v>0</v>
      </c>
      <c r="I144">
        <v>100000</v>
      </c>
      <c r="J144">
        <f t="shared" ca="1" si="5"/>
        <v>0</v>
      </c>
    </row>
    <row r="145" spans="1:10">
      <c r="A145">
        <v>2026</v>
      </c>
      <c r="B145" t="s">
        <v>1361</v>
      </c>
      <c r="C145" t="s">
        <v>718</v>
      </c>
      <c r="D145" t="s">
        <v>70</v>
      </c>
      <c r="E145" s="1">
        <f t="shared" si="4"/>
        <v>46112</v>
      </c>
      <c r="F145" t="s">
        <v>165</v>
      </c>
      <c r="G145">
        <v>140000</v>
      </c>
      <c r="H145">
        <v>0</v>
      </c>
      <c r="I145">
        <v>100000</v>
      </c>
      <c r="J145">
        <f t="shared" ca="1" si="5"/>
        <v>100000</v>
      </c>
    </row>
    <row r="146" spans="1:10">
      <c r="A146">
        <v>2026</v>
      </c>
      <c r="B146" t="s">
        <v>1362</v>
      </c>
      <c r="C146" t="s">
        <v>719</v>
      </c>
      <c r="D146" t="s">
        <v>70</v>
      </c>
      <c r="E146" s="1">
        <f t="shared" si="4"/>
        <v>46142</v>
      </c>
      <c r="F146" t="s">
        <v>165</v>
      </c>
      <c r="G146">
        <v>140000</v>
      </c>
      <c r="H146">
        <v>0</v>
      </c>
      <c r="I146">
        <v>100000</v>
      </c>
      <c r="J146">
        <f t="shared" ca="1" si="5"/>
        <v>100000</v>
      </c>
    </row>
    <row r="147" spans="1:10">
      <c r="A147">
        <v>2026</v>
      </c>
      <c r="B147" t="s">
        <v>1362</v>
      </c>
      <c r="C147" t="s">
        <v>720</v>
      </c>
      <c r="D147" t="s">
        <v>70</v>
      </c>
      <c r="E147" s="1">
        <f t="shared" si="4"/>
        <v>46173</v>
      </c>
      <c r="F147" t="s">
        <v>165</v>
      </c>
      <c r="G147">
        <v>140000</v>
      </c>
      <c r="H147">
        <v>0</v>
      </c>
      <c r="I147">
        <v>100000</v>
      </c>
      <c r="J147">
        <f t="shared" ca="1" si="5"/>
        <v>100000</v>
      </c>
    </row>
    <row r="148" spans="1:10">
      <c r="A148">
        <v>2026</v>
      </c>
      <c r="B148" t="s">
        <v>1362</v>
      </c>
      <c r="C148" t="s">
        <v>721</v>
      </c>
      <c r="D148" t="s">
        <v>70</v>
      </c>
      <c r="E148" s="1">
        <f t="shared" si="4"/>
        <v>46203</v>
      </c>
      <c r="F148" t="s">
        <v>165</v>
      </c>
      <c r="G148">
        <v>140000</v>
      </c>
      <c r="H148">
        <v>0</v>
      </c>
      <c r="I148">
        <v>100000</v>
      </c>
      <c r="J148">
        <f t="shared" ca="1" si="5"/>
        <v>100000</v>
      </c>
    </row>
    <row r="149" spans="1:10">
      <c r="A149">
        <v>2026</v>
      </c>
      <c r="B149" t="s">
        <v>1360</v>
      </c>
      <c r="C149" t="s">
        <v>710</v>
      </c>
      <c r="D149" t="s">
        <v>70</v>
      </c>
      <c r="E149" s="1">
        <f t="shared" si="4"/>
        <v>46234</v>
      </c>
      <c r="F149" t="s">
        <v>165</v>
      </c>
      <c r="G149">
        <v>140000</v>
      </c>
      <c r="H149">
        <v>0</v>
      </c>
      <c r="I149">
        <v>100000</v>
      </c>
      <c r="J149">
        <f t="shared" ca="1" si="5"/>
        <v>100000</v>
      </c>
    </row>
    <row r="150" spans="1:10">
      <c r="A150">
        <v>2026</v>
      </c>
      <c r="B150" t="s">
        <v>1360</v>
      </c>
      <c r="C150" t="s">
        <v>711</v>
      </c>
      <c r="D150" t="s">
        <v>70</v>
      </c>
      <c r="E150" s="1">
        <f t="shared" si="4"/>
        <v>46265</v>
      </c>
      <c r="F150" t="s">
        <v>165</v>
      </c>
      <c r="G150">
        <v>140000</v>
      </c>
      <c r="H150">
        <v>0</v>
      </c>
      <c r="I150">
        <v>100000</v>
      </c>
      <c r="J150">
        <f t="shared" ca="1" si="5"/>
        <v>100000</v>
      </c>
    </row>
    <row r="151" spans="1:10">
      <c r="A151">
        <v>2026</v>
      </c>
      <c r="B151" t="s">
        <v>1360</v>
      </c>
      <c r="C151" t="s">
        <v>712</v>
      </c>
      <c r="D151" t="s">
        <v>70</v>
      </c>
      <c r="E151" s="1">
        <f t="shared" si="4"/>
        <v>46295</v>
      </c>
      <c r="F151" t="s">
        <v>165</v>
      </c>
      <c r="G151">
        <v>140000</v>
      </c>
      <c r="H151">
        <v>0</v>
      </c>
      <c r="I151">
        <v>100000</v>
      </c>
      <c r="J151">
        <f t="shared" ca="1" si="5"/>
        <v>100000</v>
      </c>
    </row>
    <row r="152" spans="1:10">
      <c r="A152">
        <v>2026</v>
      </c>
      <c r="B152" t="s">
        <v>803</v>
      </c>
      <c r="C152" t="s">
        <v>713</v>
      </c>
      <c r="D152" t="s">
        <v>70</v>
      </c>
      <c r="E152" s="1">
        <f t="shared" si="4"/>
        <v>46326</v>
      </c>
      <c r="F152" t="s">
        <v>165</v>
      </c>
      <c r="G152">
        <v>140000</v>
      </c>
      <c r="H152">
        <v>0</v>
      </c>
      <c r="I152">
        <v>100000</v>
      </c>
      <c r="J152">
        <f t="shared" ca="1" si="5"/>
        <v>100000</v>
      </c>
    </row>
    <row r="153" spans="1:10">
      <c r="A153">
        <v>2026</v>
      </c>
      <c r="B153" t="s">
        <v>803</v>
      </c>
      <c r="C153" t="s">
        <v>714</v>
      </c>
      <c r="D153" t="s">
        <v>70</v>
      </c>
      <c r="E153" s="1">
        <f t="shared" si="4"/>
        <v>46356</v>
      </c>
      <c r="F153" t="s">
        <v>165</v>
      </c>
      <c r="G153">
        <v>140000</v>
      </c>
      <c r="I153">
        <v>100000</v>
      </c>
      <c r="J153">
        <f t="shared" ca="1" si="5"/>
        <v>100000</v>
      </c>
    </row>
    <row r="154" spans="1:10">
      <c r="A154">
        <v>2026</v>
      </c>
      <c r="B154" t="s">
        <v>803</v>
      </c>
      <c r="C154" t="s">
        <v>715</v>
      </c>
      <c r="D154" t="s">
        <v>70</v>
      </c>
      <c r="E154" s="1">
        <f t="shared" si="4"/>
        <v>46387</v>
      </c>
      <c r="F154" t="s">
        <v>165</v>
      </c>
      <c r="G154">
        <v>140000</v>
      </c>
      <c r="H154">
        <v>0</v>
      </c>
      <c r="I154">
        <v>100000</v>
      </c>
      <c r="J154">
        <f t="shared" ca="1" si="5"/>
        <v>100000</v>
      </c>
    </row>
    <row r="155" spans="1:10">
      <c r="A155">
        <v>2025</v>
      </c>
      <c r="B155" t="s">
        <v>1360</v>
      </c>
      <c r="C155" t="s">
        <v>711</v>
      </c>
      <c r="D155" t="s">
        <v>57</v>
      </c>
      <c r="E155" s="1">
        <f t="shared" si="4"/>
        <v>45900</v>
      </c>
      <c r="F155" t="s">
        <v>134</v>
      </c>
      <c r="G155">
        <v>15000</v>
      </c>
      <c r="H155">
        <v>0</v>
      </c>
      <c r="I155">
        <v>0</v>
      </c>
      <c r="J155">
        <f t="shared" ca="1" si="5"/>
        <v>0</v>
      </c>
    </row>
    <row r="156" spans="1:10">
      <c r="A156">
        <v>2025</v>
      </c>
      <c r="B156" t="s">
        <v>1360</v>
      </c>
      <c r="C156" t="s">
        <v>712</v>
      </c>
      <c r="D156" t="s">
        <v>57</v>
      </c>
      <c r="E156" s="1">
        <f t="shared" si="4"/>
        <v>45930</v>
      </c>
      <c r="F156" t="s">
        <v>134</v>
      </c>
      <c r="G156">
        <v>20000</v>
      </c>
      <c r="H156">
        <v>10000</v>
      </c>
      <c r="I156">
        <v>0</v>
      </c>
      <c r="J156">
        <f t="shared" ca="1" si="5"/>
        <v>0</v>
      </c>
    </row>
    <row r="157" spans="1:10">
      <c r="A157">
        <v>2025</v>
      </c>
      <c r="B157" t="s">
        <v>803</v>
      </c>
      <c r="C157" t="s">
        <v>713</v>
      </c>
      <c r="D157" t="s">
        <v>57</v>
      </c>
      <c r="E157" s="1">
        <f t="shared" si="4"/>
        <v>45961</v>
      </c>
      <c r="F157" t="s">
        <v>134</v>
      </c>
      <c r="G157">
        <v>25000</v>
      </c>
      <c r="H157">
        <v>15000</v>
      </c>
      <c r="I157">
        <v>0</v>
      </c>
      <c r="J157">
        <f t="shared" ca="1" si="5"/>
        <v>0</v>
      </c>
    </row>
    <row r="158" spans="1:10">
      <c r="A158">
        <v>2025</v>
      </c>
      <c r="B158" t="s">
        <v>803</v>
      </c>
      <c r="C158" t="s">
        <v>714</v>
      </c>
      <c r="D158" t="s">
        <v>57</v>
      </c>
      <c r="E158" s="1">
        <f t="shared" si="4"/>
        <v>45991</v>
      </c>
      <c r="F158" t="s">
        <v>134</v>
      </c>
      <c r="G158">
        <v>30000</v>
      </c>
      <c r="H158">
        <v>10000</v>
      </c>
      <c r="I158">
        <v>10000</v>
      </c>
      <c r="J158">
        <f t="shared" ca="1" si="5"/>
        <v>0</v>
      </c>
    </row>
    <row r="159" spans="1:10">
      <c r="A159">
        <v>2025</v>
      </c>
      <c r="B159" t="s">
        <v>803</v>
      </c>
      <c r="C159" t="s">
        <v>715</v>
      </c>
      <c r="D159" t="s">
        <v>57</v>
      </c>
      <c r="E159" s="1">
        <f t="shared" si="4"/>
        <v>46022</v>
      </c>
      <c r="F159" t="s">
        <v>134</v>
      </c>
      <c r="G159">
        <v>35000</v>
      </c>
      <c r="H159">
        <v>0</v>
      </c>
      <c r="I159">
        <v>10000</v>
      </c>
      <c r="J159">
        <f t="shared" ca="1" si="5"/>
        <v>0</v>
      </c>
    </row>
    <row r="160" spans="1:10">
      <c r="A160">
        <v>2026</v>
      </c>
      <c r="B160" t="s">
        <v>1361</v>
      </c>
      <c r="C160" t="s">
        <v>716</v>
      </c>
      <c r="D160" t="s">
        <v>57</v>
      </c>
      <c r="E160" s="1">
        <f t="shared" si="4"/>
        <v>46053</v>
      </c>
      <c r="F160" t="s">
        <v>134</v>
      </c>
      <c r="G160">
        <v>35000</v>
      </c>
      <c r="H160">
        <v>50000</v>
      </c>
      <c r="I160">
        <v>10000</v>
      </c>
      <c r="J160">
        <f t="shared" ca="1" si="5"/>
        <v>0</v>
      </c>
    </row>
    <row r="161" spans="1:10">
      <c r="A161">
        <v>2026</v>
      </c>
      <c r="B161" t="s">
        <v>1361</v>
      </c>
      <c r="C161" t="s">
        <v>717</v>
      </c>
      <c r="D161" t="s">
        <v>57</v>
      </c>
      <c r="E161" s="1">
        <f t="shared" si="4"/>
        <v>46081</v>
      </c>
      <c r="F161" t="s">
        <v>134</v>
      </c>
      <c r="G161">
        <v>35000</v>
      </c>
      <c r="H161">
        <v>0</v>
      </c>
      <c r="I161">
        <v>15000</v>
      </c>
      <c r="J161">
        <f t="shared" ca="1" si="5"/>
        <v>0</v>
      </c>
    </row>
    <row r="162" spans="1:10">
      <c r="A162">
        <v>2026</v>
      </c>
      <c r="B162" t="s">
        <v>1361</v>
      </c>
      <c r="C162" t="s">
        <v>718</v>
      </c>
      <c r="D162" t="s">
        <v>57</v>
      </c>
      <c r="E162" s="1">
        <f t="shared" si="4"/>
        <v>46112</v>
      </c>
      <c r="F162" t="s">
        <v>134</v>
      </c>
      <c r="G162">
        <v>35000</v>
      </c>
      <c r="H162">
        <v>0</v>
      </c>
      <c r="I162">
        <v>15000</v>
      </c>
      <c r="J162">
        <f t="shared" ca="1" si="5"/>
        <v>15000</v>
      </c>
    </row>
    <row r="163" spans="1:10">
      <c r="A163">
        <v>2026</v>
      </c>
      <c r="B163" t="s">
        <v>1362</v>
      </c>
      <c r="C163" t="s">
        <v>719</v>
      </c>
      <c r="D163" t="s">
        <v>57</v>
      </c>
      <c r="E163" s="1">
        <f t="shared" si="4"/>
        <v>46142</v>
      </c>
      <c r="F163" t="s">
        <v>134</v>
      </c>
      <c r="G163">
        <v>35000</v>
      </c>
      <c r="H163">
        <v>0</v>
      </c>
      <c r="I163">
        <v>15000</v>
      </c>
      <c r="J163">
        <f t="shared" ca="1" si="5"/>
        <v>15000</v>
      </c>
    </row>
    <row r="164" spans="1:10">
      <c r="A164">
        <v>2026</v>
      </c>
      <c r="B164" t="s">
        <v>1362</v>
      </c>
      <c r="C164" t="s">
        <v>720</v>
      </c>
      <c r="D164" t="s">
        <v>57</v>
      </c>
      <c r="E164" s="1">
        <f t="shared" si="4"/>
        <v>46173</v>
      </c>
      <c r="F164" t="s">
        <v>134</v>
      </c>
      <c r="G164">
        <v>35000</v>
      </c>
      <c r="H164">
        <v>0</v>
      </c>
      <c r="I164">
        <v>15000</v>
      </c>
      <c r="J164">
        <f t="shared" ca="1" si="5"/>
        <v>15000</v>
      </c>
    </row>
    <row r="165" spans="1:10">
      <c r="A165">
        <v>2026</v>
      </c>
      <c r="B165" t="s">
        <v>1362</v>
      </c>
      <c r="C165" t="s">
        <v>721</v>
      </c>
      <c r="D165" t="s">
        <v>57</v>
      </c>
      <c r="E165" s="1">
        <f t="shared" si="4"/>
        <v>46203</v>
      </c>
      <c r="F165" t="s">
        <v>134</v>
      </c>
      <c r="G165">
        <v>35000</v>
      </c>
      <c r="H165">
        <v>0</v>
      </c>
      <c r="I165">
        <v>15000</v>
      </c>
      <c r="J165">
        <f t="shared" ca="1" si="5"/>
        <v>15000</v>
      </c>
    </row>
    <row r="166" spans="1:10">
      <c r="A166">
        <v>2026</v>
      </c>
      <c r="B166" t="s">
        <v>1360</v>
      </c>
      <c r="C166" t="s">
        <v>710</v>
      </c>
      <c r="D166" t="s">
        <v>57</v>
      </c>
      <c r="E166" s="1">
        <f t="shared" si="4"/>
        <v>46234</v>
      </c>
      <c r="F166" t="s">
        <v>134</v>
      </c>
      <c r="G166">
        <v>35000</v>
      </c>
      <c r="H166">
        <v>0</v>
      </c>
      <c r="I166">
        <v>15000</v>
      </c>
      <c r="J166">
        <f t="shared" ca="1" si="5"/>
        <v>15000</v>
      </c>
    </row>
    <row r="167" spans="1:10">
      <c r="A167">
        <v>2026</v>
      </c>
      <c r="B167" t="s">
        <v>1360</v>
      </c>
      <c r="C167" t="s">
        <v>711</v>
      </c>
      <c r="D167" t="s">
        <v>57</v>
      </c>
      <c r="E167" s="1">
        <f t="shared" si="4"/>
        <v>46265</v>
      </c>
      <c r="F167" t="s">
        <v>134</v>
      </c>
      <c r="G167">
        <v>35000</v>
      </c>
      <c r="H167">
        <v>0</v>
      </c>
      <c r="I167">
        <v>15000</v>
      </c>
      <c r="J167">
        <f t="shared" ca="1" si="5"/>
        <v>15000</v>
      </c>
    </row>
    <row r="168" spans="1:10">
      <c r="A168">
        <v>2026</v>
      </c>
      <c r="B168" t="s">
        <v>1360</v>
      </c>
      <c r="C168" t="s">
        <v>712</v>
      </c>
      <c r="D168" t="s">
        <v>57</v>
      </c>
      <c r="E168" s="1">
        <f t="shared" si="4"/>
        <v>46295</v>
      </c>
      <c r="F168" t="s">
        <v>134</v>
      </c>
      <c r="G168">
        <v>35000</v>
      </c>
      <c r="H168">
        <v>0</v>
      </c>
      <c r="I168">
        <v>15000</v>
      </c>
      <c r="J168">
        <f t="shared" ca="1" si="5"/>
        <v>15000</v>
      </c>
    </row>
    <row r="169" spans="1:10">
      <c r="A169">
        <v>2026</v>
      </c>
      <c r="B169" t="s">
        <v>803</v>
      </c>
      <c r="C169" t="s">
        <v>713</v>
      </c>
      <c r="D169" t="s">
        <v>57</v>
      </c>
      <c r="E169" s="1">
        <f t="shared" si="4"/>
        <v>46326</v>
      </c>
      <c r="F169" t="s">
        <v>134</v>
      </c>
      <c r="G169">
        <v>35000</v>
      </c>
      <c r="H169">
        <v>0</v>
      </c>
      <c r="I169">
        <v>150000</v>
      </c>
      <c r="J169">
        <f t="shared" ca="1" si="5"/>
        <v>150000</v>
      </c>
    </row>
    <row r="170" spans="1:10">
      <c r="A170">
        <v>2026</v>
      </c>
      <c r="B170" t="s">
        <v>803</v>
      </c>
      <c r="C170" t="s">
        <v>714</v>
      </c>
      <c r="D170" t="s">
        <v>57</v>
      </c>
      <c r="E170" s="1">
        <f t="shared" si="4"/>
        <v>46356</v>
      </c>
      <c r="F170" t="s">
        <v>134</v>
      </c>
      <c r="G170">
        <v>35000</v>
      </c>
      <c r="I170">
        <v>150000</v>
      </c>
      <c r="J170">
        <f t="shared" ca="1" si="5"/>
        <v>150000</v>
      </c>
    </row>
    <row r="171" spans="1:10">
      <c r="A171">
        <v>2026</v>
      </c>
      <c r="B171" t="s">
        <v>803</v>
      </c>
      <c r="C171" t="s">
        <v>715</v>
      </c>
      <c r="D171" t="s">
        <v>57</v>
      </c>
      <c r="E171" s="1">
        <f t="shared" si="4"/>
        <v>46387</v>
      </c>
      <c r="F171" t="s">
        <v>134</v>
      </c>
      <c r="G171">
        <v>35000</v>
      </c>
      <c r="H171">
        <v>0</v>
      </c>
      <c r="I171">
        <v>150000</v>
      </c>
      <c r="J171">
        <f t="shared" ca="1" si="5"/>
        <v>150000</v>
      </c>
    </row>
    <row r="172" spans="1:10">
      <c r="A172">
        <v>2025</v>
      </c>
      <c r="B172" t="s">
        <v>1360</v>
      </c>
      <c r="C172" t="s">
        <v>711</v>
      </c>
      <c r="D172" t="s">
        <v>57</v>
      </c>
      <c r="E172" s="1">
        <f t="shared" si="4"/>
        <v>45900</v>
      </c>
      <c r="F172" t="s">
        <v>161</v>
      </c>
      <c r="G172">
        <v>8000</v>
      </c>
      <c r="H172">
        <v>0</v>
      </c>
      <c r="I172">
        <v>0</v>
      </c>
      <c r="J172">
        <f t="shared" ca="1" si="5"/>
        <v>0</v>
      </c>
    </row>
    <row r="173" spans="1:10">
      <c r="A173">
        <v>2025</v>
      </c>
      <c r="B173" t="s">
        <v>1360</v>
      </c>
      <c r="C173" t="s">
        <v>712</v>
      </c>
      <c r="D173" t="s">
        <v>57</v>
      </c>
      <c r="E173" s="1">
        <f t="shared" si="4"/>
        <v>45930</v>
      </c>
      <c r="F173" t="s">
        <v>161</v>
      </c>
      <c r="G173">
        <v>12000</v>
      </c>
      <c r="H173">
        <v>4000</v>
      </c>
      <c r="I173">
        <v>0</v>
      </c>
      <c r="J173">
        <f t="shared" ca="1" si="5"/>
        <v>0</v>
      </c>
    </row>
    <row r="174" spans="1:10">
      <c r="A174">
        <v>2025</v>
      </c>
      <c r="B174" t="s">
        <v>803</v>
      </c>
      <c r="C174" t="s">
        <v>713</v>
      </c>
      <c r="D174" t="s">
        <v>57</v>
      </c>
      <c r="E174" s="1">
        <f t="shared" si="4"/>
        <v>45961</v>
      </c>
      <c r="F174" t="s">
        <v>161</v>
      </c>
      <c r="G174">
        <v>16000</v>
      </c>
      <c r="H174">
        <v>4000</v>
      </c>
      <c r="I174">
        <v>0</v>
      </c>
      <c r="J174">
        <f t="shared" ca="1" si="5"/>
        <v>0</v>
      </c>
    </row>
    <row r="175" spans="1:10">
      <c r="A175">
        <v>2025</v>
      </c>
      <c r="B175" t="s">
        <v>803</v>
      </c>
      <c r="C175" t="s">
        <v>714</v>
      </c>
      <c r="D175" t="s">
        <v>57</v>
      </c>
      <c r="E175" s="1">
        <f t="shared" si="4"/>
        <v>45991</v>
      </c>
      <c r="F175" t="s">
        <v>161</v>
      </c>
      <c r="G175">
        <v>20000</v>
      </c>
      <c r="H175">
        <v>5000</v>
      </c>
      <c r="I175">
        <v>100000</v>
      </c>
      <c r="J175">
        <f t="shared" ca="1" si="5"/>
        <v>0</v>
      </c>
    </row>
    <row r="176" spans="1:10">
      <c r="A176">
        <v>2025</v>
      </c>
      <c r="B176" t="s">
        <v>803</v>
      </c>
      <c r="C176" t="s">
        <v>715</v>
      </c>
      <c r="D176" t="s">
        <v>57</v>
      </c>
      <c r="E176" s="1">
        <f t="shared" si="4"/>
        <v>46022</v>
      </c>
      <c r="F176" t="s">
        <v>161</v>
      </c>
      <c r="G176">
        <v>24000</v>
      </c>
      <c r="H176">
        <v>30000</v>
      </c>
      <c r="I176">
        <v>100000</v>
      </c>
      <c r="J176">
        <f t="shared" ca="1" si="5"/>
        <v>0</v>
      </c>
    </row>
    <row r="177" spans="1:10">
      <c r="A177">
        <v>2026</v>
      </c>
      <c r="B177" t="s">
        <v>1361</v>
      </c>
      <c r="C177" t="s">
        <v>716</v>
      </c>
      <c r="D177" t="s">
        <v>57</v>
      </c>
      <c r="E177" s="1">
        <f t="shared" si="4"/>
        <v>46053</v>
      </c>
      <c r="F177" t="s">
        <v>161</v>
      </c>
      <c r="G177">
        <v>24000</v>
      </c>
      <c r="H177">
        <v>0</v>
      </c>
      <c r="I177">
        <v>4000</v>
      </c>
      <c r="J177">
        <f t="shared" ca="1" si="5"/>
        <v>0</v>
      </c>
    </row>
    <row r="178" spans="1:10">
      <c r="A178">
        <v>2026</v>
      </c>
      <c r="B178" t="s">
        <v>1361</v>
      </c>
      <c r="C178" t="s">
        <v>717</v>
      </c>
      <c r="D178" t="s">
        <v>57</v>
      </c>
      <c r="E178" s="1">
        <f t="shared" si="4"/>
        <v>46081</v>
      </c>
      <c r="F178" t="s">
        <v>161</v>
      </c>
      <c r="G178">
        <v>24000</v>
      </c>
      <c r="H178">
        <v>0</v>
      </c>
      <c r="I178">
        <v>100000</v>
      </c>
      <c r="J178">
        <f t="shared" ca="1" si="5"/>
        <v>0</v>
      </c>
    </row>
    <row r="179" spans="1:10">
      <c r="A179">
        <v>2026</v>
      </c>
      <c r="B179" t="s">
        <v>1361</v>
      </c>
      <c r="C179" t="s">
        <v>718</v>
      </c>
      <c r="D179" t="s">
        <v>57</v>
      </c>
      <c r="E179" s="1">
        <f t="shared" si="4"/>
        <v>46112</v>
      </c>
      <c r="F179" t="s">
        <v>161</v>
      </c>
      <c r="G179">
        <v>24000</v>
      </c>
      <c r="H179">
        <v>0</v>
      </c>
      <c r="I179">
        <v>100000</v>
      </c>
      <c r="J179">
        <f t="shared" ca="1" si="5"/>
        <v>100000</v>
      </c>
    </row>
    <row r="180" spans="1:10">
      <c r="A180">
        <v>2026</v>
      </c>
      <c r="B180" t="s">
        <v>1362</v>
      </c>
      <c r="C180" t="s">
        <v>719</v>
      </c>
      <c r="D180" t="s">
        <v>57</v>
      </c>
      <c r="E180" s="1">
        <f t="shared" si="4"/>
        <v>46142</v>
      </c>
      <c r="F180" t="s">
        <v>161</v>
      </c>
      <c r="G180">
        <v>24000</v>
      </c>
      <c r="H180">
        <v>0</v>
      </c>
      <c r="I180">
        <v>100000</v>
      </c>
      <c r="J180">
        <f t="shared" ca="1" si="5"/>
        <v>100000</v>
      </c>
    </row>
    <row r="181" spans="1:10">
      <c r="A181">
        <v>2026</v>
      </c>
      <c r="B181" t="s">
        <v>1362</v>
      </c>
      <c r="C181" t="s">
        <v>720</v>
      </c>
      <c r="D181" t="s">
        <v>57</v>
      </c>
      <c r="E181" s="1">
        <f t="shared" si="4"/>
        <v>46173</v>
      </c>
      <c r="F181" t="s">
        <v>161</v>
      </c>
      <c r="G181">
        <v>24000</v>
      </c>
      <c r="H181">
        <v>0</v>
      </c>
      <c r="I181">
        <v>8000</v>
      </c>
      <c r="J181">
        <f t="shared" ca="1" si="5"/>
        <v>8000</v>
      </c>
    </row>
    <row r="182" spans="1:10">
      <c r="A182">
        <v>2026</v>
      </c>
      <c r="B182" t="s">
        <v>1362</v>
      </c>
      <c r="C182" t="s">
        <v>721</v>
      </c>
      <c r="D182" t="s">
        <v>57</v>
      </c>
      <c r="E182" s="1">
        <f t="shared" si="4"/>
        <v>46203</v>
      </c>
      <c r="F182" t="s">
        <v>161</v>
      </c>
      <c r="G182">
        <v>24000</v>
      </c>
      <c r="H182">
        <v>0</v>
      </c>
      <c r="I182">
        <v>8000</v>
      </c>
      <c r="J182">
        <f t="shared" ca="1" si="5"/>
        <v>8000</v>
      </c>
    </row>
    <row r="183" spans="1:10">
      <c r="A183">
        <v>2026</v>
      </c>
      <c r="B183" t="s">
        <v>1360</v>
      </c>
      <c r="C183" t="s">
        <v>710</v>
      </c>
      <c r="D183" t="s">
        <v>57</v>
      </c>
      <c r="E183" s="1">
        <f t="shared" si="4"/>
        <v>46234</v>
      </c>
      <c r="F183" t="s">
        <v>161</v>
      </c>
      <c r="G183">
        <v>24000</v>
      </c>
      <c r="H183">
        <v>0</v>
      </c>
      <c r="I183">
        <v>8000</v>
      </c>
      <c r="J183">
        <f t="shared" ca="1" si="5"/>
        <v>8000</v>
      </c>
    </row>
    <row r="184" spans="1:10">
      <c r="A184">
        <v>2026</v>
      </c>
      <c r="B184" t="s">
        <v>1360</v>
      </c>
      <c r="C184" t="s">
        <v>711</v>
      </c>
      <c r="D184" t="s">
        <v>57</v>
      </c>
      <c r="E184" s="1">
        <f t="shared" si="4"/>
        <v>46265</v>
      </c>
      <c r="F184" t="s">
        <v>161</v>
      </c>
      <c r="G184">
        <v>24000</v>
      </c>
      <c r="H184">
        <v>0</v>
      </c>
      <c r="I184">
        <v>8000</v>
      </c>
      <c r="J184">
        <f t="shared" ca="1" si="5"/>
        <v>8000</v>
      </c>
    </row>
    <row r="185" spans="1:10">
      <c r="A185">
        <v>2026</v>
      </c>
      <c r="B185" t="s">
        <v>1360</v>
      </c>
      <c r="C185" t="s">
        <v>712</v>
      </c>
      <c r="D185" t="s">
        <v>57</v>
      </c>
      <c r="E185" s="1">
        <f t="shared" si="4"/>
        <v>46295</v>
      </c>
      <c r="F185" t="s">
        <v>161</v>
      </c>
      <c r="G185">
        <v>24000</v>
      </c>
      <c r="H185">
        <v>0</v>
      </c>
      <c r="I185">
        <v>8000</v>
      </c>
      <c r="J185">
        <f t="shared" ca="1" si="5"/>
        <v>8000</v>
      </c>
    </row>
    <row r="186" spans="1:10">
      <c r="A186">
        <v>2026</v>
      </c>
      <c r="B186" t="s">
        <v>803</v>
      </c>
      <c r="C186" t="s">
        <v>713</v>
      </c>
      <c r="D186" t="s">
        <v>57</v>
      </c>
      <c r="E186" s="1">
        <f t="shared" si="4"/>
        <v>46326</v>
      </c>
      <c r="F186" t="s">
        <v>161</v>
      </c>
      <c r="G186">
        <v>24000</v>
      </c>
      <c r="H186">
        <v>0</v>
      </c>
      <c r="I186">
        <v>8000</v>
      </c>
      <c r="J186">
        <f t="shared" ca="1" si="5"/>
        <v>8000</v>
      </c>
    </row>
    <row r="187" spans="1:10">
      <c r="A187">
        <v>2026</v>
      </c>
      <c r="B187" t="s">
        <v>803</v>
      </c>
      <c r="C187" t="s">
        <v>714</v>
      </c>
      <c r="D187" t="s">
        <v>57</v>
      </c>
      <c r="E187" s="1">
        <f t="shared" si="4"/>
        <v>46356</v>
      </c>
      <c r="F187" t="s">
        <v>161</v>
      </c>
      <c r="G187">
        <v>24000</v>
      </c>
      <c r="H187">
        <v>0</v>
      </c>
      <c r="I187">
        <v>8000</v>
      </c>
      <c r="J187">
        <f t="shared" ca="1" si="5"/>
        <v>8000</v>
      </c>
    </row>
    <row r="188" spans="1:10">
      <c r="A188">
        <v>2026</v>
      </c>
      <c r="B188" t="s">
        <v>803</v>
      </c>
      <c r="C188" t="s">
        <v>715</v>
      </c>
      <c r="D188" t="s">
        <v>57</v>
      </c>
      <c r="E188" s="1">
        <f t="shared" si="4"/>
        <v>46387</v>
      </c>
      <c r="F188" t="s">
        <v>161</v>
      </c>
      <c r="G188">
        <v>24000</v>
      </c>
      <c r="H188">
        <v>0</v>
      </c>
      <c r="I188">
        <v>8000</v>
      </c>
      <c r="J188">
        <f t="shared" ca="1" si="5"/>
        <v>8000</v>
      </c>
    </row>
    <row r="189" spans="1:10">
      <c r="A189">
        <v>2025</v>
      </c>
      <c r="B189" t="s">
        <v>1360</v>
      </c>
      <c r="C189" t="s">
        <v>711</v>
      </c>
      <c r="D189" t="s">
        <v>57</v>
      </c>
      <c r="E189" s="1">
        <f t="shared" si="4"/>
        <v>45900</v>
      </c>
      <c r="F189" t="s">
        <v>340</v>
      </c>
      <c r="G189">
        <v>4500</v>
      </c>
      <c r="H189">
        <v>0</v>
      </c>
      <c r="I189">
        <v>0</v>
      </c>
      <c r="J189">
        <f t="shared" ca="1" si="5"/>
        <v>0</v>
      </c>
    </row>
    <row r="190" spans="1:10">
      <c r="A190">
        <v>2025</v>
      </c>
      <c r="B190" t="s">
        <v>1360</v>
      </c>
      <c r="C190" t="s">
        <v>712</v>
      </c>
      <c r="D190" t="s">
        <v>57</v>
      </c>
      <c r="E190" s="1">
        <f t="shared" si="4"/>
        <v>45930</v>
      </c>
      <c r="F190" t="s">
        <v>340</v>
      </c>
      <c r="G190">
        <v>4500</v>
      </c>
      <c r="H190">
        <v>0</v>
      </c>
      <c r="I190">
        <v>0</v>
      </c>
      <c r="J190">
        <f t="shared" ca="1" si="5"/>
        <v>0</v>
      </c>
    </row>
    <row r="191" spans="1:10">
      <c r="A191">
        <v>2025</v>
      </c>
      <c r="B191" t="s">
        <v>803</v>
      </c>
      <c r="C191" t="s">
        <v>713</v>
      </c>
      <c r="D191" t="s">
        <v>57</v>
      </c>
      <c r="E191" s="1">
        <f t="shared" si="4"/>
        <v>45961</v>
      </c>
      <c r="F191" t="s">
        <v>340</v>
      </c>
      <c r="G191">
        <v>4500</v>
      </c>
      <c r="H191">
        <v>20000</v>
      </c>
      <c r="I191">
        <v>0</v>
      </c>
      <c r="J191">
        <f t="shared" ca="1" si="5"/>
        <v>0</v>
      </c>
    </row>
    <row r="192" spans="1:10">
      <c r="A192">
        <v>2025</v>
      </c>
      <c r="B192" t="s">
        <v>803</v>
      </c>
      <c r="C192" t="s">
        <v>714</v>
      </c>
      <c r="D192" t="s">
        <v>57</v>
      </c>
      <c r="E192" s="1">
        <f t="shared" si="4"/>
        <v>45991</v>
      </c>
      <c r="F192" t="s">
        <v>340</v>
      </c>
      <c r="G192">
        <v>4500</v>
      </c>
      <c r="H192">
        <v>10000</v>
      </c>
      <c r="I192">
        <v>4500</v>
      </c>
      <c r="J192">
        <f t="shared" ca="1" si="5"/>
        <v>0</v>
      </c>
    </row>
    <row r="193" spans="1:10">
      <c r="A193">
        <v>2025</v>
      </c>
      <c r="B193" t="s">
        <v>803</v>
      </c>
      <c r="C193" t="s">
        <v>715</v>
      </c>
      <c r="D193" t="s">
        <v>57</v>
      </c>
      <c r="E193" s="1">
        <f t="shared" si="4"/>
        <v>46022</v>
      </c>
      <c r="F193" t="s">
        <v>340</v>
      </c>
      <c r="G193">
        <v>4500</v>
      </c>
      <c r="H193">
        <v>0</v>
      </c>
      <c r="I193">
        <v>4500</v>
      </c>
      <c r="J193">
        <f t="shared" ca="1" si="5"/>
        <v>0</v>
      </c>
    </row>
    <row r="194" spans="1:10">
      <c r="A194">
        <v>2026</v>
      </c>
      <c r="B194" t="s">
        <v>1361</v>
      </c>
      <c r="C194" t="s">
        <v>716</v>
      </c>
      <c r="D194" t="s">
        <v>57</v>
      </c>
      <c r="E194" s="1">
        <f t="shared" si="4"/>
        <v>46053</v>
      </c>
      <c r="F194" t="s">
        <v>340</v>
      </c>
      <c r="G194">
        <v>4500</v>
      </c>
      <c r="H194">
        <v>0</v>
      </c>
      <c r="I194">
        <v>13500</v>
      </c>
      <c r="J194">
        <f t="shared" ca="1" si="5"/>
        <v>0</v>
      </c>
    </row>
    <row r="195" spans="1:10">
      <c r="A195">
        <v>2026</v>
      </c>
      <c r="B195" t="s">
        <v>1361</v>
      </c>
      <c r="C195" t="s">
        <v>717</v>
      </c>
      <c r="D195" t="s">
        <v>57</v>
      </c>
      <c r="E195" s="1">
        <f t="shared" ref="E195:E258" si="6">EOMONTH(DATE(A195, MONTH(1 &amp; C195), 1), 0)</f>
        <v>46081</v>
      </c>
      <c r="F195" t="s">
        <v>340</v>
      </c>
      <c r="G195">
        <v>4500</v>
      </c>
      <c r="H195">
        <v>0</v>
      </c>
      <c r="I195">
        <v>13500</v>
      </c>
      <c r="J195">
        <f t="shared" ref="J195:J258" ca="1" si="7">IF(E195&lt;TODAY(),0,I195)</f>
        <v>0</v>
      </c>
    </row>
    <row r="196" spans="1:10">
      <c r="A196">
        <v>2026</v>
      </c>
      <c r="B196" t="s">
        <v>1361</v>
      </c>
      <c r="C196" t="s">
        <v>718</v>
      </c>
      <c r="D196" t="s">
        <v>57</v>
      </c>
      <c r="E196" s="1">
        <f t="shared" si="6"/>
        <v>46112</v>
      </c>
      <c r="F196" t="s">
        <v>340</v>
      </c>
      <c r="G196">
        <v>4500</v>
      </c>
      <c r="H196">
        <v>0</v>
      </c>
      <c r="I196">
        <v>13500</v>
      </c>
      <c r="J196">
        <f t="shared" ca="1" si="7"/>
        <v>13500</v>
      </c>
    </row>
    <row r="197" spans="1:10">
      <c r="A197">
        <v>2026</v>
      </c>
      <c r="B197" t="s">
        <v>1362</v>
      </c>
      <c r="C197" t="s">
        <v>719</v>
      </c>
      <c r="D197" t="s">
        <v>57</v>
      </c>
      <c r="E197" s="1">
        <f t="shared" si="6"/>
        <v>46142</v>
      </c>
      <c r="F197" t="s">
        <v>340</v>
      </c>
      <c r="G197">
        <v>4500</v>
      </c>
      <c r="H197">
        <v>0</v>
      </c>
      <c r="I197">
        <v>13500</v>
      </c>
      <c r="J197">
        <f t="shared" ca="1" si="7"/>
        <v>13500</v>
      </c>
    </row>
    <row r="198" spans="1:10">
      <c r="A198">
        <v>2026</v>
      </c>
      <c r="B198" t="s">
        <v>1362</v>
      </c>
      <c r="C198" t="s">
        <v>720</v>
      </c>
      <c r="D198" t="s">
        <v>57</v>
      </c>
      <c r="E198" s="1">
        <f t="shared" si="6"/>
        <v>46173</v>
      </c>
      <c r="F198" t="s">
        <v>340</v>
      </c>
      <c r="G198">
        <v>4500</v>
      </c>
      <c r="H198">
        <v>0</v>
      </c>
      <c r="I198">
        <v>13500</v>
      </c>
      <c r="J198">
        <f t="shared" ca="1" si="7"/>
        <v>13500</v>
      </c>
    </row>
    <row r="199" spans="1:10">
      <c r="A199">
        <v>2026</v>
      </c>
      <c r="B199" t="s">
        <v>1362</v>
      </c>
      <c r="C199" t="s">
        <v>721</v>
      </c>
      <c r="D199" t="s">
        <v>57</v>
      </c>
      <c r="E199" s="1">
        <f t="shared" si="6"/>
        <v>46203</v>
      </c>
      <c r="F199" t="s">
        <v>340</v>
      </c>
      <c r="G199">
        <v>4500</v>
      </c>
      <c r="H199">
        <v>0</v>
      </c>
      <c r="I199">
        <v>13500</v>
      </c>
      <c r="J199">
        <f t="shared" ca="1" si="7"/>
        <v>13500</v>
      </c>
    </row>
    <row r="200" spans="1:10">
      <c r="A200">
        <v>2026</v>
      </c>
      <c r="B200" t="s">
        <v>1360</v>
      </c>
      <c r="C200" t="s">
        <v>710</v>
      </c>
      <c r="D200" t="s">
        <v>57</v>
      </c>
      <c r="E200" s="1">
        <f t="shared" si="6"/>
        <v>46234</v>
      </c>
      <c r="F200" t="s">
        <v>340</v>
      </c>
      <c r="G200">
        <v>4500</v>
      </c>
      <c r="H200">
        <v>0</v>
      </c>
      <c r="I200">
        <v>13500</v>
      </c>
      <c r="J200">
        <f t="shared" ca="1" si="7"/>
        <v>13500</v>
      </c>
    </row>
    <row r="201" spans="1:10">
      <c r="A201">
        <v>2026</v>
      </c>
      <c r="B201" t="s">
        <v>1360</v>
      </c>
      <c r="C201" t="s">
        <v>711</v>
      </c>
      <c r="D201" t="s">
        <v>57</v>
      </c>
      <c r="E201" s="1">
        <f t="shared" si="6"/>
        <v>46265</v>
      </c>
      <c r="F201" t="s">
        <v>340</v>
      </c>
      <c r="G201">
        <v>4500</v>
      </c>
      <c r="H201">
        <v>0</v>
      </c>
      <c r="I201">
        <v>13500</v>
      </c>
      <c r="J201">
        <f t="shared" ca="1" si="7"/>
        <v>13500</v>
      </c>
    </row>
    <row r="202" spans="1:10">
      <c r="A202">
        <v>2026</v>
      </c>
      <c r="B202" t="s">
        <v>1360</v>
      </c>
      <c r="C202" t="s">
        <v>712</v>
      </c>
      <c r="D202" t="s">
        <v>57</v>
      </c>
      <c r="E202" s="1">
        <f t="shared" si="6"/>
        <v>46295</v>
      </c>
      <c r="F202" t="s">
        <v>340</v>
      </c>
      <c r="G202">
        <v>4500</v>
      </c>
      <c r="H202">
        <v>0</v>
      </c>
      <c r="I202">
        <v>13500</v>
      </c>
      <c r="J202">
        <f t="shared" ca="1" si="7"/>
        <v>13500</v>
      </c>
    </row>
    <row r="203" spans="1:10">
      <c r="A203">
        <v>2026</v>
      </c>
      <c r="B203" t="s">
        <v>803</v>
      </c>
      <c r="C203" t="s">
        <v>713</v>
      </c>
      <c r="D203" t="s">
        <v>57</v>
      </c>
      <c r="E203" s="1">
        <f t="shared" si="6"/>
        <v>46326</v>
      </c>
      <c r="F203" t="s">
        <v>340</v>
      </c>
      <c r="G203">
        <v>4500</v>
      </c>
      <c r="H203">
        <v>0</v>
      </c>
      <c r="I203">
        <v>13500</v>
      </c>
      <c r="J203">
        <f t="shared" ca="1" si="7"/>
        <v>13500</v>
      </c>
    </row>
    <row r="204" spans="1:10">
      <c r="A204">
        <v>2026</v>
      </c>
      <c r="B204" t="s">
        <v>803</v>
      </c>
      <c r="C204" t="s">
        <v>714</v>
      </c>
      <c r="D204" t="s">
        <v>57</v>
      </c>
      <c r="E204" s="1">
        <f t="shared" si="6"/>
        <v>46356</v>
      </c>
      <c r="F204" t="s">
        <v>340</v>
      </c>
      <c r="G204">
        <v>4500</v>
      </c>
      <c r="H204">
        <v>0</v>
      </c>
      <c r="I204">
        <v>13500</v>
      </c>
      <c r="J204">
        <f t="shared" ca="1" si="7"/>
        <v>13500</v>
      </c>
    </row>
    <row r="205" spans="1:10">
      <c r="A205">
        <v>2026</v>
      </c>
      <c r="B205" t="s">
        <v>803</v>
      </c>
      <c r="C205" t="s">
        <v>715</v>
      </c>
      <c r="D205" t="s">
        <v>57</v>
      </c>
      <c r="E205" s="1">
        <f t="shared" si="6"/>
        <v>46387</v>
      </c>
      <c r="F205" t="s">
        <v>340</v>
      </c>
      <c r="G205">
        <v>4500</v>
      </c>
      <c r="H205">
        <v>0</v>
      </c>
      <c r="I205">
        <v>13500</v>
      </c>
      <c r="J205">
        <f t="shared" ca="1" si="7"/>
        <v>13500</v>
      </c>
    </row>
    <row r="206" spans="1:10">
      <c r="A206">
        <v>2025</v>
      </c>
      <c r="B206" t="s">
        <v>1360</v>
      </c>
      <c r="C206" t="s">
        <v>711</v>
      </c>
      <c r="D206" t="s">
        <v>57</v>
      </c>
      <c r="E206" s="1">
        <f t="shared" si="6"/>
        <v>45900</v>
      </c>
      <c r="F206" t="s">
        <v>200</v>
      </c>
      <c r="G206">
        <v>13500</v>
      </c>
      <c r="H206">
        <v>0</v>
      </c>
      <c r="I206">
        <v>0</v>
      </c>
      <c r="J206">
        <f t="shared" ca="1" si="7"/>
        <v>0</v>
      </c>
    </row>
    <row r="207" spans="1:10">
      <c r="A207">
        <v>2025</v>
      </c>
      <c r="B207" t="s">
        <v>1360</v>
      </c>
      <c r="C207" t="s">
        <v>712</v>
      </c>
      <c r="D207" t="s">
        <v>57</v>
      </c>
      <c r="E207" s="1">
        <f t="shared" si="6"/>
        <v>45930</v>
      </c>
      <c r="F207" t="s">
        <v>200</v>
      </c>
      <c r="G207">
        <v>18000</v>
      </c>
      <c r="H207">
        <v>30000</v>
      </c>
      <c r="I207">
        <v>0</v>
      </c>
      <c r="J207">
        <f t="shared" ca="1" si="7"/>
        <v>0</v>
      </c>
    </row>
    <row r="208" spans="1:10">
      <c r="A208">
        <v>2025</v>
      </c>
      <c r="B208" t="s">
        <v>803</v>
      </c>
      <c r="C208" t="s">
        <v>713</v>
      </c>
      <c r="D208" t="s">
        <v>57</v>
      </c>
      <c r="E208" s="1">
        <f t="shared" si="6"/>
        <v>45961</v>
      </c>
      <c r="F208" t="s">
        <v>200</v>
      </c>
      <c r="G208">
        <v>22500</v>
      </c>
      <c r="H208">
        <v>24000</v>
      </c>
      <c r="I208">
        <v>0</v>
      </c>
      <c r="J208">
        <f t="shared" ca="1" si="7"/>
        <v>0</v>
      </c>
    </row>
    <row r="209" spans="1:10">
      <c r="A209">
        <v>2025</v>
      </c>
      <c r="B209" t="s">
        <v>803</v>
      </c>
      <c r="C209" t="s">
        <v>714</v>
      </c>
      <c r="D209" t="s">
        <v>57</v>
      </c>
      <c r="E209" s="1">
        <f t="shared" si="6"/>
        <v>45991</v>
      </c>
      <c r="F209" t="s">
        <v>200</v>
      </c>
      <c r="G209">
        <v>27000</v>
      </c>
      <c r="H209">
        <v>50000</v>
      </c>
      <c r="I209">
        <v>0</v>
      </c>
      <c r="J209">
        <f t="shared" ca="1" si="7"/>
        <v>0</v>
      </c>
    </row>
    <row r="210" spans="1:10">
      <c r="A210">
        <v>2025</v>
      </c>
      <c r="B210" t="s">
        <v>803</v>
      </c>
      <c r="C210" t="s">
        <v>715</v>
      </c>
      <c r="D210" t="s">
        <v>57</v>
      </c>
      <c r="E210" s="1">
        <f t="shared" si="6"/>
        <v>46022</v>
      </c>
      <c r="F210" t="s">
        <v>200</v>
      </c>
      <c r="G210">
        <v>31500</v>
      </c>
      <c r="H210">
        <v>50000</v>
      </c>
      <c r="I210">
        <v>4500</v>
      </c>
      <c r="J210">
        <f t="shared" ca="1" si="7"/>
        <v>0</v>
      </c>
    </row>
    <row r="211" spans="1:10">
      <c r="A211">
        <v>2026</v>
      </c>
      <c r="B211" t="s">
        <v>1361</v>
      </c>
      <c r="C211" t="s">
        <v>716</v>
      </c>
      <c r="D211" t="s">
        <v>57</v>
      </c>
      <c r="E211" s="1">
        <f t="shared" si="6"/>
        <v>46053</v>
      </c>
      <c r="F211" t="s">
        <v>200</v>
      </c>
      <c r="G211">
        <v>31500</v>
      </c>
      <c r="H211">
        <v>40000</v>
      </c>
      <c r="I211">
        <v>9000</v>
      </c>
      <c r="J211">
        <f t="shared" ca="1" si="7"/>
        <v>0</v>
      </c>
    </row>
    <row r="212" spans="1:10">
      <c r="A212">
        <v>2026</v>
      </c>
      <c r="B212" t="s">
        <v>1361</v>
      </c>
      <c r="C212" t="s">
        <v>717</v>
      </c>
      <c r="D212" t="s">
        <v>57</v>
      </c>
      <c r="E212" s="1">
        <f t="shared" si="6"/>
        <v>46081</v>
      </c>
      <c r="F212" t="s">
        <v>200</v>
      </c>
      <c r="G212">
        <v>31500</v>
      </c>
      <c r="H212">
        <v>0</v>
      </c>
      <c r="I212">
        <v>150000</v>
      </c>
      <c r="J212">
        <f t="shared" ca="1" si="7"/>
        <v>0</v>
      </c>
    </row>
    <row r="213" spans="1:10">
      <c r="A213">
        <v>2026</v>
      </c>
      <c r="B213" t="s">
        <v>1361</v>
      </c>
      <c r="C213" t="s">
        <v>718</v>
      </c>
      <c r="D213" t="s">
        <v>57</v>
      </c>
      <c r="E213" s="1">
        <f t="shared" si="6"/>
        <v>46112</v>
      </c>
      <c r="F213" t="s">
        <v>200</v>
      </c>
      <c r="G213">
        <v>31500</v>
      </c>
      <c r="H213">
        <v>0</v>
      </c>
      <c r="I213">
        <v>150000</v>
      </c>
      <c r="J213">
        <f t="shared" ca="1" si="7"/>
        <v>150000</v>
      </c>
    </row>
    <row r="214" spans="1:10">
      <c r="A214">
        <v>2026</v>
      </c>
      <c r="B214" t="s">
        <v>1362</v>
      </c>
      <c r="C214" t="s">
        <v>719</v>
      </c>
      <c r="D214" t="s">
        <v>57</v>
      </c>
      <c r="E214" s="1">
        <f t="shared" si="6"/>
        <v>46142</v>
      </c>
      <c r="F214" t="s">
        <v>200</v>
      </c>
      <c r="G214">
        <v>31500</v>
      </c>
      <c r="H214">
        <v>0</v>
      </c>
      <c r="I214">
        <v>150000</v>
      </c>
      <c r="J214">
        <f t="shared" ca="1" si="7"/>
        <v>150000</v>
      </c>
    </row>
    <row r="215" spans="1:10">
      <c r="A215">
        <v>2026</v>
      </c>
      <c r="B215" t="s">
        <v>1362</v>
      </c>
      <c r="C215" t="s">
        <v>720</v>
      </c>
      <c r="D215" t="s">
        <v>57</v>
      </c>
      <c r="E215" s="1">
        <f t="shared" si="6"/>
        <v>46173</v>
      </c>
      <c r="F215" t="s">
        <v>200</v>
      </c>
      <c r="G215">
        <v>31500</v>
      </c>
      <c r="H215">
        <v>0</v>
      </c>
      <c r="I215">
        <v>9000</v>
      </c>
      <c r="J215">
        <f t="shared" ca="1" si="7"/>
        <v>9000</v>
      </c>
    </row>
    <row r="216" spans="1:10">
      <c r="A216">
        <v>2026</v>
      </c>
      <c r="B216" t="s">
        <v>1362</v>
      </c>
      <c r="C216" t="s">
        <v>721</v>
      </c>
      <c r="D216" t="s">
        <v>57</v>
      </c>
      <c r="E216" s="1">
        <f t="shared" si="6"/>
        <v>46203</v>
      </c>
      <c r="F216" t="s">
        <v>200</v>
      </c>
      <c r="G216">
        <v>31500</v>
      </c>
      <c r="H216">
        <v>0</v>
      </c>
      <c r="I216">
        <v>9000</v>
      </c>
      <c r="J216">
        <f t="shared" ca="1" si="7"/>
        <v>9000</v>
      </c>
    </row>
    <row r="217" spans="1:10">
      <c r="A217">
        <v>2026</v>
      </c>
      <c r="B217" t="s">
        <v>1360</v>
      </c>
      <c r="C217" t="s">
        <v>710</v>
      </c>
      <c r="D217" t="s">
        <v>57</v>
      </c>
      <c r="E217" s="1">
        <f t="shared" si="6"/>
        <v>46234</v>
      </c>
      <c r="F217" t="s">
        <v>200</v>
      </c>
      <c r="G217">
        <v>31500</v>
      </c>
      <c r="H217">
        <v>0</v>
      </c>
      <c r="I217">
        <v>9000</v>
      </c>
      <c r="J217">
        <f t="shared" ca="1" si="7"/>
        <v>9000</v>
      </c>
    </row>
    <row r="218" spans="1:10">
      <c r="A218">
        <v>2026</v>
      </c>
      <c r="B218" t="s">
        <v>1360</v>
      </c>
      <c r="C218" t="s">
        <v>711</v>
      </c>
      <c r="D218" t="s">
        <v>57</v>
      </c>
      <c r="E218" s="1">
        <f t="shared" si="6"/>
        <v>46265</v>
      </c>
      <c r="F218" t="s">
        <v>200</v>
      </c>
      <c r="G218">
        <v>31500</v>
      </c>
      <c r="H218">
        <v>0</v>
      </c>
      <c r="I218">
        <v>9000</v>
      </c>
      <c r="J218">
        <f t="shared" ca="1" si="7"/>
        <v>9000</v>
      </c>
    </row>
    <row r="219" spans="1:10">
      <c r="A219">
        <v>2026</v>
      </c>
      <c r="B219" t="s">
        <v>1360</v>
      </c>
      <c r="C219" t="s">
        <v>712</v>
      </c>
      <c r="D219" t="s">
        <v>57</v>
      </c>
      <c r="E219" s="1">
        <f t="shared" si="6"/>
        <v>46295</v>
      </c>
      <c r="F219" t="s">
        <v>200</v>
      </c>
      <c r="G219">
        <v>31500</v>
      </c>
      <c r="H219">
        <v>0</v>
      </c>
      <c r="I219">
        <v>9000</v>
      </c>
      <c r="J219">
        <f t="shared" ca="1" si="7"/>
        <v>9000</v>
      </c>
    </row>
    <row r="220" spans="1:10">
      <c r="A220">
        <v>2026</v>
      </c>
      <c r="B220" t="s">
        <v>803</v>
      </c>
      <c r="C220" t="s">
        <v>713</v>
      </c>
      <c r="D220" t="s">
        <v>57</v>
      </c>
      <c r="E220" s="1">
        <f t="shared" si="6"/>
        <v>46326</v>
      </c>
      <c r="F220" t="s">
        <v>200</v>
      </c>
      <c r="G220">
        <v>31500</v>
      </c>
      <c r="H220">
        <v>0</v>
      </c>
      <c r="I220">
        <v>9000</v>
      </c>
      <c r="J220">
        <f t="shared" ca="1" si="7"/>
        <v>9000</v>
      </c>
    </row>
    <row r="221" spans="1:10">
      <c r="A221">
        <v>2026</v>
      </c>
      <c r="B221" t="s">
        <v>803</v>
      </c>
      <c r="C221" t="s">
        <v>714</v>
      </c>
      <c r="D221" t="s">
        <v>57</v>
      </c>
      <c r="E221" s="1">
        <f t="shared" si="6"/>
        <v>46356</v>
      </c>
      <c r="F221" t="s">
        <v>200</v>
      </c>
      <c r="G221">
        <v>31500</v>
      </c>
      <c r="I221">
        <v>9000</v>
      </c>
      <c r="J221">
        <f t="shared" ca="1" si="7"/>
        <v>9000</v>
      </c>
    </row>
    <row r="222" spans="1:10">
      <c r="A222">
        <v>2026</v>
      </c>
      <c r="B222" t="s">
        <v>803</v>
      </c>
      <c r="C222" t="s">
        <v>715</v>
      </c>
      <c r="D222" t="s">
        <v>57</v>
      </c>
      <c r="E222" s="1">
        <f t="shared" si="6"/>
        <v>46387</v>
      </c>
      <c r="F222" t="s">
        <v>200</v>
      </c>
      <c r="G222">
        <v>31500</v>
      </c>
      <c r="H222">
        <v>0</v>
      </c>
      <c r="I222">
        <v>9000</v>
      </c>
      <c r="J222">
        <f t="shared" ca="1" si="7"/>
        <v>9000</v>
      </c>
    </row>
    <row r="223" spans="1:10">
      <c r="A223">
        <v>2025</v>
      </c>
      <c r="B223" t="s">
        <v>1360</v>
      </c>
      <c r="C223" t="s">
        <v>711</v>
      </c>
      <c r="D223" t="s">
        <v>57</v>
      </c>
      <c r="E223" s="1">
        <f t="shared" si="6"/>
        <v>45900</v>
      </c>
      <c r="F223" t="s">
        <v>239</v>
      </c>
      <c r="G223">
        <v>0</v>
      </c>
      <c r="H223">
        <v>0</v>
      </c>
      <c r="I223">
        <v>0</v>
      </c>
      <c r="J223">
        <f t="shared" ca="1" si="7"/>
        <v>0</v>
      </c>
    </row>
    <row r="224" spans="1:10">
      <c r="A224">
        <v>2025</v>
      </c>
      <c r="B224" t="s">
        <v>1360</v>
      </c>
      <c r="C224" t="s">
        <v>712</v>
      </c>
      <c r="D224" t="s">
        <v>57</v>
      </c>
      <c r="E224" s="1">
        <f t="shared" si="6"/>
        <v>45930</v>
      </c>
      <c r="F224" t="s">
        <v>239</v>
      </c>
      <c r="G224">
        <v>0</v>
      </c>
      <c r="H224">
        <v>0</v>
      </c>
      <c r="I224">
        <v>0</v>
      </c>
      <c r="J224">
        <f t="shared" ca="1" si="7"/>
        <v>0</v>
      </c>
    </row>
    <row r="225" spans="1:10">
      <c r="A225">
        <v>2025</v>
      </c>
      <c r="B225" t="s">
        <v>803</v>
      </c>
      <c r="C225" t="s">
        <v>713</v>
      </c>
      <c r="D225" t="s">
        <v>57</v>
      </c>
      <c r="E225" s="1">
        <f t="shared" si="6"/>
        <v>45961</v>
      </c>
      <c r="F225" t="s">
        <v>239</v>
      </c>
      <c r="G225">
        <v>0</v>
      </c>
      <c r="H225">
        <v>0</v>
      </c>
      <c r="I225">
        <v>0</v>
      </c>
      <c r="J225">
        <f t="shared" ca="1" si="7"/>
        <v>0</v>
      </c>
    </row>
    <row r="226" spans="1:10">
      <c r="A226">
        <v>2025</v>
      </c>
      <c r="B226" t="s">
        <v>803</v>
      </c>
      <c r="C226" t="s">
        <v>714</v>
      </c>
      <c r="D226" t="s">
        <v>57</v>
      </c>
      <c r="E226" s="1">
        <f t="shared" si="6"/>
        <v>45991</v>
      </c>
      <c r="F226" t="s">
        <v>239</v>
      </c>
      <c r="G226">
        <v>0</v>
      </c>
      <c r="H226">
        <v>0</v>
      </c>
      <c r="I226">
        <v>0</v>
      </c>
      <c r="J226">
        <f t="shared" ca="1" si="7"/>
        <v>0</v>
      </c>
    </row>
    <row r="227" spans="1:10">
      <c r="A227">
        <v>2025</v>
      </c>
      <c r="B227" t="s">
        <v>803</v>
      </c>
      <c r="C227" t="s">
        <v>715</v>
      </c>
      <c r="D227" t="s">
        <v>57</v>
      </c>
      <c r="E227" s="1">
        <f t="shared" si="6"/>
        <v>46022</v>
      </c>
      <c r="F227" t="s">
        <v>239</v>
      </c>
      <c r="G227">
        <v>0</v>
      </c>
      <c r="H227">
        <v>0</v>
      </c>
      <c r="I227">
        <v>4000</v>
      </c>
      <c r="J227">
        <f t="shared" ca="1" si="7"/>
        <v>0</v>
      </c>
    </row>
    <row r="228" spans="1:10">
      <c r="A228">
        <v>2026</v>
      </c>
      <c r="B228" t="s">
        <v>1361</v>
      </c>
      <c r="C228" t="s">
        <v>716</v>
      </c>
      <c r="D228" t="s">
        <v>57</v>
      </c>
      <c r="E228" s="1">
        <f t="shared" si="6"/>
        <v>46053</v>
      </c>
      <c r="F228" t="s">
        <v>239</v>
      </c>
      <c r="G228">
        <v>0</v>
      </c>
      <c r="H228">
        <v>0</v>
      </c>
      <c r="I228">
        <v>4000</v>
      </c>
      <c r="J228">
        <f t="shared" ca="1" si="7"/>
        <v>0</v>
      </c>
    </row>
    <row r="229" spans="1:10">
      <c r="A229">
        <v>2026</v>
      </c>
      <c r="B229" t="s">
        <v>1361</v>
      </c>
      <c r="C229" t="s">
        <v>717</v>
      </c>
      <c r="D229" t="s">
        <v>57</v>
      </c>
      <c r="E229" s="1">
        <f t="shared" si="6"/>
        <v>46081</v>
      </c>
      <c r="F229" t="s">
        <v>239</v>
      </c>
      <c r="G229">
        <v>0</v>
      </c>
      <c r="H229">
        <v>0</v>
      </c>
      <c r="I229">
        <v>4000</v>
      </c>
      <c r="J229">
        <f t="shared" ca="1" si="7"/>
        <v>0</v>
      </c>
    </row>
    <row r="230" spans="1:10">
      <c r="A230">
        <v>2026</v>
      </c>
      <c r="B230" t="s">
        <v>1361</v>
      </c>
      <c r="C230" t="s">
        <v>718</v>
      </c>
      <c r="D230" t="s">
        <v>57</v>
      </c>
      <c r="E230" s="1">
        <f t="shared" si="6"/>
        <v>46112</v>
      </c>
      <c r="F230" t="s">
        <v>239</v>
      </c>
      <c r="G230">
        <v>0</v>
      </c>
      <c r="H230">
        <v>0</v>
      </c>
      <c r="I230">
        <v>4000</v>
      </c>
      <c r="J230">
        <f t="shared" ca="1" si="7"/>
        <v>4000</v>
      </c>
    </row>
    <row r="231" spans="1:10">
      <c r="A231">
        <v>2026</v>
      </c>
      <c r="B231" t="s">
        <v>1362</v>
      </c>
      <c r="C231" t="s">
        <v>719</v>
      </c>
      <c r="D231" t="s">
        <v>57</v>
      </c>
      <c r="E231" s="1">
        <f t="shared" si="6"/>
        <v>46142</v>
      </c>
      <c r="F231" t="s">
        <v>239</v>
      </c>
      <c r="G231">
        <v>0</v>
      </c>
      <c r="H231">
        <v>0</v>
      </c>
      <c r="I231">
        <v>4000</v>
      </c>
      <c r="J231">
        <f t="shared" ca="1" si="7"/>
        <v>4000</v>
      </c>
    </row>
    <row r="232" spans="1:10">
      <c r="A232">
        <v>2026</v>
      </c>
      <c r="B232" t="s">
        <v>1362</v>
      </c>
      <c r="C232" t="s">
        <v>720</v>
      </c>
      <c r="D232" t="s">
        <v>57</v>
      </c>
      <c r="E232" s="1">
        <f t="shared" si="6"/>
        <v>46173</v>
      </c>
      <c r="F232" t="s">
        <v>239</v>
      </c>
      <c r="G232">
        <v>0</v>
      </c>
      <c r="H232">
        <v>0</v>
      </c>
      <c r="I232">
        <v>4000</v>
      </c>
      <c r="J232">
        <f t="shared" ca="1" si="7"/>
        <v>4000</v>
      </c>
    </row>
    <row r="233" spans="1:10">
      <c r="A233">
        <v>2026</v>
      </c>
      <c r="B233" t="s">
        <v>1362</v>
      </c>
      <c r="C233" t="s">
        <v>721</v>
      </c>
      <c r="D233" t="s">
        <v>57</v>
      </c>
      <c r="E233" s="1">
        <f t="shared" si="6"/>
        <v>46203</v>
      </c>
      <c r="F233" t="s">
        <v>239</v>
      </c>
      <c r="G233">
        <v>0</v>
      </c>
      <c r="H233">
        <v>0</v>
      </c>
      <c r="I233">
        <v>4000</v>
      </c>
      <c r="J233">
        <f t="shared" ca="1" si="7"/>
        <v>4000</v>
      </c>
    </row>
    <row r="234" spans="1:10">
      <c r="A234">
        <v>2026</v>
      </c>
      <c r="B234" t="s">
        <v>1360</v>
      </c>
      <c r="C234" t="s">
        <v>710</v>
      </c>
      <c r="D234" t="s">
        <v>57</v>
      </c>
      <c r="E234" s="1">
        <f t="shared" si="6"/>
        <v>46234</v>
      </c>
      <c r="F234" t="s">
        <v>239</v>
      </c>
      <c r="G234">
        <v>0</v>
      </c>
      <c r="H234">
        <v>0</v>
      </c>
      <c r="I234">
        <v>4000</v>
      </c>
      <c r="J234">
        <f t="shared" ca="1" si="7"/>
        <v>4000</v>
      </c>
    </row>
    <row r="235" spans="1:10">
      <c r="A235">
        <v>2026</v>
      </c>
      <c r="B235" t="s">
        <v>1360</v>
      </c>
      <c r="C235" t="s">
        <v>711</v>
      </c>
      <c r="D235" t="s">
        <v>57</v>
      </c>
      <c r="E235" s="1">
        <f t="shared" si="6"/>
        <v>46265</v>
      </c>
      <c r="F235" t="s">
        <v>239</v>
      </c>
      <c r="G235">
        <v>0</v>
      </c>
      <c r="H235">
        <v>0</v>
      </c>
      <c r="I235">
        <v>4000</v>
      </c>
      <c r="J235">
        <f t="shared" ca="1" si="7"/>
        <v>4000</v>
      </c>
    </row>
    <row r="236" spans="1:10">
      <c r="A236">
        <v>2026</v>
      </c>
      <c r="B236" t="s">
        <v>1360</v>
      </c>
      <c r="C236" t="s">
        <v>712</v>
      </c>
      <c r="D236" t="s">
        <v>57</v>
      </c>
      <c r="E236" s="1">
        <f t="shared" si="6"/>
        <v>46295</v>
      </c>
      <c r="F236" t="s">
        <v>239</v>
      </c>
      <c r="G236">
        <v>0</v>
      </c>
      <c r="H236">
        <v>0</v>
      </c>
      <c r="I236">
        <v>4000</v>
      </c>
      <c r="J236">
        <f t="shared" ca="1" si="7"/>
        <v>4000</v>
      </c>
    </row>
    <row r="237" spans="1:10">
      <c r="A237">
        <v>2026</v>
      </c>
      <c r="B237" t="s">
        <v>803</v>
      </c>
      <c r="C237" t="s">
        <v>713</v>
      </c>
      <c r="D237" t="s">
        <v>57</v>
      </c>
      <c r="E237" s="1">
        <f t="shared" si="6"/>
        <v>46326</v>
      </c>
      <c r="F237" t="s">
        <v>239</v>
      </c>
      <c r="G237">
        <v>0</v>
      </c>
      <c r="H237">
        <v>0</v>
      </c>
      <c r="I237">
        <v>4000</v>
      </c>
      <c r="J237">
        <f t="shared" ca="1" si="7"/>
        <v>4000</v>
      </c>
    </row>
    <row r="238" spans="1:10">
      <c r="A238">
        <v>2026</v>
      </c>
      <c r="B238" t="s">
        <v>803</v>
      </c>
      <c r="C238" t="s">
        <v>714</v>
      </c>
      <c r="D238" t="s">
        <v>57</v>
      </c>
      <c r="E238" s="1">
        <f t="shared" si="6"/>
        <v>46356</v>
      </c>
      <c r="F238" t="s">
        <v>239</v>
      </c>
      <c r="G238">
        <v>0</v>
      </c>
      <c r="H238">
        <v>0</v>
      </c>
      <c r="I238">
        <v>4000</v>
      </c>
      <c r="J238">
        <f t="shared" ca="1" si="7"/>
        <v>4000</v>
      </c>
    </row>
    <row r="239" spans="1:10">
      <c r="A239">
        <v>2026</v>
      </c>
      <c r="B239" t="s">
        <v>803</v>
      </c>
      <c r="C239" t="s">
        <v>715</v>
      </c>
      <c r="D239" t="s">
        <v>57</v>
      </c>
      <c r="E239" s="1">
        <f t="shared" si="6"/>
        <v>46387</v>
      </c>
      <c r="F239" t="s">
        <v>239</v>
      </c>
      <c r="G239">
        <v>0</v>
      </c>
      <c r="H239">
        <v>0</v>
      </c>
      <c r="I239">
        <v>4000</v>
      </c>
      <c r="J239">
        <f t="shared" ca="1" si="7"/>
        <v>4000</v>
      </c>
    </row>
    <row r="240" spans="1:10">
      <c r="A240">
        <v>2025</v>
      </c>
      <c r="B240" t="s">
        <v>1360</v>
      </c>
      <c r="C240" t="s">
        <v>711</v>
      </c>
      <c r="D240" t="s">
        <v>57</v>
      </c>
      <c r="E240" s="1">
        <f t="shared" si="6"/>
        <v>45900</v>
      </c>
      <c r="F240" t="s">
        <v>490</v>
      </c>
      <c r="G240">
        <v>5500</v>
      </c>
      <c r="H240">
        <v>0</v>
      </c>
      <c r="I240">
        <v>0</v>
      </c>
      <c r="J240">
        <f t="shared" ca="1" si="7"/>
        <v>0</v>
      </c>
    </row>
    <row r="241" spans="1:10">
      <c r="A241">
        <v>2025</v>
      </c>
      <c r="B241" t="s">
        <v>1360</v>
      </c>
      <c r="C241" t="s">
        <v>712</v>
      </c>
      <c r="D241" t="s">
        <v>57</v>
      </c>
      <c r="E241" s="1">
        <f t="shared" si="6"/>
        <v>45930</v>
      </c>
      <c r="F241" t="s">
        <v>490</v>
      </c>
      <c r="G241">
        <v>5500</v>
      </c>
      <c r="H241">
        <v>0</v>
      </c>
      <c r="I241">
        <v>0</v>
      </c>
      <c r="J241">
        <f t="shared" ca="1" si="7"/>
        <v>0</v>
      </c>
    </row>
    <row r="242" spans="1:10">
      <c r="A242">
        <v>2025</v>
      </c>
      <c r="B242" t="s">
        <v>803</v>
      </c>
      <c r="C242" t="s">
        <v>713</v>
      </c>
      <c r="D242" t="s">
        <v>57</v>
      </c>
      <c r="E242" s="1">
        <f t="shared" si="6"/>
        <v>45961</v>
      </c>
      <c r="F242" t="s">
        <v>490</v>
      </c>
      <c r="G242">
        <v>5500</v>
      </c>
      <c r="H242">
        <v>0</v>
      </c>
      <c r="I242">
        <v>0</v>
      </c>
      <c r="J242">
        <f t="shared" ca="1" si="7"/>
        <v>0</v>
      </c>
    </row>
    <row r="243" spans="1:10">
      <c r="A243">
        <v>2025</v>
      </c>
      <c r="B243" t="s">
        <v>803</v>
      </c>
      <c r="C243" t="s">
        <v>714</v>
      </c>
      <c r="D243" t="s">
        <v>57</v>
      </c>
      <c r="E243" s="1">
        <f t="shared" si="6"/>
        <v>45991</v>
      </c>
      <c r="F243" t="s">
        <v>490</v>
      </c>
      <c r="G243">
        <v>5500</v>
      </c>
      <c r="H243">
        <v>10000</v>
      </c>
      <c r="I243">
        <v>0</v>
      </c>
      <c r="J243">
        <f t="shared" ca="1" si="7"/>
        <v>0</v>
      </c>
    </row>
    <row r="244" spans="1:10">
      <c r="A244">
        <v>2025</v>
      </c>
      <c r="B244" t="s">
        <v>803</v>
      </c>
      <c r="C244" t="s">
        <v>715</v>
      </c>
      <c r="D244" t="s">
        <v>57</v>
      </c>
      <c r="E244" s="1">
        <f t="shared" si="6"/>
        <v>46022</v>
      </c>
      <c r="F244" t="s">
        <v>490</v>
      </c>
      <c r="G244">
        <v>5500</v>
      </c>
      <c r="H244">
        <v>0</v>
      </c>
      <c r="I244">
        <v>5500</v>
      </c>
      <c r="J244">
        <f t="shared" ca="1" si="7"/>
        <v>0</v>
      </c>
    </row>
    <row r="245" spans="1:10">
      <c r="A245">
        <v>2026</v>
      </c>
      <c r="B245" t="s">
        <v>1361</v>
      </c>
      <c r="C245" t="s">
        <v>716</v>
      </c>
      <c r="D245" t="s">
        <v>57</v>
      </c>
      <c r="E245" s="1">
        <f t="shared" si="6"/>
        <v>46053</v>
      </c>
      <c r="F245" t="s">
        <v>490</v>
      </c>
      <c r="G245">
        <v>5500</v>
      </c>
      <c r="H245">
        <v>0</v>
      </c>
      <c r="I245">
        <v>5500</v>
      </c>
      <c r="J245">
        <f t="shared" ca="1" si="7"/>
        <v>0</v>
      </c>
    </row>
    <row r="246" spans="1:10">
      <c r="A246">
        <v>2026</v>
      </c>
      <c r="B246" t="s">
        <v>1361</v>
      </c>
      <c r="C246" t="s">
        <v>717</v>
      </c>
      <c r="D246" t="s">
        <v>57</v>
      </c>
      <c r="E246" s="1">
        <f t="shared" si="6"/>
        <v>46081</v>
      </c>
      <c r="F246" t="s">
        <v>490</v>
      </c>
      <c r="G246">
        <v>5500</v>
      </c>
      <c r="H246">
        <v>0</v>
      </c>
      <c r="I246">
        <v>150000</v>
      </c>
      <c r="J246">
        <f t="shared" ca="1" si="7"/>
        <v>0</v>
      </c>
    </row>
    <row r="247" spans="1:10">
      <c r="A247">
        <v>2026</v>
      </c>
      <c r="B247" t="s">
        <v>1361</v>
      </c>
      <c r="C247" t="s">
        <v>718</v>
      </c>
      <c r="D247" t="s">
        <v>57</v>
      </c>
      <c r="E247" s="1">
        <f t="shared" si="6"/>
        <v>46112</v>
      </c>
      <c r="F247" t="s">
        <v>490</v>
      </c>
      <c r="G247">
        <v>5500</v>
      </c>
      <c r="H247">
        <v>0</v>
      </c>
      <c r="I247">
        <v>150000</v>
      </c>
      <c r="J247">
        <f t="shared" ca="1" si="7"/>
        <v>150000</v>
      </c>
    </row>
    <row r="248" spans="1:10">
      <c r="A248">
        <v>2026</v>
      </c>
      <c r="B248" t="s">
        <v>1362</v>
      </c>
      <c r="C248" t="s">
        <v>719</v>
      </c>
      <c r="D248" t="s">
        <v>57</v>
      </c>
      <c r="E248" s="1">
        <f t="shared" si="6"/>
        <v>46142</v>
      </c>
      <c r="F248" t="s">
        <v>490</v>
      </c>
      <c r="G248">
        <v>5500</v>
      </c>
      <c r="H248">
        <v>0</v>
      </c>
      <c r="I248">
        <v>150000</v>
      </c>
      <c r="J248">
        <f t="shared" ca="1" si="7"/>
        <v>150000</v>
      </c>
    </row>
    <row r="249" spans="1:10">
      <c r="A249">
        <v>2026</v>
      </c>
      <c r="B249" t="s">
        <v>1362</v>
      </c>
      <c r="C249" t="s">
        <v>720</v>
      </c>
      <c r="D249" t="s">
        <v>57</v>
      </c>
      <c r="E249" s="1">
        <f t="shared" si="6"/>
        <v>46173</v>
      </c>
      <c r="F249" t="s">
        <v>490</v>
      </c>
      <c r="G249">
        <v>5500</v>
      </c>
      <c r="H249">
        <v>0</v>
      </c>
      <c r="I249">
        <v>5500</v>
      </c>
      <c r="J249">
        <f t="shared" ca="1" si="7"/>
        <v>5500</v>
      </c>
    </row>
    <row r="250" spans="1:10">
      <c r="A250">
        <v>2026</v>
      </c>
      <c r="B250" t="s">
        <v>1362</v>
      </c>
      <c r="C250" t="s">
        <v>721</v>
      </c>
      <c r="D250" t="s">
        <v>57</v>
      </c>
      <c r="E250" s="1">
        <f t="shared" si="6"/>
        <v>46203</v>
      </c>
      <c r="F250" t="s">
        <v>490</v>
      </c>
      <c r="G250">
        <v>5500</v>
      </c>
      <c r="H250">
        <v>0</v>
      </c>
      <c r="I250">
        <v>5500</v>
      </c>
      <c r="J250">
        <f t="shared" ca="1" si="7"/>
        <v>5500</v>
      </c>
    </row>
    <row r="251" spans="1:10">
      <c r="A251">
        <v>2026</v>
      </c>
      <c r="B251" t="s">
        <v>1360</v>
      </c>
      <c r="C251" t="s">
        <v>710</v>
      </c>
      <c r="D251" t="s">
        <v>57</v>
      </c>
      <c r="E251" s="1">
        <f t="shared" si="6"/>
        <v>46234</v>
      </c>
      <c r="F251" t="s">
        <v>490</v>
      </c>
      <c r="G251">
        <v>5500</v>
      </c>
      <c r="H251">
        <v>0</v>
      </c>
      <c r="I251">
        <v>5500</v>
      </c>
      <c r="J251">
        <f t="shared" ca="1" si="7"/>
        <v>5500</v>
      </c>
    </row>
    <row r="252" spans="1:10">
      <c r="A252">
        <v>2026</v>
      </c>
      <c r="B252" t="s">
        <v>1360</v>
      </c>
      <c r="C252" t="s">
        <v>711</v>
      </c>
      <c r="D252" t="s">
        <v>57</v>
      </c>
      <c r="E252" s="1">
        <f t="shared" si="6"/>
        <v>46265</v>
      </c>
      <c r="F252" t="s">
        <v>490</v>
      </c>
      <c r="G252">
        <v>5500</v>
      </c>
      <c r="H252">
        <v>0</v>
      </c>
      <c r="I252">
        <v>5500</v>
      </c>
      <c r="J252">
        <f t="shared" ca="1" si="7"/>
        <v>5500</v>
      </c>
    </row>
    <row r="253" spans="1:10">
      <c r="A253">
        <v>2026</v>
      </c>
      <c r="B253" t="s">
        <v>1360</v>
      </c>
      <c r="C253" t="s">
        <v>712</v>
      </c>
      <c r="D253" t="s">
        <v>57</v>
      </c>
      <c r="E253" s="1">
        <f t="shared" si="6"/>
        <v>46295</v>
      </c>
      <c r="F253" t="s">
        <v>490</v>
      </c>
      <c r="G253">
        <v>5500</v>
      </c>
      <c r="H253">
        <v>0</v>
      </c>
      <c r="I253">
        <v>5500</v>
      </c>
      <c r="J253">
        <f t="shared" ca="1" si="7"/>
        <v>5500</v>
      </c>
    </row>
    <row r="254" spans="1:10">
      <c r="A254">
        <v>2026</v>
      </c>
      <c r="B254" t="s">
        <v>803</v>
      </c>
      <c r="C254" t="s">
        <v>713</v>
      </c>
      <c r="D254" t="s">
        <v>57</v>
      </c>
      <c r="E254" s="1">
        <f t="shared" si="6"/>
        <v>46326</v>
      </c>
      <c r="F254" t="s">
        <v>490</v>
      </c>
      <c r="G254">
        <v>5500</v>
      </c>
      <c r="H254">
        <v>0</v>
      </c>
      <c r="I254">
        <v>5500</v>
      </c>
      <c r="J254">
        <f t="shared" ca="1" si="7"/>
        <v>5500</v>
      </c>
    </row>
    <row r="255" spans="1:10">
      <c r="A255">
        <v>2026</v>
      </c>
      <c r="B255" t="s">
        <v>803</v>
      </c>
      <c r="C255" t="s">
        <v>714</v>
      </c>
      <c r="D255" t="s">
        <v>57</v>
      </c>
      <c r="E255" s="1">
        <f t="shared" si="6"/>
        <v>46356</v>
      </c>
      <c r="F255" t="s">
        <v>490</v>
      </c>
      <c r="G255">
        <v>5500</v>
      </c>
      <c r="H255">
        <v>0</v>
      </c>
      <c r="I255">
        <v>5500</v>
      </c>
      <c r="J255">
        <f t="shared" ca="1" si="7"/>
        <v>5500</v>
      </c>
    </row>
    <row r="256" spans="1:10">
      <c r="A256">
        <v>2026</v>
      </c>
      <c r="B256" t="s">
        <v>803</v>
      </c>
      <c r="C256" t="s">
        <v>715</v>
      </c>
      <c r="D256" t="s">
        <v>57</v>
      </c>
      <c r="E256" s="1">
        <f t="shared" si="6"/>
        <v>46387</v>
      </c>
      <c r="F256" t="s">
        <v>490</v>
      </c>
      <c r="G256">
        <v>5500</v>
      </c>
      <c r="H256">
        <v>0</v>
      </c>
      <c r="I256">
        <v>5500</v>
      </c>
      <c r="J256">
        <f t="shared" ca="1" si="7"/>
        <v>5500</v>
      </c>
    </row>
    <row r="257" spans="1:10">
      <c r="A257">
        <v>2025</v>
      </c>
      <c r="B257" t="s">
        <v>1360</v>
      </c>
      <c r="C257" t="s">
        <v>711</v>
      </c>
      <c r="D257" t="s">
        <v>57</v>
      </c>
      <c r="E257" s="1">
        <f t="shared" si="6"/>
        <v>45900</v>
      </c>
      <c r="F257" t="s">
        <v>273</v>
      </c>
      <c r="G257">
        <v>0</v>
      </c>
      <c r="H257">
        <v>0</v>
      </c>
      <c r="I257">
        <v>0</v>
      </c>
      <c r="J257">
        <f t="shared" ca="1" si="7"/>
        <v>0</v>
      </c>
    </row>
    <row r="258" spans="1:10">
      <c r="A258">
        <v>2025</v>
      </c>
      <c r="B258" t="s">
        <v>1360</v>
      </c>
      <c r="C258" t="s">
        <v>712</v>
      </c>
      <c r="D258" t="s">
        <v>57</v>
      </c>
      <c r="E258" s="1">
        <f t="shared" si="6"/>
        <v>45930</v>
      </c>
      <c r="F258" t="s">
        <v>273</v>
      </c>
      <c r="G258">
        <v>0</v>
      </c>
      <c r="H258">
        <v>0</v>
      </c>
      <c r="I258">
        <v>0</v>
      </c>
      <c r="J258">
        <f t="shared" ca="1" si="7"/>
        <v>0</v>
      </c>
    </row>
    <row r="259" spans="1:10">
      <c r="A259">
        <v>2025</v>
      </c>
      <c r="B259" t="s">
        <v>803</v>
      </c>
      <c r="C259" t="s">
        <v>713</v>
      </c>
      <c r="D259" t="s">
        <v>57</v>
      </c>
      <c r="E259" s="1">
        <f t="shared" ref="E259:E322" si="8">EOMONTH(DATE(A259, MONTH(1 &amp; C259), 1), 0)</f>
        <v>45961</v>
      </c>
      <c r="F259" t="s">
        <v>273</v>
      </c>
      <c r="G259">
        <v>0</v>
      </c>
      <c r="H259">
        <v>0</v>
      </c>
      <c r="I259">
        <v>0</v>
      </c>
      <c r="J259">
        <f t="shared" ref="J259:J322" ca="1" si="9">IF(E259&lt;TODAY(),0,I259)</f>
        <v>0</v>
      </c>
    </row>
    <row r="260" spans="1:10">
      <c r="A260">
        <v>2025</v>
      </c>
      <c r="B260" t="s">
        <v>803</v>
      </c>
      <c r="C260" t="s">
        <v>714</v>
      </c>
      <c r="D260" t="s">
        <v>57</v>
      </c>
      <c r="E260" s="1">
        <f t="shared" si="8"/>
        <v>45991</v>
      </c>
      <c r="F260" t="s">
        <v>273</v>
      </c>
      <c r="G260">
        <v>0</v>
      </c>
      <c r="H260">
        <v>9000</v>
      </c>
      <c r="I260">
        <v>10000</v>
      </c>
      <c r="J260">
        <f t="shared" ca="1" si="9"/>
        <v>0</v>
      </c>
    </row>
    <row r="261" spans="1:10">
      <c r="A261">
        <v>2025</v>
      </c>
      <c r="B261" t="s">
        <v>803</v>
      </c>
      <c r="C261" t="s">
        <v>715</v>
      </c>
      <c r="D261" t="s">
        <v>57</v>
      </c>
      <c r="E261" s="1">
        <f t="shared" si="8"/>
        <v>46022</v>
      </c>
      <c r="F261" t="s">
        <v>273</v>
      </c>
      <c r="G261">
        <v>0</v>
      </c>
      <c r="H261">
        <v>0</v>
      </c>
      <c r="I261">
        <v>10000</v>
      </c>
      <c r="J261">
        <f t="shared" ca="1" si="9"/>
        <v>0</v>
      </c>
    </row>
    <row r="262" spans="1:10">
      <c r="A262">
        <v>2026</v>
      </c>
      <c r="B262" t="s">
        <v>1361</v>
      </c>
      <c r="C262" t="s">
        <v>716</v>
      </c>
      <c r="D262" t="s">
        <v>57</v>
      </c>
      <c r="E262" s="1">
        <f t="shared" si="8"/>
        <v>46053</v>
      </c>
      <c r="F262" t="s">
        <v>273</v>
      </c>
      <c r="G262">
        <v>0</v>
      </c>
      <c r="H262">
        <v>0</v>
      </c>
      <c r="I262">
        <v>10000</v>
      </c>
      <c r="J262">
        <f t="shared" ca="1" si="9"/>
        <v>0</v>
      </c>
    </row>
    <row r="263" spans="1:10">
      <c r="A263">
        <v>2026</v>
      </c>
      <c r="B263" t="s">
        <v>1361</v>
      </c>
      <c r="C263" t="s">
        <v>717</v>
      </c>
      <c r="D263" t="s">
        <v>57</v>
      </c>
      <c r="E263" s="1">
        <f t="shared" si="8"/>
        <v>46081</v>
      </c>
      <c r="F263" t="s">
        <v>273</v>
      </c>
      <c r="G263">
        <v>0</v>
      </c>
      <c r="H263">
        <v>0</v>
      </c>
      <c r="I263">
        <v>10000</v>
      </c>
      <c r="J263">
        <f t="shared" ca="1" si="9"/>
        <v>0</v>
      </c>
    </row>
    <row r="264" spans="1:10">
      <c r="A264">
        <v>2026</v>
      </c>
      <c r="B264" t="s">
        <v>1361</v>
      </c>
      <c r="C264" t="s">
        <v>718</v>
      </c>
      <c r="D264" t="s">
        <v>57</v>
      </c>
      <c r="E264" s="1">
        <f t="shared" si="8"/>
        <v>46112</v>
      </c>
      <c r="F264" t="s">
        <v>273</v>
      </c>
      <c r="G264">
        <v>0</v>
      </c>
      <c r="H264">
        <v>0</v>
      </c>
      <c r="I264">
        <v>10000</v>
      </c>
      <c r="J264">
        <f t="shared" ca="1" si="9"/>
        <v>10000</v>
      </c>
    </row>
    <row r="265" spans="1:10">
      <c r="A265">
        <v>2026</v>
      </c>
      <c r="B265" t="s">
        <v>1362</v>
      </c>
      <c r="C265" t="s">
        <v>719</v>
      </c>
      <c r="D265" t="s">
        <v>57</v>
      </c>
      <c r="E265" s="1">
        <f t="shared" si="8"/>
        <v>46142</v>
      </c>
      <c r="F265" t="s">
        <v>273</v>
      </c>
      <c r="G265">
        <v>0</v>
      </c>
      <c r="H265">
        <v>0</v>
      </c>
      <c r="I265">
        <v>10000</v>
      </c>
      <c r="J265">
        <f t="shared" ca="1" si="9"/>
        <v>10000</v>
      </c>
    </row>
    <row r="266" spans="1:10">
      <c r="A266">
        <v>2026</v>
      </c>
      <c r="B266" t="s">
        <v>1362</v>
      </c>
      <c r="C266" t="s">
        <v>720</v>
      </c>
      <c r="D266" t="s">
        <v>57</v>
      </c>
      <c r="E266" s="1">
        <f t="shared" si="8"/>
        <v>46173</v>
      </c>
      <c r="F266" t="s">
        <v>273</v>
      </c>
      <c r="G266">
        <v>0</v>
      </c>
      <c r="H266">
        <v>0</v>
      </c>
      <c r="I266">
        <v>10000</v>
      </c>
      <c r="J266">
        <f t="shared" ca="1" si="9"/>
        <v>10000</v>
      </c>
    </row>
    <row r="267" spans="1:10">
      <c r="A267">
        <v>2026</v>
      </c>
      <c r="B267" t="s">
        <v>1362</v>
      </c>
      <c r="C267" t="s">
        <v>721</v>
      </c>
      <c r="D267" t="s">
        <v>57</v>
      </c>
      <c r="E267" s="1">
        <f t="shared" si="8"/>
        <v>46203</v>
      </c>
      <c r="F267" t="s">
        <v>273</v>
      </c>
      <c r="G267">
        <v>0</v>
      </c>
      <c r="H267">
        <v>0</v>
      </c>
      <c r="I267">
        <v>10000</v>
      </c>
      <c r="J267">
        <f t="shared" ca="1" si="9"/>
        <v>10000</v>
      </c>
    </row>
    <row r="268" spans="1:10">
      <c r="A268">
        <v>2026</v>
      </c>
      <c r="B268" t="s">
        <v>1360</v>
      </c>
      <c r="C268" t="s">
        <v>710</v>
      </c>
      <c r="D268" t="s">
        <v>57</v>
      </c>
      <c r="E268" s="1">
        <f t="shared" si="8"/>
        <v>46234</v>
      </c>
      <c r="F268" t="s">
        <v>273</v>
      </c>
      <c r="G268">
        <v>0</v>
      </c>
      <c r="H268">
        <v>0</v>
      </c>
      <c r="I268">
        <v>10000</v>
      </c>
      <c r="J268">
        <f t="shared" ca="1" si="9"/>
        <v>10000</v>
      </c>
    </row>
    <row r="269" spans="1:10">
      <c r="A269">
        <v>2026</v>
      </c>
      <c r="B269" t="s">
        <v>1360</v>
      </c>
      <c r="C269" t="s">
        <v>711</v>
      </c>
      <c r="D269" t="s">
        <v>57</v>
      </c>
      <c r="E269" s="1">
        <f t="shared" si="8"/>
        <v>46265</v>
      </c>
      <c r="F269" t="s">
        <v>273</v>
      </c>
      <c r="G269">
        <v>0</v>
      </c>
      <c r="H269">
        <v>0</v>
      </c>
      <c r="I269">
        <v>10000</v>
      </c>
      <c r="J269">
        <f t="shared" ca="1" si="9"/>
        <v>10000</v>
      </c>
    </row>
    <row r="270" spans="1:10">
      <c r="A270">
        <v>2026</v>
      </c>
      <c r="B270" t="s">
        <v>1360</v>
      </c>
      <c r="C270" t="s">
        <v>712</v>
      </c>
      <c r="D270" t="s">
        <v>57</v>
      </c>
      <c r="E270" s="1">
        <f t="shared" si="8"/>
        <v>46295</v>
      </c>
      <c r="F270" t="s">
        <v>273</v>
      </c>
      <c r="G270">
        <v>0</v>
      </c>
      <c r="H270">
        <v>0</v>
      </c>
      <c r="I270">
        <v>10000</v>
      </c>
      <c r="J270">
        <f t="shared" ca="1" si="9"/>
        <v>10000</v>
      </c>
    </row>
    <row r="271" spans="1:10">
      <c r="A271">
        <v>2026</v>
      </c>
      <c r="B271" t="s">
        <v>803</v>
      </c>
      <c r="C271" t="s">
        <v>713</v>
      </c>
      <c r="D271" t="s">
        <v>57</v>
      </c>
      <c r="E271" s="1">
        <f t="shared" si="8"/>
        <v>46326</v>
      </c>
      <c r="F271" t="s">
        <v>273</v>
      </c>
      <c r="G271">
        <v>0</v>
      </c>
      <c r="H271">
        <v>0</v>
      </c>
      <c r="I271">
        <v>10000</v>
      </c>
      <c r="J271">
        <f t="shared" ca="1" si="9"/>
        <v>10000</v>
      </c>
    </row>
    <row r="272" spans="1:10">
      <c r="A272">
        <v>2026</v>
      </c>
      <c r="B272" t="s">
        <v>803</v>
      </c>
      <c r="C272" t="s">
        <v>714</v>
      </c>
      <c r="D272" t="s">
        <v>57</v>
      </c>
      <c r="E272" s="1">
        <f t="shared" si="8"/>
        <v>46356</v>
      </c>
      <c r="F272" t="s">
        <v>273</v>
      </c>
      <c r="G272">
        <v>0</v>
      </c>
      <c r="H272">
        <v>0</v>
      </c>
      <c r="I272">
        <v>10000</v>
      </c>
      <c r="J272">
        <f t="shared" ca="1" si="9"/>
        <v>10000</v>
      </c>
    </row>
    <row r="273" spans="1:10">
      <c r="A273">
        <v>2026</v>
      </c>
      <c r="B273" t="s">
        <v>803</v>
      </c>
      <c r="C273" t="s">
        <v>715</v>
      </c>
      <c r="D273" t="s">
        <v>57</v>
      </c>
      <c r="E273" s="1">
        <f t="shared" si="8"/>
        <v>46387</v>
      </c>
      <c r="F273" t="s">
        <v>273</v>
      </c>
      <c r="G273">
        <v>0</v>
      </c>
      <c r="H273">
        <v>0</v>
      </c>
      <c r="I273">
        <v>10000</v>
      </c>
      <c r="J273">
        <f t="shared" ca="1" si="9"/>
        <v>10000</v>
      </c>
    </row>
    <row r="274" spans="1:10">
      <c r="A274">
        <v>2025</v>
      </c>
      <c r="B274" t="s">
        <v>1360</v>
      </c>
      <c r="C274" t="s">
        <v>711</v>
      </c>
      <c r="D274" t="s">
        <v>57</v>
      </c>
      <c r="E274" s="1">
        <f t="shared" si="8"/>
        <v>45900</v>
      </c>
      <c r="F274" t="s">
        <v>63</v>
      </c>
      <c r="G274">
        <v>10000</v>
      </c>
      <c r="H274">
        <v>0</v>
      </c>
      <c r="I274">
        <v>0</v>
      </c>
      <c r="J274">
        <f t="shared" ca="1" si="9"/>
        <v>0</v>
      </c>
    </row>
    <row r="275" spans="1:10">
      <c r="A275">
        <v>2025</v>
      </c>
      <c r="B275" t="s">
        <v>1360</v>
      </c>
      <c r="C275" t="s">
        <v>712</v>
      </c>
      <c r="D275" t="s">
        <v>57</v>
      </c>
      <c r="E275" s="1">
        <f t="shared" si="8"/>
        <v>45930</v>
      </c>
      <c r="F275" t="s">
        <v>63</v>
      </c>
      <c r="G275">
        <v>10000</v>
      </c>
      <c r="H275">
        <v>40000</v>
      </c>
      <c r="I275">
        <v>0</v>
      </c>
      <c r="J275">
        <f t="shared" ca="1" si="9"/>
        <v>0</v>
      </c>
    </row>
    <row r="276" spans="1:10">
      <c r="A276">
        <v>2025</v>
      </c>
      <c r="B276" t="s">
        <v>803</v>
      </c>
      <c r="C276" t="s">
        <v>713</v>
      </c>
      <c r="D276" t="s">
        <v>57</v>
      </c>
      <c r="E276" s="1">
        <f t="shared" si="8"/>
        <v>45961</v>
      </c>
      <c r="F276" t="s">
        <v>63</v>
      </c>
      <c r="G276">
        <v>10000</v>
      </c>
      <c r="H276">
        <v>0</v>
      </c>
      <c r="I276">
        <v>0</v>
      </c>
      <c r="J276">
        <f t="shared" ca="1" si="9"/>
        <v>0</v>
      </c>
    </row>
    <row r="277" spans="1:10">
      <c r="A277">
        <v>2025</v>
      </c>
      <c r="B277" t="s">
        <v>803</v>
      </c>
      <c r="C277" t="s">
        <v>714</v>
      </c>
      <c r="D277" t="s">
        <v>57</v>
      </c>
      <c r="E277" s="1">
        <f t="shared" si="8"/>
        <v>45991</v>
      </c>
      <c r="F277" t="s">
        <v>63</v>
      </c>
      <c r="G277">
        <v>10000</v>
      </c>
      <c r="H277">
        <v>10000</v>
      </c>
      <c r="I277">
        <v>0</v>
      </c>
      <c r="J277">
        <f t="shared" ca="1" si="9"/>
        <v>0</v>
      </c>
    </row>
    <row r="278" spans="1:10">
      <c r="A278">
        <v>2025</v>
      </c>
      <c r="B278" t="s">
        <v>803</v>
      </c>
      <c r="C278" t="s">
        <v>715</v>
      </c>
      <c r="D278" t="s">
        <v>57</v>
      </c>
      <c r="E278" s="1">
        <f t="shared" si="8"/>
        <v>46022</v>
      </c>
      <c r="F278" t="s">
        <v>63</v>
      </c>
      <c r="G278">
        <v>10000</v>
      </c>
      <c r="H278">
        <v>0</v>
      </c>
      <c r="I278">
        <v>0</v>
      </c>
      <c r="J278">
        <f t="shared" ca="1" si="9"/>
        <v>0</v>
      </c>
    </row>
    <row r="279" spans="1:10">
      <c r="A279">
        <v>2026</v>
      </c>
      <c r="B279" t="s">
        <v>1361</v>
      </c>
      <c r="C279" t="s">
        <v>716</v>
      </c>
      <c r="D279" t="s">
        <v>57</v>
      </c>
      <c r="E279" s="1">
        <f t="shared" si="8"/>
        <v>46053</v>
      </c>
      <c r="F279" t="s">
        <v>63</v>
      </c>
      <c r="G279">
        <v>10000</v>
      </c>
      <c r="H279">
        <v>10000</v>
      </c>
      <c r="I279">
        <v>0</v>
      </c>
      <c r="J279">
        <f t="shared" ca="1" si="9"/>
        <v>0</v>
      </c>
    </row>
    <row r="280" spans="1:10">
      <c r="A280">
        <v>2026</v>
      </c>
      <c r="B280" t="s">
        <v>1361</v>
      </c>
      <c r="C280" t="s">
        <v>717</v>
      </c>
      <c r="D280" t="s">
        <v>57</v>
      </c>
      <c r="E280" s="1">
        <f t="shared" si="8"/>
        <v>46081</v>
      </c>
      <c r="F280" t="s">
        <v>63</v>
      </c>
      <c r="G280">
        <v>10000</v>
      </c>
      <c r="H280">
        <v>0</v>
      </c>
      <c r="I280">
        <v>10000</v>
      </c>
      <c r="J280">
        <f t="shared" ca="1" si="9"/>
        <v>0</v>
      </c>
    </row>
    <row r="281" spans="1:10">
      <c r="A281">
        <v>2026</v>
      </c>
      <c r="B281" t="s">
        <v>1361</v>
      </c>
      <c r="C281" t="s">
        <v>718</v>
      </c>
      <c r="D281" t="s">
        <v>57</v>
      </c>
      <c r="E281" s="1">
        <f t="shared" si="8"/>
        <v>46112</v>
      </c>
      <c r="F281" t="s">
        <v>63</v>
      </c>
      <c r="G281">
        <v>10000</v>
      </c>
      <c r="H281">
        <v>0</v>
      </c>
      <c r="I281">
        <v>10000</v>
      </c>
      <c r="J281">
        <f t="shared" ca="1" si="9"/>
        <v>10000</v>
      </c>
    </row>
    <row r="282" spans="1:10">
      <c r="A282">
        <v>2026</v>
      </c>
      <c r="B282" t="s">
        <v>1362</v>
      </c>
      <c r="C282" t="s">
        <v>719</v>
      </c>
      <c r="D282" t="s">
        <v>57</v>
      </c>
      <c r="E282" s="1">
        <f t="shared" si="8"/>
        <v>46142</v>
      </c>
      <c r="F282" t="s">
        <v>63</v>
      </c>
      <c r="G282">
        <v>10000</v>
      </c>
      <c r="H282">
        <v>0</v>
      </c>
      <c r="I282">
        <v>10000</v>
      </c>
      <c r="J282">
        <f t="shared" ca="1" si="9"/>
        <v>10000</v>
      </c>
    </row>
    <row r="283" spans="1:10">
      <c r="A283">
        <v>2026</v>
      </c>
      <c r="B283" t="s">
        <v>1362</v>
      </c>
      <c r="C283" t="s">
        <v>720</v>
      </c>
      <c r="D283" t="s">
        <v>57</v>
      </c>
      <c r="E283" s="1">
        <f t="shared" si="8"/>
        <v>46173</v>
      </c>
      <c r="F283" t="s">
        <v>63</v>
      </c>
      <c r="G283">
        <v>10000</v>
      </c>
      <c r="H283">
        <v>0</v>
      </c>
      <c r="I283">
        <v>10000</v>
      </c>
      <c r="J283">
        <f t="shared" ca="1" si="9"/>
        <v>10000</v>
      </c>
    </row>
    <row r="284" spans="1:10">
      <c r="A284">
        <v>2026</v>
      </c>
      <c r="B284" t="s">
        <v>1362</v>
      </c>
      <c r="C284" t="s">
        <v>721</v>
      </c>
      <c r="D284" t="s">
        <v>57</v>
      </c>
      <c r="E284" s="1">
        <f t="shared" si="8"/>
        <v>46203</v>
      </c>
      <c r="F284" t="s">
        <v>63</v>
      </c>
      <c r="G284">
        <v>10000</v>
      </c>
      <c r="H284">
        <v>0</v>
      </c>
      <c r="I284">
        <v>10000</v>
      </c>
      <c r="J284">
        <f t="shared" ca="1" si="9"/>
        <v>10000</v>
      </c>
    </row>
    <row r="285" spans="1:10">
      <c r="A285">
        <v>2026</v>
      </c>
      <c r="B285" t="s">
        <v>1360</v>
      </c>
      <c r="C285" t="s">
        <v>710</v>
      </c>
      <c r="D285" t="s">
        <v>57</v>
      </c>
      <c r="E285" s="1">
        <f t="shared" si="8"/>
        <v>46234</v>
      </c>
      <c r="F285" t="s">
        <v>63</v>
      </c>
      <c r="G285">
        <v>10000</v>
      </c>
      <c r="H285">
        <v>0</v>
      </c>
      <c r="I285">
        <v>10000</v>
      </c>
      <c r="J285">
        <f t="shared" ca="1" si="9"/>
        <v>10000</v>
      </c>
    </row>
    <row r="286" spans="1:10">
      <c r="A286">
        <v>2026</v>
      </c>
      <c r="B286" t="s">
        <v>1360</v>
      </c>
      <c r="C286" t="s">
        <v>711</v>
      </c>
      <c r="D286" t="s">
        <v>57</v>
      </c>
      <c r="E286" s="1">
        <f t="shared" si="8"/>
        <v>46265</v>
      </c>
      <c r="F286" t="s">
        <v>63</v>
      </c>
      <c r="G286">
        <v>10000</v>
      </c>
      <c r="H286">
        <v>0</v>
      </c>
      <c r="I286">
        <v>10000</v>
      </c>
      <c r="J286">
        <f t="shared" ca="1" si="9"/>
        <v>10000</v>
      </c>
    </row>
    <row r="287" spans="1:10">
      <c r="A287">
        <v>2026</v>
      </c>
      <c r="B287" t="s">
        <v>1360</v>
      </c>
      <c r="C287" t="s">
        <v>712</v>
      </c>
      <c r="D287" t="s">
        <v>57</v>
      </c>
      <c r="E287" s="1">
        <f t="shared" si="8"/>
        <v>46295</v>
      </c>
      <c r="F287" t="s">
        <v>63</v>
      </c>
      <c r="G287">
        <v>10000</v>
      </c>
      <c r="H287">
        <v>0</v>
      </c>
      <c r="I287">
        <v>10000</v>
      </c>
      <c r="J287">
        <f t="shared" ca="1" si="9"/>
        <v>10000</v>
      </c>
    </row>
    <row r="288" spans="1:10">
      <c r="A288">
        <v>2026</v>
      </c>
      <c r="B288" t="s">
        <v>803</v>
      </c>
      <c r="C288" t="s">
        <v>713</v>
      </c>
      <c r="D288" t="s">
        <v>57</v>
      </c>
      <c r="E288" s="1">
        <f t="shared" si="8"/>
        <v>46326</v>
      </c>
      <c r="F288" t="s">
        <v>63</v>
      </c>
      <c r="G288">
        <v>10000</v>
      </c>
      <c r="H288">
        <v>0</v>
      </c>
      <c r="I288">
        <v>10000</v>
      </c>
      <c r="J288">
        <f t="shared" ca="1" si="9"/>
        <v>10000</v>
      </c>
    </row>
    <row r="289" spans="1:10">
      <c r="A289">
        <v>2026</v>
      </c>
      <c r="B289" t="s">
        <v>803</v>
      </c>
      <c r="C289" t="s">
        <v>714</v>
      </c>
      <c r="D289" t="s">
        <v>57</v>
      </c>
      <c r="E289" s="1">
        <f t="shared" si="8"/>
        <v>46356</v>
      </c>
      <c r="F289" t="s">
        <v>63</v>
      </c>
      <c r="G289">
        <v>10000</v>
      </c>
      <c r="H289">
        <v>0</v>
      </c>
      <c r="I289">
        <v>10000</v>
      </c>
      <c r="J289">
        <f t="shared" ca="1" si="9"/>
        <v>10000</v>
      </c>
    </row>
    <row r="290" spans="1:10">
      <c r="A290">
        <v>2026</v>
      </c>
      <c r="B290" t="s">
        <v>803</v>
      </c>
      <c r="C290" t="s">
        <v>715</v>
      </c>
      <c r="D290" t="s">
        <v>57</v>
      </c>
      <c r="E290" s="1">
        <f t="shared" si="8"/>
        <v>46387</v>
      </c>
      <c r="F290" t="s">
        <v>63</v>
      </c>
      <c r="G290">
        <v>10000</v>
      </c>
      <c r="H290">
        <v>0</v>
      </c>
      <c r="I290">
        <v>10000</v>
      </c>
      <c r="J290">
        <f t="shared" ca="1" si="9"/>
        <v>10000</v>
      </c>
    </row>
    <row r="291" spans="1:10">
      <c r="A291">
        <v>2025</v>
      </c>
      <c r="B291" t="s">
        <v>1360</v>
      </c>
      <c r="C291" t="s">
        <v>711</v>
      </c>
      <c r="D291" t="s">
        <v>57</v>
      </c>
      <c r="E291" s="1">
        <f t="shared" si="8"/>
        <v>45900</v>
      </c>
      <c r="F291" t="s">
        <v>80</v>
      </c>
      <c r="G291">
        <v>28000</v>
      </c>
      <c r="H291">
        <v>0</v>
      </c>
      <c r="I291">
        <v>0</v>
      </c>
      <c r="J291">
        <f t="shared" ca="1" si="9"/>
        <v>0</v>
      </c>
    </row>
    <row r="292" spans="1:10">
      <c r="A292">
        <v>2025</v>
      </c>
      <c r="B292" t="s">
        <v>1360</v>
      </c>
      <c r="C292" t="s">
        <v>712</v>
      </c>
      <c r="D292" t="s">
        <v>57</v>
      </c>
      <c r="E292" s="1">
        <f t="shared" si="8"/>
        <v>45930</v>
      </c>
      <c r="F292" t="s">
        <v>80</v>
      </c>
      <c r="G292">
        <v>42000</v>
      </c>
      <c r="H292">
        <v>0</v>
      </c>
      <c r="I292">
        <v>0</v>
      </c>
      <c r="J292">
        <f t="shared" ca="1" si="9"/>
        <v>0</v>
      </c>
    </row>
    <row r="293" spans="1:10">
      <c r="A293">
        <v>2025</v>
      </c>
      <c r="B293" t="s">
        <v>803</v>
      </c>
      <c r="C293" t="s">
        <v>713</v>
      </c>
      <c r="D293" t="s">
        <v>57</v>
      </c>
      <c r="E293" s="1">
        <f t="shared" si="8"/>
        <v>45961</v>
      </c>
      <c r="F293" t="s">
        <v>80</v>
      </c>
      <c r="G293">
        <v>56000</v>
      </c>
      <c r="H293">
        <v>80000</v>
      </c>
      <c r="I293">
        <v>0</v>
      </c>
      <c r="J293">
        <f t="shared" ca="1" si="9"/>
        <v>0</v>
      </c>
    </row>
    <row r="294" spans="1:10">
      <c r="A294">
        <v>2025</v>
      </c>
      <c r="B294" t="s">
        <v>803</v>
      </c>
      <c r="C294" t="s">
        <v>714</v>
      </c>
      <c r="D294" t="s">
        <v>57</v>
      </c>
      <c r="E294" s="1">
        <f t="shared" si="8"/>
        <v>45991</v>
      </c>
      <c r="F294" t="s">
        <v>80</v>
      </c>
      <c r="G294">
        <v>63000</v>
      </c>
      <c r="H294">
        <v>14000</v>
      </c>
      <c r="I294">
        <v>14000</v>
      </c>
      <c r="J294">
        <f t="shared" ca="1" si="9"/>
        <v>0</v>
      </c>
    </row>
    <row r="295" spans="1:10">
      <c r="A295">
        <v>2025</v>
      </c>
      <c r="B295" t="s">
        <v>803</v>
      </c>
      <c r="C295" t="s">
        <v>715</v>
      </c>
      <c r="D295" t="s">
        <v>57</v>
      </c>
      <c r="E295" s="1">
        <f t="shared" si="8"/>
        <v>46022</v>
      </c>
      <c r="F295" t="s">
        <v>80</v>
      </c>
      <c r="G295">
        <v>63000</v>
      </c>
      <c r="H295">
        <v>80000</v>
      </c>
      <c r="I295">
        <v>14000</v>
      </c>
      <c r="J295">
        <f t="shared" ca="1" si="9"/>
        <v>0</v>
      </c>
    </row>
    <row r="296" spans="1:10">
      <c r="A296">
        <v>2026</v>
      </c>
      <c r="B296" t="s">
        <v>1361</v>
      </c>
      <c r="C296" t="s">
        <v>716</v>
      </c>
      <c r="D296" t="s">
        <v>57</v>
      </c>
      <c r="E296" s="1">
        <f t="shared" si="8"/>
        <v>46053</v>
      </c>
      <c r="F296" t="s">
        <v>80</v>
      </c>
      <c r="G296">
        <v>63000</v>
      </c>
      <c r="H296">
        <v>80000</v>
      </c>
      <c r="I296">
        <v>14000</v>
      </c>
      <c r="J296">
        <f t="shared" ca="1" si="9"/>
        <v>0</v>
      </c>
    </row>
    <row r="297" spans="1:10">
      <c r="A297">
        <v>2026</v>
      </c>
      <c r="B297" t="s">
        <v>1361</v>
      </c>
      <c r="C297" t="s">
        <v>717</v>
      </c>
      <c r="D297" t="s">
        <v>57</v>
      </c>
      <c r="E297" s="1">
        <f t="shared" si="8"/>
        <v>46081</v>
      </c>
      <c r="F297" t="s">
        <v>80</v>
      </c>
      <c r="G297">
        <v>63000</v>
      </c>
      <c r="H297">
        <v>0</v>
      </c>
      <c r="I297">
        <v>150000</v>
      </c>
      <c r="J297">
        <f t="shared" ca="1" si="9"/>
        <v>0</v>
      </c>
    </row>
    <row r="298" spans="1:10">
      <c r="A298">
        <v>2026</v>
      </c>
      <c r="B298" t="s">
        <v>1361</v>
      </c>
      <c r="C298" t="s">
        <v>718</v>
      </c>
      <c r="D298" t="s">
        <v>57</v>
      </c>
      <c r="E298" s="1">
        <f t="shared" si="8"/>
        <v>46112</v>
      </c>
      <c r="F298" t="s">
        <v>80</v>
      </c>
      <c r="G298">
        <v>63000</v>
      </c>
      <c r="H298">
        <v>0</v>
      </c>
      <c r="I298">
        <v>150000</v>
      </c>
      <c r="J298">
        <f t="shared" ca="1" si="9"/>
        <v>150000</v>
      </c>
    </row>
    <row r="299" spans="1:10">
      <c r="A299">
        <v>2026</v>
      </c>
      <c r="B299" t="s">
        <v>1362</v>
      </c>
      <c r="C299" t="s">
        <v>719</v>
      </c>
      <c r="D299" t="s">
        <v>57</v>
      </c>
      <c r="E299" s="1">
        <f t="shared" si="8"/>
        <v>46142</v>
      </c>
      <c r="F299" t="s">
        <v>80</v>
      </c>
      <c r="G299">
        <v>63000</v>
      </c>
      <c r="H299">
        <v>0</v>
      </c>
      <c r="I299">
        <v>150000</v>
      </c>
      <c r="J299">
        <f t="shared" ca="1" si="9"/>
        <v>150000</v>
      </c>
    </row>
    <row r="300" spans="1:10">
      <c r="A300">
        <v>2026</v>
      </c>
      <c r="B300" t="s">
        <v>1362</v>
      </c>
      <c r="C300" t="s">
        <v>720</v>
      </c>
      <c r="D300" t="s">
        <v>57</v>
      </c>
      <c r="E300" s="1">
        <f t="shared" si="8"/>
        <v>46173</v>
      </c>
      <c r="F300" t="s">
        <v>80</v>
      </c>
      <c r="G300">
        <v>63000</v>
      </c>
      <c r="H300">
        <v>0</v>
      </c>
      <c r="I300">
        <v>21000</v>
      </c>
      <c r="J300">
        <f t="shared" ca="1" si="9"/>
        <v>21000</v>
      </c>
    </row>
    <row r="301" spans="1:10">
      <c r="A301">
        <v>2026</v>
      </c>
      <c r="B301" t="s">
        <v>1362</v>
      </c>
      <c r="C301" t="s">
        <v>721</v>
      </c>
      <c r="D301" t="s">
        <v>57</v>
      </c>
      <c r="E301" s="1">
        <f t="shared" si="8"/>
        <v>46203</v>
      </c>
      <c r="F301" t="s">
        <v>80</v>
      </c>
      <c r="G301">
        <v>63000</v>
      </c>
      <c r="H301">
        <v>0</v>
      </c>
      <c r="I301">
        <v>21000</v>
      </c>
      <c r="J301">
        <f t="shared" ca="1" si="9"/>
        <v>21000</v>
      </c>
    </row>
    <row r="302" spans="1:10">
      <c r="A302">
        <v>2026</v>
      </c>
      <c r="B302" t="s">
        <v>1360</v>
      </c>
      <c r="C302" t="s">
        <v>710</v>
      </c>
      <c r="D302" t="s">
        <v>57</v>
      </c>
      <c r="E302" s="1">
        <f t="shared" si="8"/>
        <v>46234</v>
      </c>
      <c r="F302" t="s">
        <v>80</v>
      </c>
      <c r="G302">
        <v>63000</v>
      </c>
      <c r="H302">
        <v>0</v>
      </c>
      <c r="I302">
        <v>21000</v>
      </c>
      <c r="J302">
        <f t="shared" ca="1" si="9"/>
        <v>21000</v>
      </c>
    </row>
    <row r="303" spans="1:10">
      <c r="A303">
        <v>2026</v>
      </c>
      <c r="B303" t="s">
        <v>1360</v>
      </c>
      <c r="C303" t="s">
        <v>711</v>
      </c>
      <c r="D303" t="s">
        <v>57</v>
      </c>
      <c r="E303" s="1">
        <f t="shared" si="8"/>
        <v>46265</v>
      </c>
      <c r="F303" t="s">
        <v>80</v>
      </c>
      <c r="G303">
        <v>63000</v>
      </c>
      <c r="H303">
        <v>0</v>
      </c>
      <c r="I303">
        <v>21000</v>
      </c>
      <c r="J303">
        <f t="shared" ca="1" si="9"/>
        <v>21000</v>
      </c>
    </row>
    <row r="304" spans="1:10">
      <c r="A304">
        <v>2026</v>
      </c>
      <c r="B304" t="s">
        <v>1360</v>
      </c>
      <c r="C304" t="s">
        <v>712</v>
      </c>
      <c r="D304" t="s">
        <v>57</v>
      </c>
      <c r="E304" s="1">
        <f t="shared" si="8"/>
        <v>46295</v>
      </c>
      <c r="F304" t="s">
        <v>80</v>
      </c>
      <c r="G304">
        <v>63000</v>
      </c>
      <c r="H304">
        <v>0</v>
      </c>
      <c r="I304">
        <v>21000</v>
      </c>
      <c r="J304">
        <f t="shared" ca="1" si="9"/>
        <v>21000</v>
      </c>
    </row>
    <row r="305" spans="1:10">
      <c r="A305">
        <v>2026</v>
      </c>
      <c r="B305" t="s">
        <v>803</v>
      </c>
      <c r="C305" t="s">
        <v>713</v>
      </c>
      <c r="D305" t="s">
        <v>57</v>
      </c>
      <c r="E305" s="1">
        <f t="shared" si="8"/>
        <v>46326</v>
      </c>
      <c r="F305" t="s">
        <v>80</v>
      </c>
      <c r="G305">
        <v>63000</v>
      </c>
      <c r="H305">
        <v>0</v>
      </c>
      <c r="I305">
        <v>21000</v>
      </c>
      <c r="J305">
        <f t="shared" ca="1" si="9"/>
        <v>21000</v>
      </c>
    </row>
    <row r="306" spans="1:10">
      <c r="A306">
        <v>2026</v>
      </c>
      <c r="B306" t="s">
        <v>803</v>
      </c>
      <c r="C306" t="s">
        <v>714</v>
      </c>
      <c r="D306" t="s">
        <v>57</v>
      </c>
      <c r="E306" s="1">
        <f t="shared" si="8"/>
        <v>46356</v>
      </c>
      <c r="F306" t="s">
        <v>80</v>
      </c>
      <c r="G306">
        <v>63000</v>
      </c>
      <c r="I306">
        <v>21000</v>
      </c>
      <c r="J306">
        <f t="shared" ca="1" si="9"/>
        <v>21000</v>
      </c>
    </row>
    <row r="307" spans="1:10">
      <c r="A307">
        <v>2026</v>
      </c>
      <c r="B307" t="s">
        <v>803</v>
      </c>
      <c r="C307" t="s">
        <v>715</v>
      </c>
      <c r="D307" t="s">
        <v>57</v>
      </c>
      <c r="E307" s="1">
        <f t="shared" si="8"/>
        <v>46387</v>
      </c>
      <c r="F307" t="s">
        <v>80</v>
      </c>
      <c r="G307">
        <v>63000</v>
      </c>
      <c r="H307">
        <v>0</v>
      </c>
      <c r="I307">
        <v>21000</v>
      </c>
      <c r="J307">
        <f t="shared" ca="1" si="9"/>
        <v>21000</v>
      </c>
    </row>
    <row r="308" spans="1:10">
      <c r="A308">
        <v>2025</v>
      </c>
      <c r="B308" t="s">
        <v>1360</v>
      </c>
      <c r="C308" t="s">
        <v>711</v>
      </c>
      <c r="D308" t="s">
        <v>57</v>
      </c>
      <c r="E308" s="1">
        <f t="shared" si="8"/>
        <v>45900</v>
      </c>
      <c r="F308" t="s">
        <v>59</v>
      </c>
      <c r="G308">
        <v>37500</v>
      </c>
      <c r="H308">
        <v>0</v>
      </c>
      <c r="I308">
        <v>0</v>
      </c>
      <c r="J308">
        <f t="shared" ca="1" si="9"/>
        <v>0</v>
      </c>
    </row>
    <row r="309" spans="1:10">
      <c r="A309">
        <v>2025</v>
      </c>
      <c r="B309" t="s">
        <v>1360</v>
      </c>
      <c r="C309" t="s">
        <v>712</v>
      </c>
      <c r="D309" t="s">
        <v>57</v>
      </c>
      <c r="E309" s="1">
        <f t="shared" si="8"/>
        <v>45930</v>
      </c>
      <c r="F309" t="s">
        <v>59</v>
      </c>
      <c r="G309">
        <v>52500</v>
      </c>
      <c r="H309">
        <v>80000</v>
      </c>
      <c r="I309">
        <v>0</v>
      </c>
      <c r="J309">
        <f t="shared" ca="1" si="9"/>
        <v>0</v>
      </c>
    </row>
    <row r="310" spans="1:10">
      <c r="A310">
        <v>2025</v>
      </c>
      <c r="B310" t="s">
        <v>803</v>
      </c>
      <c r="C310" t="s">
        <v>713</v>
      </c>
      <c r="D310" t="s">
        <v>57</v>
      </c>
      <c r="E310" s="1">
        <f t="shared" si="8"/>
        <v>45961</v>
      </c>
      <c r="F310" t="s">
        <v>59</v>
      </c>
      <c r="G310">
        <v>67500</v>
      </c>
      <c r="H310">
        <v>70000</v>
      </c>
      <c r="I310">
        <v>0</v>
      </c>
      <c r="J310">
        <f t="shared" ca="1" si="9"/>
        <v>0</v>
      </c>
    </row>
    <row r="311" spans="1:10">
      <c r="A311">
        <v>2025</v>
      </c>
      <c r="B311" t="s">
        <v>803</v>
      </c>
      <c r="C311" t="s">
        <v>714</v>
      </c>
      <c r="D311" t="s">
        <v>57</v>
      </c>
      <c r="E311" s="1">
        <f t="shared" si="8"/>
        <v>45991</v>
      </c>
      <c r="F311" t="s">
        <v>59</v>
      </c>
      <c r="G311">
        <v>82500</v>
      </c>
      <c r="H311">
        <v>8000</v>
      </c>
      <c r="I311">
        <v>7500</v>
      </c>
      <c r="J311">
        <f t="shared" ca="1" si="9"/>
        <v>0</v>
      </c>
    </row>
    <row r="312" spans="1:10">
      <c r="A312">
        <v>2025</v>
      </c>
      <c r="B312" t="s">
        <v>803</v>
      </c>
      <c r="C312" t="s">
        <v>715</v>
      </c>
      <c r="D312" t="s">
        <v>57</v>
      </c>
      <c r="E312" s="1">
        <f t="shared" si="8"/>
        <v>46022</v>
      </c>
      <c r="F312" t="s">
        <v>59</v>
      </c>
      <c r="G312">
        <v>90000</v>
      </c>
      <c r="H312">
        <v>100000</v>
      </c>
      <c r="I312">
        <v>22500</v>
      </c>
      <c r="J312">
        <f t="shared" ca="1" si="9"/>
        <v>0</v>
      </c>
    </row>
    <row r="313" spans="1:10">
      <c r="A313">
        <v>2026</v>
      </c>
      <c r="B313" t="s">
        <v>1361</v>
      </c>
      <c r="C313" t="s">
        <v>716</v>
      </c>
      <c r="D313" t="s">
        <v>57</v>
      </c>
      <c r="E313" s="1">
        <f t="shared" si="8"/>
        <v>46053</v>
      </c>
      <c r="F313" t="s">
        <v>59</v>
      </c>
      <c r="G313">
        <v>90000</v>
      </c>
      <c r="H313">
        <v>0</v>
      </c>
      <c r="I313">
        <v>30000</v>
      </c>
      <c r="J313">
        <f t="shared" ca="1" si="9"/>
        <v>0</v>
      </c>
    </row>
    <row r="314" spans="1:10">
      <c r="A314">
        <v>2026</v>
      </c>
      <c r="B314" t="s">
        <v>1361</v>
      </c>
      <c r="C314" t="s">
        <v>717</v>
      </c>
      <c r="D314" t="s">
        <v>57</v>
      </c>
      <c r="E314" s="1">
        <f t="shared" si="8"/>
        <v>46081</v>
      </c>
      <c r="F314" t="s">
        <v>59</v>
      </c>
      <c r="G314">
        <v>90000</v>
      </c>
      <c r="H314">
        <v>0</v>
      </c>
      <c r="I314">
        <v>150000</v>
      </c>
      <c r="J314">
        <f t="shared" ca="1" si="9"/>
        <v>0</v>
      </c>
    </row>
    <row r="315" spans="1:10">
      <c r="A315">
        <v>2026</v>
      </c>
      <c r="B315" t="s">
        <v>1361</v>
      </c>
      <c r="C315" t="s">
        <v>718</v>
      </c>
      <c r="D315" t="s">
        <v>57</v>
      </c>
      <c r="E315" s="1">
        <f t="shared" si="8"/>
        <v>46112</v>
      </c>
      <c r="F315" t="s">
        <v>59</v>
      </c>
      <c r="G315">
        <v>90000</v>
      </c>
      <c r="H315">
        <v>0</v>
      </c>
      <c r="I315">
        <v>150000</v>
      </c>
      <c r="J315">
        <f t="shared" ca="1" si="9"/>
        <v>150000</v>
      </c>
    </row>
    <row r="316" spans="1:10">
      <c r="A316">
        <v>2026</v>
      </c>
      <c r="B316" t="s">
        <v>1362</v>
      </c>
      <c r="C316" t="s">
        <v>719</v>
      </c>
      <c r="D316" t="s">
        <v>57</v>
      </c>
      <c r="E316" s="1">
        <f t="shared" si="8"/>
        <v>46142</v>
      </c>
      <c r="F316" t="s">
        <v>59</v>
      </c>
      <c r="G316">
        <v>90000</v>
      </c>
      <c r="H316">
        <v>0</v>
      </c>
      <c r="I316">
        <v>150000</v>
      </c>
      <c r="J316">
        <f t="shared" ca="1" si="9"/>
        <v>150000</v>
      </c>
    </row>
    <row r="317" spans="1:10">
      <c r="A317">
        <v>2026</v>
      </c>
      <c r="B317" t="s">
        <v>1362</v>
      </c>
      <c r="C317" t="s">
        <v>720</v>
      </c>
      <c r="D317" t="s">
        <v>57</v>
      </c>
      <c r="E317" s="1">
        <f t="shared" si="8"/>
        <v>46173</v>
      </c>
      <c r="F317" t="s">
        <v>59</v>
      </c>
      <c r="G317">
        <v>90000</v>
      </c>
      <c r="H317">
        <v>0</v>
      </c>
      <c r="I317">
        <v>30000</v>
      </c>
      <c r="J317">
        <f t="shared" ca="1" si="9"/>
        <v>30000</v>
      </c>
    </row>
    <row r="318" spans="1:10">
      <c r="A318">
        <v>2026</v>
      </c>
      <c r="B318" t="s">
        <v>1362</v>
      </c>
      <c r="C318" t="s">
        <v>721</v>
      </c>
      <c r="D318" t="s">
        <v>57</v>
      </c>
      <c r="E318" s="1">
        <f t="shared" si="8"/>
        <v>46203</v>
      </c>
      <c r="F318" t="s">
        <v>59</v>
      </c>
      <c r="G318">
        <v>90000</v>
      </c>
      <c r="H318">
        <v>0</v>
      </c>
      <c r="I318">
        <v>30000</v>
      </c>
      <c r="J318">
        <f t="shared" ca="1" si="9"/>
        <v>30000</v>
      </c>
    </row>
    <row r="319" spans="1:10">
      <c r="A319">
        <v>2026</v>
      </c>
      <c r="B319" t="s">
        <v>1360</v>
      </c>
      <c r="C319" t="s">
        <v>710</v>
      </c>
      <c r="D319" t="s">
        <v>57</v>
      </c>
      <c r="E319" s="1">
        <f t="shared" si="8"/>
        <v>46234</v>
      </c>
      <c r="F319" t="s">
        <v>59</v>
      </c>
      <c r="G319">
        <v>90000</v>
      </c>
      <c r="H319">
        <v>0</v>
      </c>
      <c r="I319">
        <v>30000</v>
      </c>
      <c r="J319">
        <f t="shared" ca="1" si="9"/>
        <v>30000</v>
      </c>
    </row>
    <row r="320" spans="1:10">
      <c r="A320">
        <v>2026</v>
      </c>
      <c r="B320" t="s">
        <v>1360</v>
      </c>
      <c r="C320" t="s">
        <v>711</v>
      </c>
      <c r="D320" t="s">
        <v>57</v>
      </c>
      <c r="E320" s="1">
        <f t="shared" si="8"/>
        <v>46265</v>
      </c>
      <c r="F320" t="s">
        <v>59</v>
      </c>
      <c r="G320">
        <v>90000</v>
      </c>
      <c r="H320">
        <v>0</v>
      </c>
      <c r="I320">
        <v>30000</v>
      </c>
      <c r="J320">
        <f t="shared" ca="1" si="9"/>
        <v>30000</v>
      </c>
    </row>
    <row r="321" spans="1:10">
      <c r="A321">
        <v>2026</v>
      </c>
      <c r="B321" t="s">
        <v>1360</v>
      </c>
      <c r="C321" t="s">
        <v>712</v>
      </c>
      <c r="D321" t="s">
        <v>57</v>
      </c>
      <c r="E321" s="1">
        <f t="shared" si="8"/>
        <v>46295</v>
      </c>
      <c r="F321" t="s">
        <v>59</v>
      </c>
      <c r="G321">
        <v>90000</v>
      </c>
      <c r="H321">
        <v>0</v>
      </c>
      <c r="I321">
        <v>30000</v>
      </c>
      <c r="J321">
        <f t="shared" ca="1" si="9"/>
        <v>30000</v>
      </c>
    </row>
    <row r="322" spans="1:10">
      <c r="A322">
        <v>2026</v>
      </c>
      <c r="B322" t="s">
        <v>803</v>
      </c>
      <c r="C322" t="s">
        <v>713</v>
      </c>
      <c r="D322" t="s">
        <v>57</v>
      </c>
      <c r="E322" s="1">
        <f t="shared" si="8"/>
        <v>46326</v>
      </c>
      <c r="F322" t="s">
        <v>59</v>
      </c>
      <c r="G322">
        <v>90000</v>
      </c>
      <c r="H322">
        <v>0</v>
      </c>
      <c r="I322">
        <v>30000</v>
      </c>
      <c r="J322">
        <f t="shared" ca="1" si="9"/>
        <v>30000</v>
      </c>
    </row>
    <row r="323" spans="1:10">
      <c r="A323">
        <v>2026</v>
      </c>
      <c r="B323" t="s">
        <v>803</v>
      </c>
      <c r="C323" t="s">
        <v>714</v>
      </c>
      <c r="D323" t="s">
        <v>57</v>
      </c>
      <c r="E323" s="1">
        <f t="shared" ref="E323:E386" si="10">EOMONTH(DATE(A323, MONTH(1 &amp; C323), 1), 0)</f>
        <v>46356</v>
      </c>
      <c r="F323" t="s">
        <v>59</v>
      </c>
      <c r="G323">
        <v>90000</v>
      </c>
      <c r="I323">
        <v>30000</v>
      </c>
      <c r="J323">
        <f t="shared" ref="J323:J386" ca="1" si="11">IF(E323&lt;TODAY(),0,I323)</f>
        <v>30000</v>
      </c>
    </row>
    <row r="324" spans="1:10">
      <c r="A324">
        <v>2026</v>
      </c>
      <c r="B324" t="s">
        <v>803</v>
      </c>
      <c r="C324" t="s">
        <v>715</v>
      </c>
      <c r="D324" t="s">
        <v>57</v>
      </c>
      <c r="E324" s="1">
        <f t="shared" si="10"/>
        <v>46387</v>
      </c>
      <c r="F324" t="s">
        <v>59</v>
      </c>
      <c r="G324">
        <v>90000</v>
      </c>
      <c r="H324">
        <v>0</v>
      </c>
      <c r="I324">
        <v>30000</v>
      </c>
      <c r="J324">
        <f t="shared" ca="1" si="11"/>
        <v>30000</v>
      </c>
    </row>
    <row r="325" spans="1:10">
      <c r="A325">
        <v>2025</v>
      </c>
      <c r="B325" t="s">
        <v>1360</v>
      </c>
      <c r="C325" t="s">
        <v>711</v>
      </c>
      <c r="D325" t="s">
        <v>57</v>
      </c>
      <c r="E325" s="1">
        <f t="shared" si="10"/>
        <v>45900</v>
      </c>
      <c r="F325" t="s">
        <v>114</v>
      </c>
      <c r="G325">
        <v>38500</v>
      </c>
      <c r="H325">
        <v>0</v>
      </c>
      <c r="I325">
        <v>0</v>
      </c>
      <c r="J325">
        <f t="shared" ca="1" si="11"/>
        <v>0</v>
      </c>
    </row>
    <row r="326" spans="1:10">
      <c r="A326">
        <v>2025</v>
      </c>
      <c r="B326" t="s">
        <v>1360</v>
      </c>
      <c r="C326" t="s">
        <v>712</v>
      </c>
      <c r="D326" t="s">
        <v>57</v>
      </c>
      <c r="E326" s="1">
        <f t="shared" si="10"/>
        <v>45930</v>
      </c>
      <c r="F326" t="s">
        <v>114</v>
      </c>
      <c r="G326">
        <v>49500</v>
      </c>
      <c r="H326">
        <v>5500</v>
      </c>
      <c r="I326">
        <v>0</v>
      </c>
      <c r="J326">
        <f t="shared" ca="1" si="11"/>
        <v>0</v>
      </c>
    </row>
    <row r="327" spans="1:10">
      <c r="A327">
        <v>2025</v>
      </c>
      <c r="B327" t="s">
        <v>803</v>
      </c>
      <c r="C327" t="s">
        <v>713</v>
      </c>
      <c r="D327" t="s">
        <v>57</v>
      </c>
      <c r="E327" s="1">
        <f t="shared" si="10"/>
        <v>45961</v>
      </c>
      <c r="F327" t="s">
        <v>114</v>
      </c>
      <c r="G327">
        <v>60500</v>
      </c>
      <c r="H327">
        <v>5500</v>
      </c>
      <c r="I327">
        <v>0</v>
      </c>
      <c r="J327">
        <f t="shared" ca="1" si="11"/>
        <v>0</v>
      </c>
    </row>
    <row r="328" spans="1:10">
      <c r="A328">
        <v>2025</v>
      </c>
      <c r="B328" t="s">
        <v>803</v>
      </c>
      <c r="C328" t="s">
        <v>714</v>
      </c>
      <c r="D328" t="s">
        <v>57</v>
      </c>
      <c r="E328" s="1">
        <f t="shared" si="10"/>
        <v>45991</v>
      </c>
      <c r="F328" t="s">
        <v>114</v>
      </c>
      <c r="G328">
        <v>71500</v>
      </c>
      <c r="H328">
        <v>11000</v>
      </c>
      <c r="I328">
        <v>11000</v>
      </c>
      <c r="J328">
        <f t="shared" ca="1" si="11"/>
        <v>0</v>
      </c>
    </row>
    <row r="329" spans="1:10">
      <c r="A329">
        <v>2025</v>
      </c>
      <c r="B329" t="s">
        <v>803</v>
      </c>
      <c r="C329" t="s">
        <v>715</v>
      </c>
      <c r="D329" t="s">
        <v>57</v>
      </c>
      <c r="E329" s="1">
        <f t="shared" si="10"/>
        <v>46022</v>
      </c>
      <c r="F329" t="s">
        <v>114</v>
      </c>
      <c r="G329">
        <v>82500</v>
      </c>
      <c r="H329">
        <v>150000</v>
      </c>
      <c r="I329">
        <v>16500</v>
      </c>
      <c r="J329">
        <f t="shared" ca="1" si="11"/>
        <v>0</v>
      </c>
    </row>
    <row r="330" spans="1:10">
      <c r="A330">
        <v>2026</v>
      </c>
      <c r="B330" t="s">
        <v>1361</v>
      </c>
      <c r="C330" t="s">
        <v>716</v>
      </c>
      <c r="D330" t="s">
        <v>57</v>
      </c>
      <c r="E330" s="1">
        <f t="shared" si="10"/>
        <v>46053</v>
      </c>
      <c r="F330" t="s">
        <v>114</v>
      </c>
      <c r="G330">
        <v>82500</v>
      </c>
      <c r="H330">
        <v>120000</v>
      </c>
      <c r="I330">
        <v>27500</v>
      </c>
      <c r="J330">
        <f t="shared" ca="1" si="11"/>
        <v>0</v>
      </c>
    </row>
    <row r="331" spans="1:10">
      <c r="A331">
        <v>2026</v>
      </c>
      <c r="B331" t="s">
        <v>1361</v>
      </c>
      <c r="C331" t="s">
        <v>717</v>
      </c>
      <c r="D331" t="s">
        <v>57</v>
      </c>
      <c r="E331" s="1">
        <f t="shared" si="10"/>
        <v>46081</v>
      </c>
      <c r="F331" t="s">
        <v>114</v>
      </c>
      <c r="G331">
        <v>82500</v>
      </c>
      <c r="H331">
        <v>0</v>
      </c>
      <c r="I331">
        <v>38500</v>
      </c>
      <c r="J331">
        <f t="shared" ca="1" si="11"/>
        <v>0</v>
      </c>
    </row>
    <row r="332" spans="1:10">
      <c r="A332">
        <v>2026</v>
      </c>
      <c r="B332" t="s">
        <v>1361</v>
      </c>
      <c r="C332" t="s">
        <v>718</v>
      </c>
      <c r="D332" t="s">
        <v>57</v>
      </c>
      <c r="E332" s="1">
        <f t="shared" si="10"/>
        <v>46112</v>
      </c>
      <c r="F332" t="s">
        <v>114</v>
      </c>
      <c r="G332">
        <v>82500</v>
      </c>
      <c r="H332">
        <v>0</v>
      </c>
      <c r="I332">
        <v>38500</v>
      </c>
      <c r="J332">
        <f t="shared" ca="1" si="11"/>
        <v>38500</v>
      </c>
    </row>
    <row r="333" spans="1:10">
      <c r="A333">
        <v>2026</v>
      </c>
      <c r="B333" t="s">
        <v>1362</v>
      </c>
      <c r="C333" t="s">
        <v>719</v>
      </c>
      <c r="D333" t="s">
        <v>57</v>
      </c>
      <c r="E333" s="1">
        <f t="shared" si="10"/>
        <v>46142</v>
      </c>
      <c r="F333" t="s">
        <v>114</v>
      </c>
      <c r="G333">
        <v>82500</v>
      </c>
      <c r="H333">
        <v>0</v>
      </c>
      <c r="I333">
        <v>38500</v>
      </c>
      <c r="J333">
        <f t="shared" ca="1" si="11"/>
        <v>38500</v>
      </c>
    </row>
    <row r="334" spans="1:10">
      <c r="A334">
        <v>2026</v>
      </c>
      <c r="B334" t="s">
        <v>1362</v>
      </c>
      <c r="C334" t="s">
        <v>720</v>
      </c>
      <c r="D334" t="s">
        <v>57</v>
      </c>
      <c r="E334" s="1">
        <f t="shared" si="10"/>
        <v>46173</v>
      </c>
      <c r="F334" t="s">
        <v>114</v>
      </c>
      <c r="G334">
        <v>82500</v>
      </c>
      <c r="H334">
        <v>0</v>
      </c>
      <c r="I334">
        <v>38500</v>
      </c>
      <c r="J334">
        <f t="shared" ca="1" si="11"/>
        <v>38500</v>
      </c>
    </row>
    <row r="335" spans="1:10">
      <c r="A335">
        <v>2026</v>
      </c>
      <c r="B335" t="s">
        <v>1362</v>
      </c>
      <c r="C335" t="s">
        <v>721</v>
      </c>
      <c r="D335" t="s">
        <v>57</v>
      </c>
      <c r="E335" s="1">
        <f t="shared" si="10"/>
        <v>46203</v>
      </c>
      <c r="F335" t="s">
        <v>114</v>
      </c>
      <c r="G335">
        <v>82500</v>
      </c>
      <c r="H335">
        <v>0</v>
      </c>
      <c r="I335">
        <v>38500</v>
      </c>
      <c r="J335">
        <f t="shared" ca="1" si="11"/>
        <v>38500</v>
      </c>
    </row>
    <row r="336" spans="1:10">
      <c r="A336">
        <v>2026</v>
      </c>
      <c r="B336" t="s">
        <v>1360</v>
      </c>
      <c r="C336" t="s">
        <v>710</v>
      </c>
      <c r="D336" t="s">
        <v>57</v>
      </c>
      <c r="E336" s="1">
        <f t="shared" si="10"/>
        <v>46234</v>
      </c>
      <c r="F336" t="s">
        <v>114</v>
      </c>
      <c r="G336">
        <v>82500</v>
      </c>
      <c r="H336">
        <v>0</v>
      </c>
      <c r="I336">
        <v>38500</v>
      </c>
      <c r="J336">
        <f t="shared" ca="1" si="11"/>
        <v>38500</v>
      </c>
    </row>
    <row r="337" spans="1:10">
      <c r="A337">
        <v>2026</v>
      </c>
      <c r="B337" t="s">
        <v>1360</v>
      </c>
      <c r="C337" t="s">
        <v>711</v>
      </c>
      <c r="D337" t="s">
        <v>57</v>
      </c>
      <c r="E337" s="1">
        <f t="shared" si="10"/>
        <v>46265</v>
      </c>
      <c r="F337" t="s">
        <v>114</v>
      </c>
      <c r="G337">
        <v>82500</v>
      </c>
      <c r="H337">
        <v>0</v>
      </c>
      <c r="I337">
        <v>38500</v>
      </c>
      <c r="J337">
        <f t="shared" ca="1" si="11"/>
        <v>38500</v>
      </c>
    </row>
    <row r="338" spans="1:10">
      <c r="A338">
        <v>2026</v>
      </c>
      <c r="B338" t="s">
        <v>1360</v>
      </c>
      <c r="C338" t="s">
        <v>712</v>
      </c>
      <c r="D338" t="s">
        <v>57</v>
      </c>
      <c r="E338" s="1">
        <f t="shared" si="10"/>
        <v>46295</v>
      </c>
      <c r="F338" t="s">
        <v>114</v>
      </c>
      <c r="G338">
        <v>82500</v>
      </c>
      <c r="H338">
        <v>0</v>
      </c>
      <c r="I338">
        <v>38500</v>
      </c>
      <c r="J338">
        <f t="shared" ca="1" si="11"/>
        <v>38500</v>
      </c>
    </row>
    <row r="339" spans="1:10">
      <c r="A339">
        <v>2026</v>
      </c>
      <c r="B339" t="s">
        <v>803</v>
      </c>
      <c r="C339" t="s">
        <v>713</v>
      </c>
      <c r="D339" t="s">
        <v>57</v>
      </c>
      <c r="E339" s="1">
        <f t="shared" si="10"/>
        <v>46326</v>
      </c>
      <c r="F339" t="s">
        <v>114</v>
      </c>
      <c r="G339">
        <v>82500</v>
      </c>
      <c r="H339">
        <v>0</v>
      </c>
      <c r="I339">
        <v>38500</v>
      </c>
      <c r="J339">
        <f t="shared" ca="1" si="11"/>
        <v>38500</v>
      </c>
    </row>
    <row r="340" spans="1:10">
      <c r="A340">
        <v>2026</v>
      </c>
      <c r="B340" t="s">
        <v>803</v>
      </c>
      <c r="C340" t="s">
        <v>714</v>
      </c>
      <c r="D340" t="s">
        <v>57</v>
      </c>
      <c r="E340" s="1">
        <f t="shared" si="10"/>
        <v>46356</v>
      </c>
      <c r="F340" t="s">
        <v>114</v>
      </c>
      <c r="G340">
        <v>82500</v>
      </c>
      <c r="I340">
        <v>38500</v>
      </c>
      <c r="J340">
        <f t="shared" ca="1" si="11"/>
        <v>38500</v>
      </c>
    </row>
    <row r="341" spans="1:10">
      <c r="A341">
        <v>2026</v>
      </c>
      <c r="B341" t="s">
        <v>803</v>
      </c>
      <c r="C341" t="s">
        <v>715</v>
      </c>
      <c r="D341" t="s">
        <v>57</v>
      </c>
      <c r="E341" s="1">
        <f t="shared" si="10"/>
        <v>46387</v>
      </c>
      <c r="F341" t="s">
        <v>114</v>
      </c>
      <c r="G341">
        <v>82500</v>
      </c>
      <c r="H341">
        <v>0</v>
      </c>
      <c r="I341">
        <v>38500</v>
      </c>
      <c r="J341">
        <f t="shared" ca="1" si="11"/>
        <v>38500</v>
      </c>
    </row>
    <row r="342" spans="1:10">
      <c r="A342">
        <v>2025</v>
      </c>
      <c r="B342" t="s">
        <v>1360</v>
      </c>
      <c r="C342" t="s">
        <v>711</v>
      </c>
      <c r="D342" t="s">
        <v>49</v>
      </c>
      <c r="E342" s="1">
        <f t="shared" si="10"/>
        <v>45900</v>
      </c>
      <c r="F342" t="s">
        <v>51</v>
      </c>
      <c r="G342">
        <v>40000</v>
      </c>
      <c r="H342">
        <v>0</v>
      </c>
      <c r="I342">
        <v>0</v>
      </c>
      <c r="J342">
        <f t="shared" ca="1" si="11"/>
        <v>0</v>
      </c>
    </row>
    <row r="343" spans="1:10">
      <c r="A343">
        <v>2025</v>
      </c>
      <c r="B343" t="s">
        <v>1360</v>
      </c>
      <c r="C343" t="s">
        <v>712</v>
      </c>
      <c r="D343" t="s">
        <v>49</v>
      </c>
      <c r="E343" s="1">
        <f t="shared" si="10"/>
        <v>45930</v>
      </c>
      <c r="F343" t="s">
        <v>51</v>
      </c>
      <c r="G343">
        <v>48000</v>
      </c>
      <c r="H343">
        <v>60000</v>
      </c>
      <c r="I343">
        <v>0</v>
      </c>
      <c r="J343">
        <f t="shared" ca="1" si="11"/>
        <v>0</v>
      </c>
    </row>
    <row r="344" spans="1:10">
      <c r="A344">
        <v>2025</v>
      </c>
      <c r="B344" t="s">
        <v>803</v>
      </c>
      <c r="C344" t="s">
        <v>713</v>
      </c>
      <c r="D344" t="s">
        <v>49</v>
      </c>
      <c r="E344" s="1">
        <f t="shared" si="10"/>
        <v>45961</v>
      </c>
      <c r="F344" t="s">
        <v>51</v>
      </c>
      <c r="G344">
        <v>56000</v>
      </c>
      <c r="H344">
        <v>80000</v>
      </c>
      <c r="I344">
        <v>0</v>
      </c>
      <c r="J344">
        <f t="shared" ca="1" si="11"/>
        <v>0</v>
      </c>
    </row>
    <row r="345" spans="1:10">
      <c r="A345">
        <v>2025</v>
      </c>
      <c r="B345" t="s">
        <v>803</v>
      </c>
      <c r="C345" t="s">
        <v>714</v>
      </c>
      <c r="D345" t="s">
        <v>49</v>
      </c>
      <c r="E345" s="1">
        <f t="shared" si="10"/>
        <v>45991</v>
      </c>
      <c r="F345" t="s">
        <v>51</v>
      </c>
      <c r="G345">
        <v>56000</v>
      </c>
      <c r="H345">
        <v>8000</v>
      </c>
      <c r="I345">
        <v>8000</v>
      </c>
      <c r="J345">
        <f t="shared" ca="1" si="11"/>
        <v>0</v>
      </c>
    </row>
    <row r="346" spans="1:10">
      <c r="A346">
        <v>2025</v>
      </c>
      <c r="B346" t="s">
        <v>803</v>
      </c>
      <c r="C346" t="s">
        <v>715</v>
      </c>
      <c r="D346" t="s">
        <v>49</v>
      </c>
      <c r="E346" s="1">
        <f t="shared" si="10"/>
        <v>46022</v>
      </c>
      <c r="F346" t="s">
        <v>51</v>
      </c>
      <c r="G346">
        <v>56000</v>
      </c>
      <c r="H346">
        <v>0</v>
      </c>
      <c r="I346">
        <v>8000</v>
      </c>
      <c r="J346">
        <f t="shared" ca="1" si="11"/>
        <v>0</v>
      </c>
    </row>
    <row r="347" spans="1:10">
      <c r="A347">
        <v>2026</v>
      </c>
      <c r="B347" t="s">
        <v>1361</v>
      </c>
      <c r="C347" t="s">
        <v>716</v>
      </c>
      <c r="D347" t="s">
        <v>49</v>
      </c>
      <c r="E347" s="1">
        <f t="shared" si="10"/>
        <v>46053</v>
      </c>
      <c r="F347" t="s">
        <v>51</v>
      </c>
      <c r="G347">
        <v>56000</v>
      </c>
      <c r="H347">
        <v>100000</v>
      </c>
      <c r="I347">
        <v>16000</v>
      </c>
      <c r="J347">
        <f t="shared" ca="1" si="11"/>
        <v>0</v>
      </c>
    </row>
    <row r="348" spans="1:10">
      <c r="A348">
        <v>2026</v>
      </c>
      <c r="B348" t="s">
        <v>1361</v>
      </c>
      <c r="C348" t="s">
        <v>717</v>
      </c>
      <c r="D348" t="s">
        <v>49</v>
      </c>
      <c r="E348" s="1">
        <f t="shared" si="10"/>
        <v>46081</v>
      </c>
      <c r="F348" t="s">
        <v>51</v>
      </c>
      <c r="G348">
        <v>56000</v>
      </c>
      <c r="H348">
        <v>0</v>
      </c>
      <c r="I348">
        <v>150000</v>
      </c>
      <c r="J348">
        <f t="shared" ca="1" si="11"/>
        <v>0</v>
      </c>
    </row>
    <row r="349" spans="1:10">
      <c r="A349">
        <v>2026</v>
      </c>
      <c r="B349" t="s">
        <v>1361</v>
      </c>
      <c r="C349" t="s">
        <v>718</v>
      </c>
      <c r="D349" t="s">
        <v>49</v>
      </c>
      <c r="E349" s="1">
        <f t="shared" si="10"/>
        <v>46112</v>
      </c>
      <c r="F349" t="s">
        <v>51</v>
      </c>
      <c r="G349">
        <v>56000</v>
      </c>
      <c r="H349">
        <v>0</v>
      </c>
      <c r="I349">
        <v>150000</v>
      </c>
      <c r="J349">
        <f t="shared" ca="1" si="11"/>
        <v>150000</v>
      </c>
    </row>
    <row r="350" spans="1:10">
      <c r="A350">
        <v>2026</v>
      </c>
      <c r="B350" t="s">
        <v>1362</v>
      </c>
      <c r="C350" t="s">
        <v>719</v>
      </c>
      <c r="D350" t="s">
        <v>49</v>
      </c>
      <c r="E350" s="1">
        <f t="shared" si="10"/>
        <v>46142</v>
      </c>
      <c r="F350" t="s">
        <v>51</v>
      </c>
      <c r="G350">
        <v>56000</v>
      </c>
      <c r="H350">
        <v>0</v>
      </c>
      <c r="I350">
        <v>150000</v>
      </c>
      <c r="J350">
        <f t="shared" ca="1" si="11"/>
        <v>150000</v>
      </c>
    </row>
    <row r="351" spans="1:10">
      <c r="A351">
        <v>2026</v>
      </c>
      <c r="B351" t="s">
        <v>1362</v>
      </c>
      <c r="C351" t="s">
        <v>720</v>
      </c>
      <c r="D351" t="s">
        <v>49</v>
      </c>
      <c r="E351" s="1">
        <f t="shared" si="10"/>
        <v>46173</v>
      </c>
      <c r="F351" t="s">
        <v>51</v>
      </c>
      <c r="G351">
        <v>56000</v>
      </c>
      <c r="H351">
        <v>0</v>
      </c>
      <c r="I351">
        <v>24000</v>
      </c>
      <c r="J351">
        <f t="shared" ca="1" si="11"/>
        <v>24000</v>
      </c>
    </row>
    <row r="352" spans="1:10">
      <c r="A352">
        <v>2026</v>
      </c>
      <c r="B352" t="s">
        <v>1362</v>
      </c>
      <c r="C352" t="s">
        <v>721</v>
      </c>
      <c r="D352" t="s">
        <v>49</v>
      </c>
      <c r="E352" s="1">
        <f t="shared" si="10"/>
        <v>46203</v>
      </c>
      <c r="F352" t="s">
        <v>51</v>
      </c>
      <c r="G352">
        <v>56000</v>
      </c>
      <c r="H352">
        <v>0</v>
      </c>
      <c r="I352">
        <v>24000</v>
      </c>
      <c r="J352">
        <f t="shared" ca="1" si="11"/>
        <v>24000</v>
      </c>
    </row>
    <row r="353" spans="1:10">
      <c r="A353">
        <v>2026</v>
      </c>
      <c r="B353" t="s">
        <v>1360</v>
      </c>
      <c r="C353" t="s">
        <v>710</v>
      </c>
      <c r="D353" t="s">
        <v>49</v>
      </c>
      <c r="E353" s="1">
        <f t="shared" si="10"/>
        <v>46234</v>
      </c>
      <c r="F353" t="s">
        <v>51</v>
      </c>
      <c r="G353">
        <v>56000</v>
      </c>
      <c r="H353">
        <v>0</v>
      </c>
      <c r="I353">
        <v>24000</v>
      </c>
      <c r="J353">
        <f t="shared" ca="1" si="11"/>
        <v>24000</v>
      </c>
    </row>
    <row r="354" spans="1:10">
      <c r="A354">
        <v>2026</v>
      </c>
      <c r="B354" t="s">
        <v>1360</v>
      </c>
      <c r="C354" t="s">
        <v>711</v>
      </c>
      <c r="D354" t="s">
        <v>49</v>
      </c>
      <c r="E354" s="1">
        <f t="shared" si="10"/>
        <v>46265</v>
      </c>
      <c r="F354" t="s">
        <v>51</v>
      </c>
      <c r="G354">
        <v>56000</v>
      </c>
      <c r="H354">
        <v>0</v>
      </c>
      <c r="I354">
        <v>24000</v>
      </c>
      <c r="J354">
        <f t="shared" ca="1" si="11"/>
        <v>24000</v>
      </c>
    </row>
    <row r="355" spans="1:10">
      <c r="A355">
        <v>2026</v>
      </c>
      <c r="B355" t="s">
        <v>1360</v>
      </c>
      <c r="C355" t="s">
        <v>712</v>
      </c>
      <c r="D355" t="s">
        <v>49</v>
      </c>
      <c r="E355" s="1">
        <f t="shared" si="10"/>
        <v>46295</v>
      </c>
      <c r="F355" t="s">
        <v>51</v>
      </c>
      <c r="G355">
        <v>56000</v>
      </c>
      <c r="H355">
        <v>0</v>
      </c>
      <c r="I355">
        <v>24000</v>
      </c>
      <c r="J355">
        <f t="shared" ca="1" si="11"/>
        <v>24000</v>
      </c>
    </row>
    <row r="356" spans="1:10">
      <c r="A356">
        <v>2026</v>
      </c>
      <c r="B356" t="s">
        <v>803</v>
      </c>
      <c r="C356" t="s">
        <v>713</v>
      </c>
      <c r="D356" t="s">
        <v>49</v>
      </c>
      <c r="E356" s="1">
        <f t="shared" si="10"/>
        <v>46326</v>
      </c>
      <c r="F356" t="s">
        <v>51</v>
      </c>
      <c r="G356">
        <v>56000</v>
      </c>
      <c r="H356">
        <v>0</v>
      </c>
      <c r="I356">
        <v>24000</v>
      </c>
      <c r="J356">
        <f t="shared" ca="1" si="11"/>
        <v>24000</v>
      </c>
    </row>
    <row r="357" spans="1:10">
      <c r="A357">
        <v>2026</v>
      </c>
      <c r="B357" t="s">
        <v>803</v>
      </c>
      <c r="C357" t="s">
        <v>714</v>
      </c>
      <c r="D357" t="s">
        <v>49</v>
      </c>
      <c r="E357" s="1">
        <f t="shared" si="10"/>
        <v>46356</v>
      </c>
      <c r="F357" t="s">
        <v>51</v>
      </c>
      <c r="G357">
        <v>56000</v>
      </c>
      <c r="H357">
        <v>0</v>
      </c>
      <c r="I357">
        <v>24000</v>
      </c>
      <c r="J357">
        <f t="shared" ca="1" si="11"/>
        <v>24000</v>
      </c>
    </row>
    <row r="358" spans="1:10">
      <c r="A358">
        <v>2026</v>
      </c>
      <c r="B358" t="s">
        <v>803</v>
      </c>
      <c r="C358" t="s">
        <v>715</v>
      </c>
      <c r="D358" t="s">
        <v>49</v>
      </c>
      <c r="E358" s="1">
        <f t="shared" si="10"/>
        <v>46387</v>
      </c>
      <c r="F358" t="s">
        <v>51</v>
      </c>
      <c r="G358">
        <v>56000</v>
      </c>
      <c r="H358">
        <v>0</v>
      </c>
      <c r="I358">
        <v>24000</v>
      </c>
      <c r="J358">
        <f t="shared" ca="1" si="11"/>
        <v>24000</v>
      </c>
    </row>
    <row r="359" spans="1:10">
      <c r="A359">
        <v>2025</v>
      </c>
      <c r="B359" t="s">
        <v>1360</v>
      </c>
      <c r="C359" t="s">
        <v>711</v>
      </c>
      <c r="D359" t="s">
        <v>49</v>
      </c>
      <c r="E359" s="1">
        <f t="shared" si="10"/>
        <v>45900</v>
      </c>
      <c r="F359" t="s">
        <v>188</v>
      </c>
      <c r="G359">
        <v>9000</v>
      </c>
      <c r="H359">
        <v>0</v>
      </c>
      <c r="I359">
        <v>0</v>
      </c>
      <c r="J359">
        <f t="shared" ca="1" si="11"/>
        <v>0</v>
      </c>
    </row>
    <row r="360" spans="1:10">
      <c r="A360">
        <v>2025</v>
      </c>
      <c r="B360" t="s">
        <v>1360</v>
      </c>
      <c r="C360" t="s">
        <v>712</v>
      </c>
      <c r="D360" t="s">
        <v>49</v>
      </c>
      <c r="E360" s="1">
        <f t="shared" si="10"/>
        <v>45930</v>
      </c>
      <c r="F360" t="s">
        <v>188</v>
      </c>
      <c r="G360">
        <v>9000</v>
      </c>
      <c r="H360">
        <v>0</v>
      </c>
      <c r="I360">
        <v>0</v>
      </c>
      <c r="J360">
        <f t="shared" ca="1" si="11"/>
        <v>0</v>
      </c>
    </row>
    <row r="361" spans="1:10">
      <c r="A361">
        <v>2025</v>
      </c>
      <c r="B361" t="s">
        <v>803</v>
      </c>
      <c r="C361" t="s">
        <v>713</v>
      </c>
      <c r="D361" t="s">
        <v>49</v>
      </c>
      <c r="E361" s="1">
        <f t="shared" si="10"/>
        <v>45961</v>
      </c>
      <c r="F361" t="s">
        <v>188</v>
      </c>
      <c r="G361">
        <v>9000</v>
      </c>
      <c r="H361">
        <v>4500</v>
      </c>
      <c r="I361">
        <v>0</v>
      </c>
      <c r="J361">
        <f t="shared" ca="1" si="11"/>
        <v>0</v>
      </c>
    </row>
    <row r="362" spans="1:10">
      <c r="A362">
        <v>2025</v>
      </c>
      <c r="B362" t="s">
        <v>803</v>
      </c>
      <c r="C362" t="s">
        <v>714</v>
      </c>
      <c r="D362" t="s">
        <v>49</v>
      </c>
      <c r="E362" s="1">
        <f t="shared" si="10"/>
        <v>45991</v>
      </c>
      <c r="F362" t="s">
        <v>188</v>
      </c>
      <c r="G362">
        <v>9000</v>
      </c>
      <c r="H362">
        <v>4500</v>
      </c>
      <c r="I362">
        <v>4500</v>
      </c>
      <c r="J362">
        <f t="shared" ca="1" si="11"/>
        <v>0</v>
      </c>
    </row>
    <row r="363" spans="1:10">
      <c r="A363">
        <v>2025</v>
      </c>
      <c r="B363" t="s">
        <v>803</v>
      </c>
      <c r="C363" t="s">
        <v>715</v>
      </c>
      <c r="D363" t="s">
        <v>49</v>
      </c>
      <c r="E363" s="1">
        <f t="shared" si="10"/>
        <v>46022</v>
      </c>
      <c r="F363" t="s">
        <v>188</v>
      </c>
      <c r="G363">
        <v>9000</v>
      </c>
      <c r="H363">
        <v>0</v>
      </c>
      <c r="I363">
        <v>4500</v>
      </c>
      <c r="J363">
        <f t="shared" ca="1" si="11"/>
        <v>0</v>
      </c>
    </row>
    <row r="364" spans="1:10">
      <c r="A364">
        <v>2026</v>
      </c>
      <c r="B364" t="s">
        <v>1361</v>
      </c>
      <c r="C364" t="s">
        <v>716</v>
      </c>
      <c r="D364" t="s">
        <v>49</v>
      </c>
      <c r="E364" s="1">
        <f t="shared" si="10"/>
        <v>46053</v>
      </c>
      <c r="F364" t="s">
        <v>188</v>
      </c>
      <c r="G364">
        <v>9000</v>
      </c>
      <c r="H364">
        <v>15000</v>
      </c>
      <c r="I364">
        <v>9000</v>
      </c>
      <c r="J364">
        <f t="shared" ca="1" si="11"/>
        <v>0</v>
      </c>
    </row>
    <row r="365" spans="1:10">
      <c r="A365">
        <v>2026</v>
      </c>
      <c r="B365" t="s">
        <v>1361</v>
      </c>
      <c r="C365" t="s">
        <v>717</v>
      </c>
      <c r="D365" t="s">
        <v>49</v>
      </c>
      <c r="E365" s="1">
        <f t="shared" si="10"/>
        <v>46081</v>
      </c>
      <c r="F365" t="s">
        <v>188</v>
      </c>
      <c r="G365">
        <v>9000</v>
      </c>
      <c r="H365">
        <v>0</v>
      </c>
      <c r="I365">
        <v>9000</v>
      </c>
      <c r="J365">
        <f t="shared" ca="1" si="11"/>
        <v>0</v>
      </c>
    </row>
    <row r="366" spans="1:10">
      <c r="A366">
        <v>2026</v>
      </c>
      <c r="B366" t="s">
        <v>1361</v>
      </c>
      <c r="C366" t="s">
        <v>718</v>
      </c>
      <c r="D366" t="s">
        <v>49</v>
      </c>
      <c r="E366" s="1">
        <f t="shared" si="10"/>
        <v>46112</v>
      </c>
      <c r="F366" t="s">
        <v>188</v>
      </c>
      <c r="G366">
        <v>9000</v>
      </c>
      <c r="H366">
        <v>0</v>
      </c>
      <c r="I366">
        <v>13500</v>
      </c>
      <c r="J366">
        <f t="shared" ca="1" si="11"/>
        <v>13500</v>
      </c>
    </row>
    <row r="367" spans="1:10">
      <c r="A367">
        <v>2026</v>
      </c>
      <c r="B367" t="s">
        <v>1362</v>
      </c>
      <c r="C367" t="s">
        <v>719</v>
      </c>
      <c r="D367" t="s">
        <v>49</v>
      </c>
      <c r="E367" s="1">
        <f t="shared" si="10"/>
        <v>46142</v>
      </c>
      <c r="F367" t="s">
        <v>188</v>
      </c>
      <c r="G367">
        <v>9000</v>
      </c>
      <c r="H367">
        <v>0</v>
      </c>
      <c r="I367">
        <v>13500</v>
      </c>
      <c r="J367">
        <f t="shared" ca="1" si="11"/>
        <v>13500</v>
      </c>
    </row>
    <row r="368" spans="1:10">
      <c r="A368">
        <v>2026</v>
      </c>
      <c r="B368" t="s">
        <v>1362</v>
      </c>
      <c r="C368" t="s">
        <v>720</v>
      </c>
      <c r="D368" t="s">
        <v>49</v>
      </c>
      <c r="E368" s="1">
        <f t="shared" si="10"/>
        <v>46173</v>
      </c>
      <c r="F368" t="s">
        <v>188</v>
      </c>
      <c r="G368">
        <v>9000</v>
      </c>
      <c r="H368">
        <v>0</v>
      </c>
      <c r="I368">
        <v>13500</v>
      </c>
      <c r="J368">
        <f t="shared" ca="1" si="11"/>
        <v>13500</v>
      </c>
    </row>
    <row r="369" spans="1:10">
      <c r="A369">
        <v>2026</v>
      </c>
      <c r="B369" t="s">
        <v>1362</v>
      </c>
      <c r="C369" t="s">
        <v>721</v>
      </c>
      <c r="D369" t="s">
        <v>49</v>
      </c>
      <c r="E369" s="1">
        <f t="shared" si="10"/>
        <v>46203</v>
      </c>
      <c r="F369" t="s">
        <v>188</v>
      </c>
      <c r="G369">
        <v>9000</v>
      </c>
      <c r="H369">
        <v>0</v>
      </c>
      <c r="I369">
        <v>13500</v>
      </c>
      <c r="J369">
        <f t="shared" ca="1" si="11"/>
        <v>13500</v>
      </c>
    </row>
    <row r="370" spans="1:10">
      <c r="A370">
        <v>2026</v>
      </c>
      <c r="B370" t="s">
        <v>1360</v>
      </c>
      <c r="C370" t="s">
        <v>710</v>
      </c>
      <c r="D370" t="s">
        <v>49</v>
      </c>
      <c r="E370" s="1">
        <f t="shared" si="10"/>
        <v>46234</v>
      </c>
      <c r="F370" t="s">
        <v>188</v>
      </c>
      <c r="G370">
        <v>9000</v>
      </c>
      <c r="H370">
        <v>0</v>
      </c>
      <c r="I370">
        <v>13500</v>
      </c>
      <c r="J370">
        <f t="shared" ca="1" si="11"/>
        <v>13500</v>
      </c>
    </row>
    <row r="371" spans="1:10">
      <c r="A371">
        <v>2026</v>
      </c>
      <c r="B371" t="s">
        <v>1360</v>
      </c>
      <c r="C371" t="s">
        <v>711</v>
      </c>
      <c r="D371" t="s">
        <v>49</v>
      </c>
      <c r="E371" s="1">
        <f t="shared" si="10"/>
        <v>46265</v>
      </c>
      <c r="F371" t="s">
        <v>188</v>
      </c>
      <c r="G371">
        <v>9000</v>
      </c>
      <c r="H371">
        <v>0</v>
      </c>
      <c r="I371">
        <v>13500</v>
      </c>
      <c r="J371">
        <f t="shared" ca="1" si="11"/>
        <v>13500</v>
      </c>
    </row>
    <row r="372" spans="1:10">
      <c r="A372">
        <v>2026</v>
      </c>
      <c r="B372" t="s">
        <v>1360</v>
      </c>
      <c r="C372" t="s">
        <v>712</v>
      </c>
      <c r="D372" t="s">
        <v>49</v>
      </c>
      <c r="E372" s="1">
        <f t="shared" si="10"/>
        <v>46295</v>
      </c>
      <c r="F372" t="s">
        <v>188</v>
      </c>
      <c r="G372">
        <v>9000</v>
      </c>
      <c r="H372">
        <v>0</v>
      </c>
      <c r="I372">
        <v>13500</v>
      </c>
      <c r="J372">
        <f t="shared" ca="1" si="11"/>
        <v>13500</v>
      </c>
    </row>
    <row r="373" spans="1:10">
      <c r="A373">
        <v>2026</v>
      </c>
      <c r="B373" t="s">
        <v>803</v>
      </c>
      <c r="C373" t="s">
        <v>713</v>
      </c>
      <c r="D373" t="s">
        <v>49</v>
      </c>
      <c r="E373" s="1">
        <f t="shared" si="10"/>
        <v>46326</v>
      </c>
      <c r="F373" t="s">
        <v>188</v>
      </c>
      <c r="G373">
        <v>9000</v>
      </c>
      <c r="H373">
        <v>0</v>
      </c>
      <c r="I373">
        <v>13500</v>
      </c>
      <c r="J373">
        <f t="shared" ca="1" si="11"/>
        <v>13500</v>
      </c>
    </row>
    <row r="374" spans="1:10">
      <c r="A374">
        <v>2026</v>
      </c>
      <c r="B374" t="s">
        <v>803</v>
      </c>
      <c r="C374" t="s">
        <v>714</v>
      </c>
      <c r="D374" t="s">
        <v>49</v>
      </c>
      <c r="E374" s="1">
        <f t="shared" si="10"/>
        <v>46356</v>
      </c>
      <c r="F374" t="s">
        <v>188</v>
      </c>
      <c r="G374">
        <v>9000</v>
      </c>
      <c r="H374">
        <v>0</v>
      </c>
      <c r="I374">
        <v>13500</v>
      </c>
      <c r="J374">
        <f t="shared" ca="1" si="11"/>
        <v>13500</v>
      </c>
    </row>
    <row r="375" spans="1:10">
      <c r="A375">
        <v>2026</v>
      </c>
      <c r="B375" t="s">
        <v>803</v>
      </c>
      <c r="C375" t="s">
        <v>715</v>
      </c>
      <c r="D375" t="s">
        <v>49</v>
      </c>
      <c r="E375" s="1">
        <f t="shared" si="10"/>
        <v>46387</v>
      </c>
      <c r="F375" t="s">
        <v>188</v>
      </c>
      <c r="G375">
        <v>9000</v>
      </c>
      <c r="H375">
        <v>0</v>
      </c>
      <c r="I375">
        <v>13500</v>
      </c>
      <c r="J375">
        <f t="shared" ca="1" si="11"/>
        <v>13500</v>
      </c>
    </row>
    <row r="376" spans="1:10">
      <c r="A376">
        <v>2025</v>
      </c>
      <c r="B376" t="s">
        <v>1360</v>
      </c>
      <c r="C376" t="s">
        <v>711</v>
      </c>
      <c r="D376" t="s">
        <v>49</v>
      </c>
      <c r="E376" s="1">
        <f t="shared" si="10"/>
        <v>45900</v>
      </c>
      <c r="F376" t="s">
        <v>99</v>
      </c>
      <c r="G376">
        <v>18000</v>
      </c>
      <c r="H376">
        <v>0</v>
      </c>
      <c r="I376">
        <v>0</v>
      </c>
      <c r="J376">
        <f t="shared" ca="1" si="11"/>
        <v>0</v>
      </c>
    </row>
    <row r="377" spans="1:10">
      <c r="A377">
        <v>2025</v>
      </c>
      <c r="B377" t="s">
        <v>1360</v>
      </c>
      <c r="C377" t="s">
        <v>712</v>
      </c>
      <c r="D377" t="s">
        <v>49</v>
      </c>
      <c r="E377" s="1">
        <f t="shared" si="10"/>
        <v>45930</v>
      </c>
      <c r="F377" t="s">
        <v>99</v>
      </c>
      <c r="G377">
        <v>24000</v>
      </c>
      <c r="H377">
        <v>0</v>
      </c>
      <c r="I377">
        <v>0</v>
      </c>
      <c r="J377">
        <f t="shared" ca="1" si="11"/>
        <v>0</v>
      </c>
    </row>
    <row r="378" spans="1:10">
      <c r="A378">
        <v>2025</v>
      </c>
      <c r="B378" t="s">
        <v>803</v>
      </c>
      <c r="C378" t="s">
        <v>713</v>
      </c>
      <c r="D378" t="s">
        <v>49</v>
      </c>
      <c r="E378" s="1">
        <f t="shared" si="10"/>
        <v>45961</v>
      </c>
      <c r="F378" t="s">
        <v>99</v>
      </c>
      <c r="G378">
        <v>24000</v>
      </c>
      <c r="H378">
        <v>0</v>
      </c>
      <c r="I378">
        <v>0</v>
      </c>
      <c r="J378">
        <f t="shared" ca="1" si="11"/>
        <v>0</v>
      </c>
    </row>
    <row r="379" spans="1:10">
      <c r="A379">
        <v>2025</v>
      </c>
      <c r="B379" t="s">
        <v>803</v>
      </c>
      <c r="C379" t="s">
        <v>714</v>
      </c>
      <c r="D379" t="s">
        <v>49</v>
      </c>
      <c r="E379" s="1">
        <f t="shared" si="10"/>
        <v>45991</v>
      </c>
      <c r="F379" t="s">
        <v>99</v>
      </c>
      <c r="G379">
        <v>24000</v>
      </c>
      <c r="H379">
        <v>4000</v>
      </c>
      <c r="I379">
        <v>6000</v>
      </c>
      <c r="J379">
        <f t="shared" ca="1" si="11"/>
        <v>0</v>
      </c>
    </row>
    <row r="380" spans="1:10">
      <c r="A380">
        <v>2025</v>
      </c>
      <c r="B380" t="s">
        <v>803</v>
      </c>
      <c r="C380" t="s">
        <v>715</v>
      </c>
      <c r="D380" t="s">
        <v>49</v>
      </c>
      <c r="E380" s="1">
        <f t="shared" si="10"/>
        <v>46022</v>
      </c>
      <c r="F380" t="s">
        <v>99</v>
      </c>
      <c r="G380">
        <v>24000</v>
      </c>
      <c r="H380">
        <v>0</v>
      </c>
      <c r="I380">
        <v>6000</v>
      </c>
      <c r="J380">
        <f t="shared" ca="1" si="11"/>
        <v>0</v>
      </c>
    </row>
    <row r="381" spans="1:10">
      <c r="A381">
        <v>2026</v>
      </c>
      <c r="B381" t="s">
        <v>1361</v>
      </c>
      <c r="C381" t="s">
        <v>716</v>
      </c>
      <c r="D381" t="s">
        <v>49</v>
      </c>
      <c r="E381" s="1">
        <f t="shared" si="10"/>
        <v>46053</v>
      </c>
      <c r="F381" t="s">
        <v>99</v>
      </c>
      <c r="G381">
        <v>24000</v>
      </c>
      <c r="H381">
        <v>40000</v>
      </c>
      <c r="I381">
        <v>6000</v>
      </c>
      <c r="J381">
        <f t="shared" ca="1" si="11"/>
        <v>0</v>
      </c>
    </row>
    <row r="382" spans="1:10">
      <c r="A382">
        <v>2026</v>
      </c>
      <c r="B382" t="s">
        <v>1361</v>
      </c>
      <c r="C382" t="s">
        <v>717</v>
      </c>
      <c r="D382" t="s">
        <v>49</v>
      </c>
      <c r="E382" s="1">
        <f t="shared" si="10"/>
        <v>46081</v>
      </c>
      <c r="F382" t="s">
        <v>99</v>
      </c>
      <c r="G382">
        <v>24000</v>
      </c>
      <c r="H382">
        <v>0</v>
      </c>
      <c r="I382">
        <v>24000</v>
      </c>
      <c r="J382">
        <f t="shared" ca="1" si="11"/>
        <v>0</v>
      </c>
    </row>
    <row r="383" spans="1:10">
      <c r="A383">
        <v>2026</v>
      </c>
      <c r="B383" t="s">
        <v>1361</v>
      </c>
      <c r="C383" t="s">
        <v>718</v>
      </c>
      <c r="D383" t="s">
        <v>49</v>
      </c>
      <c r="E383" s="1">
        <f t="shared" si="10"/>
        <v>46112</v>
      </c>
      <c r="F383" t="s">
        <v>99</v>
      </c>
      <c r="G383">
        <v>24000</v>
      </c>
      <c r="H383">
        <v>0</v>
      </c>
      <c r="I383">
        <v>24000</v>
      </c>
      <c r="J383">
        <f t="shared" ca="1" si="11"/>
        <v>24000</v>
      </c>
    </row>
    <row r="384" spans="1:10">
      <c r="A384">
        <v>2026</v>
      </c>
      <c r="B384" t="s">
        <v>1362</v>
      </c>
      <c r="C384" t="s">
        <v>719</v>
      </c>
      <c r="D384" t="s">
        <v>49</v>
      </c>
      <c r="E384" s="1">
        <f t="shared" si="10"/>
        <v>46142</v>
      </c>
      <c r="F384" t="s">
        <v>99</v>
      </c>
      <c r="G384">
        <v>24000</v>
      </c>
      <c r="H384">
        <v>0</v>
      </c>
      <c r="I384">
        <v>24000</v>
      </c>
      <c r="J384">
        <f t="shared" ca="1" si="11"/>
        <v>24000</v>
      </c>
    </row>
    <row r="385" spans="1:10">
      <c r="A385">
        <v>2026</v>
      </c>
      <c r="B385" t="s">
        <v>1362</v>
      </c>
      <c r="C385" t="s">
        <v>720</v>
      </c>
      <c r="D385" t="s">
        <v>49</v>
      </c>
      <c r="E385" s="1">
        <f t="shared" si="10"/>
        <v>46173</v>
      </c>
      <c r="F385" t="s">
        <v>99</v>
      </c>
      <c r="G385">
        <v>24000</v>
      </c>
      <c r="H385">
        <v>0</v>
      </c>
      <c r="I385">
        <v>24000</v>
      </c>
      <c r="J385">
        <f t="shared" ca="1" si="11"/>
        <v>24000</v>
      </c>
    </row>
    <row r="386" spans="1:10">
      <c r="A386">
        <v>2026</v>
      </c>
      <c r="B386" t="s">
        <v>1362</v>
      </c>
      <c r="C386" t="s">
        <v>721</v>
      </c>
      <c r="D386" t="s">
        <v>49</v>
      </c>
      <c r="E386" s="1">
        <f t="shared" si="10"/>
        <v>46203</v>
      </c>
      <c r="F386" t="s">
        <v>99</v>
      </c>
      <c r="G386">
        <v>24000</v>
      </c>
      <c r="H386">
        <v>0</v>
      </c>
      <c r="I386">
        <v>24000</v>
      </c>
      <c r="J386">
        <f t="shared" ca="1" si="11"/>
        <v>24000</v>
      </c>
    </row>
    <row r="387" spans="1:10">
      <c r="A387">
        <v>2026</v>
      </c>
      <c r="B387" t="s">
        <v>1360</v>
      </c>
      <c r="C387" t="s">
        <v>710</v>
      </c>
      <c r="D387" t="s">
        <v>49</v>
      </c>
      <c r="E387" s="1">
        <f t="shared" ref="E387:E450" si="12">EOMONTH(DATE(A387, MONTH(1 &amp; C387), 1), 0)</f>
        <v>46234</v>
      </c>
      <c r="F387" t="s">
        <v>99</v>
      </c>
      <c r="G387">
        <v>24000</v>
      </c>
      <c r="H387">
        <v>0</v>
      </c>
      <c r="I387">
        <v>24000</v>
      </c>
      <c r="J387">
        <f t="shared" ref="J387:J450" ca="1" si="13">IF(E387&lt;TODAY(),0,I387)</f>
        <v>24000</v>
      </c>
    </row>
    <row r="388" spans="1:10">
      <c r="A388">
        <v>2026</v>
      </c>
      <c r="B388" t="s">
        <v>1360</v>
      </c>
      <c r="C388" t="s">
        <v>711</v>
      </c>
      <c r="D388" t="s">
        <v>49</v>
      </c>
      <c r="E388" s="1">
        <f t="shared" si="12"/>
        <v>46265</v>
      </c>
      <c r="F388" t="s">
        <v>99</v>
      </c>
      <c r="G388">
        <v>24000</v>
      </c>
      <c r="H388">
        <v>0</v>
      </c>
      <c r="I388">
        <v>24000</v>
      </c>
      <c r="J388">
        <f t="shared" ca="1" si="13"/>
        <v>24000</v>
      </c>
    </row>
    <row r="389" spans="1:10">
      <c r="A389">
        <v>2026</v>
      </c>
      <c r="B389" t="s">
        <v>1360</v>
      </c>
      <c r="C389" t="s">
        <v>712</v>
      </c>
      <c r="D389" t="s">
        <v>49</v>
      </c>
      <c r="E389" s="1">
        <f t="shared" si="12"/>
        <v>46295</v>
      </c>
      <c r="F389" t="s">
        <v>99</v>
      </c>
      <c r="G389">
        <v>24000</v>
      </c>
      <c r="H389">
        <v>0</v>
      </c>
      <c r="I389">
        <v>24000</v>
      </c>
      <c r="J389">
        <f t="shared" ca="1" si="13"/>
        <v>24000</v>
      </c>
    </row>
    <row r="390" spans="1:10">
      <c r="A390">
        <v>2026</v>
      </c>
      <c r="B390" t="s">
        <v>803</v>
      </c>
      <c r="C390" t="s">
        <v>713</v>
      </c>
      <c r="D390" t="s">
        <v>49</v>
      </c>
      <c r="E390" s="1">
        <f t="shared" si="12"/>
        <v>46326</v>
      </c>
      <c r="F390" t="s">
        <v>99</v>
      </c>
      <c r="G390">
        <v>24000</v>
      </c>
      <c r="H390">
        <v>0</v>
      </c>
      <c r="I390">
        <v>24000</v>
      </c>
      <c r="J390">
        <f t="shared" ca="1" si="13"/>
        <v>24000</v>
      </c>
    </row>
    <row r="391" spans="1:10">
      <c r="A391">
        <v>2026</v>
      </c>
      <c r="B391" t="s">
        <v>803</v>
      </c>
      <c r="C391" t="s">
        <v>714</v>
      </c>
      <c r="D391" t="s">
        <v>49</v>
      </c>
      <c r="E391" s="1">
        <f t="shared" si="12"/>
        <v>46356</v>
      </c>
      <c r="F391" t="s">
        <v>99</v>
      </c>
      <c r="G391">
        <v>24000</v>
      </c>
      <c r="H391">
        <v>0</v>
      </c>
      <c r="I391">
        <v>24000</v>
      </c>
      <c r="J391">
        <f t="shared" ca="1" si="13"/>
        <v>24000</v>
      </c>
    </row>
    <row r="392" spans="1:10">
      <c r="A392">
        <v>2026</v>
      </c>
      <c r="B392" t="s">
        <v>803</v>
      </c>
      <c r="C392" t="s">
        <v>715</v>
      </c>
      <c r="D392" t="s">
        <v>49</v>
      </c>
      <c r="E392" s="1">
        <f t="shared" si="12"/>
        <v>46387</v>
      </c>
      <c r="F392" t="s">
        <v>99</v>
      </c>
      <c r="G392">
        <v>24000</v>
      </c>
      <c r="H392">
        <v>0</v>
      </c>
      <c r="I392">
        <v>24000</v>
      </c>
      <c r="J392">
        <f t="shared" ca="1" si="13"/>
        <v>24000</v>
      </c>
    </row>
    <row r="393" spans="1:10">
      <c r="A393">
        <v>2025</v>
      </c>
      <c r="B393" t="s">
        <v>1360</v>
      </c>
      <c r="C393" t="s">
        <v>711</v>
      </c>
      <c r="D393" t="s">
        <v>49</v>
      </c>
      <c r="E393" s="1">
        <f t="shared" si="12"/>
        <v>45900</v>
      </c>
      <c r="F393" t="s">
        <v>251</v>
      </c>
      <c r="G393">
        <v>36000</v>
      </c>
      <c r="H393">
        <v>0</v>
      </c>
      <c r="I393">
        <v>0</v>
      </c>
      <c r="J393">
        <f t="shared" ca="1" si="13"/>
        <v>0</v>
      </c>
    </row>
    <row r="394" spans="1:10">
      <c r="A394">
        <v>2025</v>
      </c>
      <c r="B394" t="s">
        <v>1360</v>
      </c>
      <c r="C394" t="s">
        <v>712</v>
      </c>
      <c r="D394" t="s">
        <v>49</v>
      </c>
      <c r="E394" s="1">
        <f t="shared" si="12"/>
        <v>45930</v>
      </c>
      <c r="F394" t="s">
        <v>251</v>
      </c>
      <c r="G394">
        <v>36000</v>
      </c>
      <c r="H394">
        <v>0</v>
      </c>
      <c r="I394">
        <v>0</v>
      </c>
      <c r="J394">
        <f t="shared" ca="1" si="13"/>
        <v>0</v>
      </c>
    </row>
    <row r="395" spans="1:10">
      <c r="A395">
        <v>2025</v>
      </c>
      <c r="B395" t="s">
        <v>803</v>
      </c>
      <c r="C395" t="s">
        <v>713</v>
      </c>
      <c r="D395" t="s">
        <v>49</v>
      </c>
      <c r="E395" s="1">
        <f t="shared" si="12"/>
        <v>45961</v>
      </c>
      <c r="F395" t="s">
        <v>251</v>
      </c>
      <c r="G395">
        <v>36000</v>
      </c>
      <c r="H395">
        <v>9000</v>
      </c>
      <c r="I395">
        <v>0</v>
      </c>
      <c r="J395">
        <f t="shared" ca="1" si="13"/>
        <v>0</v>
      </c>
    </row>
    <row r="396" spans="1:10">
      <c r="A396">
        <v>2025</v>
      </c>
      <c r="B396" t="s">
        <v>803</v>
      </c>
      <c r="C396" t="s">
        <v>714</v>
      </c>
      <c r="D396" t="s">
        <v>49</v>
      </c>
      <c r="E396" s="1">
        <f t="shared" si="12"/>
        <v>45991</v>
      </c>
      <c r="F396" t="s">
        <v>251</v>
      </c>
      <c r="G396">
        <v>36000</v>
      </c>
      <c r="H396">
        <v>10000</v>
      </c>
      <c r="I396">
        <v>9000</v>
      </c>
      <c r="J396">
        <f t="shared" ca="1" si="13"/>
        <v>0</v>
      </c>
    </row>
    <row r="397" spans="1:10">
      <c r="A397">
        <v>2025</v>
      </c>
      <c r="B397" t="s">
        <v>803</v>
      </c>
      <c r="C397" t="s">
        <v>715</v>
      </c>
      <c r="D397" t="s">
        <v>49</v>
      </c>
      <c r="E397" s="1">
        <f t="shared" si="12"/>
        <v>46022</v>
      </c>
      <c r="F397" t="s">
        <v>251</v>
      </c>
      <c r="G397">
        <v>36000</v>
      </c>
      <c r="H397">
        <v>0</v>
      </c>
      <c r="I397">
        <v>18000</v>
      </c>
      <c r="J397">
        <f t="shared" ca="1" si="13"/>
        <v>0</v>
      </c>
    </row>
    <row r="398" spans="1:10">
      <c r="A398">
        <v>2026</v>
      </c>
      <c r="B398" t="s">
        <v>1361</v>
      </c>
      <c r="C398" t="s">
        <v>716</v>
      </c>
      <c r="D398" t="s">
        <v>49</v>
      </c>
      <c r="E398" s="1">
        <f t="shared" si="12"/>
        <v>46053</v>
      </c>
      <c r="F398" t="s">
        <v>251</v>
      </c>
      <c r="G398">
        <v>36000</v>
      </c>
      <c r="H398">
        <v>0</v>
      </c>
      <c r="I398">
        <v>36000</v>
      </c>
      <c r="J398">
        <f t="shared" ca="1" si="13"/>
        <v>0</v>
      </c>
    </row>
    <row r="399" spans="1:10">
      <c r="A399">
        <v>2026</v>
      </c>
      <c r="B399" t="s">
        <v>1361</v>
      </c>
      <c r="C399" t="s">
        <v>717</v>
      </c>
      <c r="D399" t="s">
        <v>49</v>
      </c>
      <c r="E399" s="1">
        <f t="shared" si="12"/>
        <v>46081</v>
      </c>
      <c r="F399" t="s">
        <v>251</v>
      </c>
      <c r="G399">
        <v>36000</v>
      </c>
      <c r="H399">
        <v>0</v>
      </c>
      <c r="I399">
        <v>36000</v>
      </c>
      <c r="J399">
        <f t="shared" ca="1" si="13"/>
        <v>0</v>
      </c>
    </row>
    <row r="400" spans="1:10">
      <c r="A400">
        <v>2026</v>
      </c>
      <c r="B400" t="s">
        <v>1361</v>
      </c>
      <c r="C400" t="s">
        <v>718</v>
      </c>
      <c r="D400" t="s">
        <v>49</v>
      </c>
      <c r="E400" s="1">
        <f t="shared" si="12"/>
        <v>46112</v>
      </c>
      <c r="F400" t="s">
        <v>251</v>
      </c>
      <c r="G400">
        <v>36000</v>
      </c>
      <c r="H400">
        <v>0</v>
      </c>
      <c r="I400">
        <v>36000</v>
      </c>
      <c r="J400">
        <f t="shared" ca="1" si="13"/>
        <v>36000</v>
      </c>
    </row>
    <row r="401" spans="1:10">
      <c r="A401">
        <v>2026</v>
      </c>
      <c r="B401" t="s">
        <v>1362</v>
      </c>
      <c r="C401" t="s">
        <v>719</v>
      </c>
      <c r="D401" t="s">
        <v>49</v>
      </c>
      <c r="E401" s="1">
        <f t="shared" si="12"/>
        <v>46142</v>
      </c>
      <c r="F401" t="s">
        <v>251</v>
      </c>
      <c r="G401">
        <v>36000</v>
      </c>
      <c r="H401">
        <v>0</v>
      </c>
      <c r="I401">
        <v>36000</v>
      </c>
      <c r="J401">
        <f t="shared" ca="1" si="13"/>
        <v>36000</v>
      </c>
    </row>
    <row r="402" spans="1:10">
      <c r="A402">
        <v>2026</v>
      </c>
      <c r="B402" t="s">
        <v>1362</v>
      </c>
      <c r="C402" t="s">
        <v>720</v>
      </c>
      <c r="D402" t="s">
        <v>49</v>
      </c>
      <c r="E402" s="1">
        <f t="shared" si="12"/>
        <v>46173</v>
      </c>
      <c r="F402" t="s">
        <v>251</v>
      </c>
      <c r="G402">
        <v>36000</v>
      </c>
      <c r="H402">
        <v>0</v>
      </c>
      <c r="I402">
        <v>36000</v>
      </c>
      <c r="J402">
        <f t="shared" ca="1" si="13"/>
        <v>36000</v>
      </c>
    </row>
    <row r="403" spans="1:10">
      <c r="A403">
        <v>2026</v>
      </c>
      <c r="B403" t="s">
        <v>1362</v>
      </c>
      <c r="C403" t="s">
        <v>721</v>
      </c>
      <c r="D403" t="s">
        <v>49</v>
      </c>
      <c r="E403" s="1">
        <f t="shared" si="12"/>
        <v>46203</v>
      </c>
      <c r="F403" t="s">
        <v>251</v>
      </c>
      <c r="G403">
        <v>36000</v>
      </c>
      <c r="H403">
        <v>0</v>
      </c>
      <c r="I403">
        <v>36000</v>
      </c>
      <c r="J403">
        <f t="shared" ca="1" si="13"/>
        <v>36000</v>
      </c>
    </row>
    <row r="404" spans="1:10">
      <c r="A404">
        <v>2026</v>
      </c>
      <c r="B404" t="s">
        <v>1360</v>
      </c>
      <c r="C404" t="s">
        <v>710</v>
      </c>
      <c r="D404" t="s">
        <v>49</v>
      </c>
      <c r="E404" s="1">
        <f t="shared" si="12"/>
        <v>46234</v>
      </c>
      <c r="F404" t="s">
        <v>251</v>
      </c>
      <c r="G404">
        <v>36000</v>
      </c>
      <c r="H404">
        <v>0</v>
      </c>
      <c r="I404">
        <v>36000</v>
      </c>
      <c r="J404">
        <f t="shared" ca="1" si="13"/>
        <v>36000</v>
      </c>
    </row>
    <row r="405" spans="1:10">
      <c r="A405">
        <v>2026</v>
      </c>
      <c r="B405" t="s">
        <v>1360</v>
      </c>
      <c r="C405" t="s">
        <v>711</v>
      </c>
      <c r="D405" t="s">
        <v>49</v>
      </c>
      <c r="E405" s="1">
        <f t="shared" si="12"/>
        <v>46265</v>
      </c>
      <c r="F405" t="s">
        <v>251</v>
      </c>
      <c r="G405">
        <v>36000</v>
      </c>
      <c r="H405">
        <v>0</v>
      </c>
      <c r="I405">
        <v>36000</v>
      </c>
      <c r="J405">
        <f t="shared" ca="1" si="13"/>
        <v>36000</v>
      </c>
    </row>
    <row r="406" spans="1:10">
      <c r="A406">
        <v>2026</v>
      </c>
      <c r="B406" t="s">
        <v>1360</v>
      </c>
      <c r="C406" t="s">
        <v>712</v>
      </c>
      <c r="D406" t="s">
        <v>49</v>
      </c>
      <c r="E406" s="1">
        <f t="shared" si="12"/>
        <v>46295</v>
      </c>
      <c r="F406" t="s">
        <v>251</v>
      </c>
      <c r="G406">
        <v>36000</v>
      </c>
      <c r="H406">
        <v>0</v>
      </c>
      <c r="I406">
        <v>36000</v>
      </c>
      <c r="J406">
        <f t="shared" ca="1" si="13"/>
        <v>36000</v>
      </c>
    </row>
    <row r="407" spans="1:10">
      <c r="A407">
        <v>2026</v>
      </c>
      <c r="B407" t="s">
        <v>803</v>
      </c>
      <c r="C407" t="s">
        <v>713</v>
      </c>
      <c r="D407" t="s">
        <v>49</v>
      </c>
      <c r="E407" s="1">
        <f t="shared" si="12"/>
        <v>46326</v>
      </c>
      <c r="F407" t="s">
        <v>251</v>
      </c>
      <c r="G407">
        <v>36000</v>
      </c>
      <c r="H407">
        <v>0</v>
      </c>
      <c r="I407">
        <v>36000</v>
      </c>
      <c r="J407">
        <f t="shared" ca="1" si="13"/>
        <v>36000</v>
      </c>
    </row>
    <row r="408" spans="1:10">
      <c r="A408">
        <v>2026</v>
      </c>
      <c r="B408" t="s">
        <v>803</v>
      </c>
      <c r="C408" t="s">
        <v>714</v>
      </c>
      <c r="D408" t="s">
        <v>49</v>
      </c>
      <c r="E408" s="1">
        <f t="shared" si="12"/>
        <v>46356</v>
      </c>
      <c r="F408" t="s">
        <v>251</v>
      </c>
      <c r="G408">
        <v>36000</v>
      </c>
      <c r="I408">
        <v>36000</v>
      </c>
      <c r="J408">
        <f t="shared" ca="1" si="13"/>
        <v>36000</v>
      </c>
    </row>
    <row r="409" spans="1:10">
      <c r="A409">
        <v>2026</v>
      </c>
      <c r="B409" t="s">
        <v>803</v>
      </c>
      <c r="C409" t="s">
        <v>715</v>
      </c>
      <c r="D409" t="s">
        <v>49</v>
      </c>
      <c r="E409" s="1">
        <f t="shared" si="12"/>
        <v>46387</v>
      </c>
      <c r="F409" t="s">
        <v>251</v>
      </c>
      <c r="G409">
        <v>36000</v>
      </c>
      <c r="H409">
        <v>0</v>
      </c>
      <c r="I409">
        <v>36000</v>
      </c>
      <c r="J409">
        <f t="shared" ca="1" si="13"/>
        <v>36000</v>
      </c>
    </row>
    <row r="410" spans="1:10">
      <c r="A410">
        <v>2025</v>
      </c>
      <c r="B410" t="s">
        <v>1360</v>
      </c>
      <c r="C410" t="s">
        <v>711</v>
      </c>
      <c r="D410" t="s">
        <v>49</v>
      </c>
      <c r="E410" s="1">
        <f t="shared" si="12"/>
        <v>45900</v>
      </c>
      <c r="F410" t="s">
        <v>66</v>
      </c>
      <c r="G410">
        <v>105000</v>
      </c>
      <c r="H410">
        <v>0</v>
      </c>
      <c r="I410">
        <v>0</v>
      </c>
      <c r="J410">
        <f t="shared" ca="1" si="13"/>
        <v>0</v>
      </c>
    </row>
    <row r="411" spans="1:10">
      <c r="A411">
        <v>2025</v>
      </c>
      <c r="B411" t="s">
        <v>1360</v>
      </c>
      <c r="C411" t="s">
        <v>712</v>
      </c>
      <c r="D411" t="s">
        <v>49</v>
      </c>
      <c r="E411" s="1">
        <f t="shared" si="12"/>
        <v>45930</v>
      </c>
      <c r="F411" t="s">
        <v>66</v>
      </c>
      <c r="G411">
        <v>150000</v>
      </c>
      <c r="H411">
        <v>300000</v>
      </c>
      <c r="I411">
        <v>0</v>
      </c>
      <c r="J411">
        <f t="shared" ca="1" si="13"/>
        <v>0</v>
      </c>
    </row>
    <row r="412" spans="1:10">
      <c r="A412">
        <v>2025</v>
      </c>
      <c r="B412" t="s">
        <v>803</v>
      </c>
      <c r="C412" t="s">
        <v>713</v>
      </c>
      <c r="D412" t="s">
        <v>49</v>
      </c>
      <c r="E412" s="1">
        <f t="shared" si="12"/>
        <v>45961</v>
      </c>
      <c r="F412" t="s">
        <v>66</v>
      </c>
      <c r="G412">
        <v>195000</v>
      </c>
      <c r="H412">
        <v>300000</v>
      </c>
      <c r="I412">
        <v>0</v>
      </c>
      <c r="J412">
        <f t="shared" ca="1" si="13"/>
        <v>0</v>
      </c>
    </row>
    <row r="413" spans="1:10">
      <c r="A413">
        <v>2025</v>
      </c>
      <c r="B413" t="s">
        <v>803</v>
      </c>
      <c r="C413" t="s">
        <v>714</v>
      </c>
      <c r="D413" t="s">
        <v>49</v>
      </c>
      <c r="E413" s="1">
        <f t="shared" si="12"/>
        <v>45991</v>
      </c>
      <c r="F413" t="s">
        <v>66</v>
      </c>
      <c r="G413">
        <v>225000</v>
      </c>
      <c r="H413">
        <v>225000</v>
      </c>
      <c r="I413">
        <v>30000</v>
      </c>
      <c r="J413">
        <f t="shared" ca="1" si="13"/>
        <v>0</v>
      </c>
    </row>
    <row r="414" spans="1:10">
      <c r="A414">
        <v>2025</v>
      </c>
      <c r="B414" t="s">
        <v>803</v>
      </c>
      <c r="C414" t="s">
        <v>715</v>
      </c>
      <c r="D414" t="s">
        <v>49</v>
      </c>
      <c r="E414" s="1">
        <f t="shared" si="12"/>
        <v>46022</v>
      </c>
      <c r="F414" t="s">
        <v>66</v>
      </c>
      <c r="G414">
        <v>225000</v>
      </c>
      <c r="H414">
        <v>0</v>
      </c>
      <c r="I414">
        <v>75000</v>
      </c>
      <c r="J414">
        <f t="shared" ca="1" si="13"/>
        <v>0</v>
      </c>
    </row>
    <row r="415" spans="1:10">
      <c r="A415">
        <v>2026</v>
      </c>
      <c r="B415" t="s">
        <v>1361</v>
      </c>
      <c r="C415" t="s">
        <v>716</v>
      </c>
      <c r="D415" t="s">
        <v>49</v>
      </c>
      <c r="E415" s="1">
        <f t="shared" si="12"/>
        <v>46053</v>
      </c>
      <c r="F415" t="s">
        <v>66</v>
      </c>
      <c r="G415">
        <v>225000</v>
      </c>
      <c r="H415">
        <v>300000</v>
      </c>
      <c r="I415">
        <v>120000</v>
      </c>
      <c r="J415">
        <f t="shared" ca="1" si="13"/>
        <v>0</v>
      </c>
    </row>
    <row r="416" spans="1:10">
      <c r="A416">
        <v>2026</v>
      </c>
      <c r="B416" t="s">
        <v>1361</v>
      </c>
      <c r="C416" t="s">
        <v>717</v>
      </c>
      <c r="D416" t="s">
        <v>49</v>
      </c>
      <c r="E416" s="1">
        <f t="shared" si="12"/>
        <v>46081</v>
      </c>
      <c r="F416" t="s">
        <v>66</v>
      </c>
      <c r="G416">
        <v>225000</v>
      </c>
      <c r="H416">
        <v>0</v>
      </c>
      <c r="I416">
        <v>135000</v>
      </c>
      <c r="J416">
        <f t="shared" ca="1" si="13"/>
        <v>0</v>
      </c>
    </row>
    <row r="417" spans="1:10">
      <c r="A417">
        <v>2026</v>
      </c>
      <c r="B417" t="s">
        <v>1361</v>
      </c>
      <c r="C417" t="s">
        <v>718</v>
      </c>
      <c r="D417" t="s">
        <v>49</v>
      </c>
      <c r="E417" s="1">
        <f t="shared" si="12"/>
        <v>46112</v>
      </c>
      <c r="F417" t="s">
        <v>66</v>
      </c>
      <c r="G417">
        <v>225000</v>
      </c>
      <c r="H417">
        <v>0</v>
      </c>
      <c r="I417">
        <v>135000</v>
      </c>
      <c r="J417">
        <f t="shared" ca="1" si="13"/>
        <v>135000</v>
      </c>
    </row>
    <row r="418" spans="1:10">
      <c r="A418">
        <v>2026</v>
      </c>
      <c r="B418" t="s">
        <v>1362</v>
      </c>
      <c r="C418" t="s">
        <v>719</v>
      </c>
      <c r="D418" t="s">
        <v>49</v>
      </c>
      <c r="E418" s="1">
        <f t="shared" si="12"/>
        <v>46142</v>
      </c>
      <c r="F418" t="s">
        <v>66</v>
      </c>
      <c r="G418">
        <v>225000</v>
      </c>
      <c r="H418">
        <v>0</v>
      </c>
      <c r="I418">
        <v>135000</v>
      </c>
      <c r="J418">
        <f t="shared" ca="1" si="13"/>
        <v>135000</v>
      </c>
    </row>
    <row r="419" spans="1:10">
      <c r="A419">
        <v>2026</v>
      </c>
      <c r="B419" t="s">
        <v>1362</v>
      </c>
      <c r="C419" t="s">
        <v>720</v>
      </c>
      <c r="D419" t="s">
        <v>49</v>
      </c>
      <c r="E419" s="1">
        <f t="shared" si="12"/>
        <v>46173</v>
      </c>
      <c r="F419" t="s">
        <v>66</v>
      </c>
      <c r="G419">
        <v>225000</v>
      </c>
      <c r="H419">
        <v>0</v>
      </c>
      <c r="I419">
        <v>135000</v>
      </c>
      <c r="J419">
        <f t="shared" ca="1" si="13"/>
        <v>135000</v>
      </c>
    </row>
    <row r="420" spans="1:10">
      <c r="A420">
        <v>2026</v>
      </c>
      <c r="B420" t="s">
        <v>1362</v>
      </c>
      <c r="C420" t="s">
        <v>721</v>
      </c>
      <c r="D420" t="s">
        <v>49</v>
      </c>
      <c r="E420" s="1">
        <f t="shared" si="12"/>
        <v>46203</v>
      </c>
      <c r="F420" t="s">
        <v>66</v>
      </c>
      <c r="G420">
        <v>225000</v>
      </c>
      <c r="H420">
        <v>0</v>
      </c>
      <c r="I420">
        <v>135000</v>
      </c>
      <c r="J420">
        <f t="shared" ca="1" si="13"/>
        <v>135000</v>
      </c>
    </row>
    <row r="421" spans="1:10">
      <c r="A421">
        <v>2026</v>
      </c>
      <c r="B421" t="s">
        <v>1360</v>
      </c>
      <c r="C421" t="s">
        <v>710</v>
      </c>
      <c r="D421" t="s">
        <v>49</v>
      </c>
      <c r="E421" s="1">
        <f t="shared" si="12"/>
        <v>46234</v>
      </c>
      <c r="F421" t="s">
        <v>66</v>
      </c>
      <c r="G421">
        <v>225000</v>
      </c>
      <c r="H421">
        <v>0</v>
      </c>
      <c r="I421">
        <v>135000</v>
      </c>
      <c r="J421">
        <f t="shared" ca="1" si="13"/>
        <v>135000</v>
      </c>
    </row>
    <row r="422" spans="1:10">
      <c r="A422">
        <v>2026</v>
      </c>
      <c r="B422" t="s">
        <v>1360</v>
      </c>
      <c r="C422" t="s">
        <v>711</v>
      </c>
      <c r="D422" t="s">
        <v>49</v>
      </c>
      <c r="E422" s="1">
        <f t="shared" si="12"/>
        <v>46265</v>
      </c>
      <c r="F422" t="s">
        <v>66</v>
      </c>
      <c r="G422">
        <v>225000</v>
      </c>
      <c r="H422">
        <v>0</v>
      </c>
      <c r="I422">
        <v>135000</v>
      </c>
      <c r="J422">
        <f t="shared" ca="1" si="13"/>
        <v>135000</v>
      </c>
    </row>
    <row r="423" spans="1:10">
      <c r="A423">
        <v>2026</v>
      </c>
      <c r="B423" t="s">
        <v>1360</v>
      </c>
      <c r="C423" t="s">
        <v>712</v>
      </c>
      <c r="D423" t="s">
        <v>49</v>
      </c>
      <c r="E423" s="1">
        <f t="shared" si="12"/>
        <v>46295</v>
      </c>
      <c r="F423" t="s">
        <v>66</v>
      </c>
      <c r="G423">
        <v>225000</v>
      </c>
      <c r="H423">
        <v>0</v>
      </c>
      <c r="I423">
        <v>135000</v>
      </c>
      <c r="J423">
        <f t="shared" ca="1" si="13"/>
        <v>135000</v>
      </c>
    </row>
    <row r="424" spans="1:10">
      <c r="A424">
        <v>2026</v>
      </c>
      <c r="B424" t="s">
        <v>803</v>
      </c>
      <c r="C424" t="s">
        <v>713</v>
      </c>
      <c r="D424" t="s">
        <v>49</v>
      </c>
      <c r="E424" s="1">
        <f t="shared" si="12"/>
        <v>46326</v>
      </c>
      <c r="F424" t="s">
        <v>66</v>
      </c>
      <c r="G424">
        <v>225000</v>
      </c>
      <c r="H424">
        <v>0</v>
      </c>
      <c r="I424">
        <v>135000</v>
      </c>
      <c r="J424">
        <f t="shared" ca="1" si="13"/>
        <v>135000</v>
      </c>
    </row>
    <row r="425" spans="1:10">
      <c r="A425">
        <v>2026</v>
      </c>
      <c r="B425" t="s">
        <v>803</v>
      </c>
      <c r="C425" t="s">
        <v>714</v>
      </c>
      <c r="D425" t="s">
        <v>49</v>
      </c>
      <c r="E425" s="1">
        <f t="shared" si="12"/>
        <v>46356</v>
      </c>
      <c r="F425" t="s">
        <v>66</v>
      </c>
      <c r="G425">
        <v>225000</v>
      </c>
      <c r="H425">
        <v>0</v>
      </c>
      <c r="I425">
        <v>135000</v>
      </c>
      <c r="J425">
        <f t="shared" ca="1" si="13"/>
        <v>135000</v>
      </c>
    </row>
    <row r="426" spans="1:10">
      <c r="A426">
        <v>2026</v>
      </c>
      <c r="B426" t="s">
        <v>803</v>
      </c>
      <c r="C426" t="s">
        <v>715</v>
      </c>
      <c r="D426" t="s">
        <v>49</v>
      </c>
      <c r="E426" s="1">
        <f t="shared" si="12"/>
        <v>46387</v>
      </c>
      <c r="F426" t="s">
        <v>66</v>
      </c>
      <c r="G426">
        <v>225000</v>
      </c>
      <c r="H426">
        <v>0</v>
      </c>
      <c r="I426">
        <v>135000</v>
      </c>
      <c r="J426">
        <f t="shared" ca="1" si="13"/>
        <v>135000</v>
      </c>
    </row>
    <row r="427" spans="1:10">
      <c r="A427">
        <v>2025</v>
      </c>
      <c r="B427" t="s">
        <v>1360</v>
      </c>
      <c r="C427" t="s">
        <v>711</v>
      </c>
      <c r="D427" t="s">
        <v>49</v>
      </c>
      <c r="E427" s="1">
        <f t="shared" si="12"/>
        <v>45900</v>
      </c>
      <c r="F427" t="s">
        <v>142</v>
      </c>
      <c r="G427">
        <v>20000</v>
      </c>
      <c r="H427">
        <v>0</v>
      </c>
      <c r="I427">
        <v>0</v>
      </c>
      <c r="J427">
        <f t="shared" ca="1" si="13"/>
        <v>0</v>
      </c>
    </row>
    <row r="428" spans="1:10">
      <c r="A428">
        <v>2025</v>
      </c>
      <c r="B428" t="s">
        <v>1360</v>
      </c>
      <c r="C428" t="s">
        <v>712</v>
      </c>
      <c r="D428" t="s">
        <v>49</v>
      </c>
      <c r="E428" s="1">
        <f t="shared" si="12"/>
        <v>45930</v>
      </c>
      <c r="F428" t="s">
        <v>142</v>
      </c>
      <c r="G428">
        <v>30000</v>
      </c>
      <c r="H428">
        <v>0</v>
      </c>
      <c r="I428">
        <v>0</v>
      </c>
      <c r="J428">
        <f t="shared" ca="1" si="13"/>
        <v>0</v>
      </c>
    </row>
    <row r="429" spans="1:10">
      <c r="A429">
        <v>2025</v>
      </c>
      <c r="B429" t="s">
        <v>803</v>
      </c>
      <c r="C429" t="s">
        <v>713</v>
      </c>
      <c r="D429" t="s">
        <v>49</v>
      </c>
      <c r="E429" s="1">
        <f t="shared" si="12"/>
        <v>45961</v>
      </c>
      <c r="F429" t="s">
        <v>142</v>
      </c>
      <c r="G429">
        <v>40000</v>
      </c>
      <c r="H429">
        <v>0</v>
      </c>
      <c r="I429">
        <v>0</v>
      </c>
      <c r="J429">
        <f t="shared" ca="1" si="13"/>
        <v>0</v>
      </c>
    </row>
    <row r="430" spans="1:10">
      <c r="A430">
        <v>2025</v>
      </c>
      <c r="B430" t="s">
        <v>803</v>
      </c>
      <c r="C430" t="s">
        <v>714</v>
      </c>
      <c r="D430" t="s">
        <v>49</v>
      </c>
      <c r="E430" s="1">
        <f t="shared" si="12"/>
        <v>45991</v>
      </c>
      <c r="F430" t="s">
        <v>142</v>
      </c>
      <c r="G430">
        <v>40000</v>
      </c>
      <c r="H430">
        <v>100000</v>
      </c>
      <c r="I430">
        <v>0</v>
      </c>
      <c r="J430">
        <f t="shared" ca="1" si="13"/>
        <v>0</v>
      </c>
    </row>
    <row r="431" spans="1:10">
      <c r="A431">
        <v>2025</v>
      </c>
      <c r="B431" t="s">
        <v>803</v>
      </c>
      <c r="C431" t="s">
        <v>715</v>
      </c>
      <c r="D431" t="s">
        <v>49</v>
      </c>
      <c r="E431" s="1">
        <f t="shared" si="12"/>
        <v>46022</v>
      </c>
      <c r="F431" t="s">
        <v>142</v>
      </c>
      <c r="G431">
        <v>40000</v>
      </c>
      <c r="H431">
        <v>0</v>
      </c>
      <c r="I431">
        <v>10000</v>
      </c>
      <c r="J431">
        <f t="shared" ca="1" si="13"/>
        <v>0</v>
      </c>
    </row>
    <row r="432" spans="1:10">
      <c r="A432">
        <v>2026</v>
      </c>
      <c r="B432" t="s">
        <v>1361</v>
      </c>
      <c r="C432" t="s">
        <v>716</v>
      </c>
      <c r="D432" t="s">
        <v>49</v>
      </c>
      <c r="E432" s="1">
        <f t="shared" si="12"/>
        <v>46053</v>
      </c>
      <c r="F432" t="s">
        <v>142</v>
      </c>
      <c r="G432">
        <v>40000</v>
      </c>
      <c r="H432">
        <v>40000</v>
      </c>
      <c r="I432">
        <v>20000</v>
      </c>
      <c r="J432">
        <f t="shared" ca="1" si="13"/>
        <v>0</v>
      </c>
    </row>
    <row r="433" spans="1:10">
      <c r="A433">
        <v>2026</v>
      </c>
      <c r="B433" t="s">
        <v>1361</v>
      </c>
      <c r="C433" t="s">
        <v>717</v>
      </c>
      <c r="D433" t="s">
        <v>49</v>
      </c>
      <c r="E433" s="1">
        <f t="shared" si="12"/>
        <v>46081</v>
      </c>
      <c r="F433" t="s">
        <v>142</v>
      </c>
      <c r="G433">
        <v>40000</v>
      </c>
      <c r="H433">
        <v>0</v>
      </c>
      <c r="I433">
        <v>30000</v>
      </c>
      <c r="J433">
        <f t="shared" ca="1" si="13"/>
        <v>0</v>
      </c>
    </row>
    <row r="434" spans="1:10">
      <c r="A434">
        <v>2026</v>
      </c>
      <c r="B434" t="s">
        <v>1361</v>
      </c>
      <c r="C434" t="s">
        <v>718</v>
      </c>
      <c r="D434" t="s">
        <v>49</v>
      </c>
      <c r="E434" s="1">
        <f t="shared" si="12"/>
        <v>46112</v>
      </c>
      <c r="F434" t="s">
        <v>142</v>
      </c>
      <c r="G434">
        <v>40000</v>
      </c>
      <c r="H434">
        <v>0</v>
      </c>
      <c r="I434">
        <v>30000</v>
      </c>
      <c r="J434">
        <f t="shared" ca="1" si="13"/>
        <v>30000</v>
      </c>
    </row>
    <row r="435" spans="1:10">
      <c r="A435">
        <v>2026</v>
      </c>
      <c r="B435" t="s">
        <v>1362</v>
      </c>
      <c r="C435" t="s">
        <v>719</v>
      </c>
      <c r="D435" t="s">
        <v>49</v>
      </c>
      <c r="E435" s="1">
        <f t="shared" si="12"/>
        <v>46142</v>
      </c>
      <c r="F435" t="s">
        <v>142</v>
      </c>
      <c r="G435">
        <v>40000</v>
      </c>
      <c r="H435">
        <v>0</v>
      </c>
      <c r="I435">
        <v>30000</v>
      </c>
      <c r="J435">
        <f t="shared" ca="1" si="13"/>
        <v>30000</v>
      </c>
    </row>
    <row r="436" spans="1:10">
      <c r="A436">
        <v>2026</v>
      </c>
      <c r="B436" t="s">
        <v>1362</v>
      </c>
      <c r="C436" t="s">
        <v>720</v>
      </c>
      <c r="D436" t="s">
        <v>49</v>
      </c>
      <c r="E436" s="1">
        <f t="shared" si="12"/>
        <v>46173</v>
      </c>
      <c r="F436" t="s">
        <v>142</v>
      </c>
      <c r="G436">
        <v>40000</v>
      </c>
      <c r="H436">
        <v>0</v>
      </c>
      <c r="I436">
        <v>30000</v>
      </c>
      <c r="J436">
        <f t="shared" ca="1" si="13"/>
        <v>30000</v>
      </c>
    </row>
    <row r="437" spans="1:10">
      <c r="A437">
        <v>2026</v>
      </c>
      <c r="B437" t="s">
        <v>1362</v>
      </c>
      <c r="C437" t="s">
        <v>721</v>
      </c>
      <c r="D437" t="s">
        <v>49</v>
      </c>
      <c r="E437" s="1">
        <f t="shared" si="12"/>
        <v>46203</v>
      </c>
      <c r="F437" t="s">
        <v>142</v>
      </c>
      <c r="G437">
        <v>40000</v>
      </c>
      <c r="H437">
        <v>0</v>
      </c>
      <c r="I437">
        <v>30000</v>
      </c>
      <c r="J437">
        <f t="shared" ca="1" si="13"/>
        <v>30000</v>
      </c>
    </row>
    <row r="438" spans="1:10">
      <c r="A438">
        <v>2026</v>
      </c>
      <c r="B438" t="s">
        <v>1360</v>
      </c>
      <c r="C438" t="s">
        <v>710</v>
      </c>
      <c r="D438" t="s">
        <v>49</v>
      </c>
      <c r="E438" s="1">
        <f t="shared" si="12"/>
        <v>46234</v>
      </c>
      <c r="F438" t="s">
        <v>142</v>
      </c>
      <c r="G438">
        <v>40000</v>
      </c>
      <c r="H438">
        <v>0</v>
      </c>
      <c r="I438">
        <v>30000</v>
      </c>
      <c r="J438">
        <f t="shared" ca="1" si="13"/>
        <v>30000</v>
      </c>
    </row>
    <row r="439" spans="1:10">
      <c r="A439">
        <v>2026</v>
      </c>
      <c r="B439" t="s">
        <v>1360</v>
      </c>
      <c r="C439" t="s">
        <v>711</v>
      </c>
      <c r="D439" t="s">
        <v>49</v>
      </c>
      <c r="E439" s="1">
        <f t="shared" si="12"/>
        <v>46265</v>
      </c>
      <c r="F439" t="s">
        <v>142</v>
      </c>
      <c r="G439">
        <v>40000</v>
      </c>
      <c r="H439">
        <v>0</v>
      </c>
      <c r="I439">
        <v>30000</v>
      </c>
      <c r="J439">
        <f t="shared" ca="1" si="13"/>
        <v>30000</v>
      </c>
    </row>
    <row r="440" spans="1:10">
      <c r="A440">
        <v>2026</v>
      </c>
      <c r="B440" t="s">
        <v>1360</v>
      </c>
      <c r="C440" t="s">
        <v>712</v>
      </c>
      <c r="D440" t="s">
        <v>49</v>
      </c>
      <c r="E440" s="1">
        <f t="shared" si="12"/>
        <v>46295</v>
      </c>
      <c r="F440" t="s">
        <v>142</v>
      </c>
      <c r="G440">
        <v>40000</v>
      </c>
      <c r="H440">
        <v>0</v>
      </c>
      <c r="I440">
        <v>30000</v>
      </c>
      <c r="J440">
        <f t="shared" ca="1" si="13"/>
        <v>30000</v>
      </c>
    </row>
    <row r="441" spans="1:10">
      <c r="A441">
        <v>2026</v>
      </c>
      <c r="B441" t="s">
        <v>803</v>
      </c>
      <c r="C441" t="s">
        <v>713</v>
      </c>
      <c r="D441" t="s">
        <v>49</v>
      </c>
      <c r="E441" s="1">
        <f t="shared" si="12"/>
        <v>46326</v>
      </c>
      <c r="F441" t="s">
        <v>142</v>
      </c>
      <c r="G441">
        <v>40000</v>
      </c>
      <c r="H441">
        <v>0</v>
      </c>
      <c r="I441">
        <v>30000</v>
      </c>
      <c r="J441">
        <f t="shared" ca="1" si="13"/>
        <v>30000</v>
      </c>
    </row>
    <row r="442" spans="1:10">
      <c r="A442">
        <v>2026</v>
      </c>
      <c r="B442" t="s">
        <v>803</v>
      </c>
      <c r="C442" t="s">
        <v>714</v>
      </c>
      <c r="D442" t="s">
        <v>49</v>
      </c>
      <c r="E442" s="1">
        <f t="shared" si="12"/>
        <v>46356</v>
      </c>
      <c r="F442" t="s">
        <v>142</v>
      </c>
      <c r="G442">
        <v>40000</v>
      </c>
      <c r="H442">
        <v>0</v>
      </c>
      <c r="I442">
        <v>30000</v>
      </c>
      <c r="J442">
        <f t="shared" ca="1" si="13"/>
        <v>30000</v>
      </c>
    </row>
    <row r="443" spans="1:10">
      <c r="A443">
        <v>2026</v>
      </c>
      <c r="B443" t="s">
        <v>803</v>
      </c>
      <c r="C443" t="s">
        <v>715</v>
      </c>
      <c r="D443" t="s">
        <v>49</v>
      </c>
      <c r="E443" s="1">
        <f t="shared" si="12"/>
        <v>46387</v>
      </c>
      <c r="F443" t="s">
        <v>142</v>
      </c>
      <c r="G443">
        <v>40000</v>
      </c>
      <c r="H443">
        <v>0</v>
      </c>
      <c r="I443">
        <v>30000</v>
      </c>
      <c r="J443">
        <f t="shared" ca="1" si="13"/>
        <v>30000</v>
      </c>
    </row>
    <row r="444" spans="1:10">
      <c r="A444">
        <v>2025</v>
      </c>
      <c r="B444" t="s">
        <v>1360</v>
      </c>
      <c r="C444" t="s">
        <v>711</v>
      </c>
      <c r="D444" t="s">
        <v>103</v>
      </c>
      <c r="E444" s="1">
        <f t="shared" si="12"/>
        <v>45900</v>
      </c>
      <c r="F444" t="s">
        <v>105</v>
      </c>
      <c r="G444">
        <v>0</v>
      </c>
      <c r="H444">
        <v>0</v>
      </c>
      <c r="I444">
        <v>0</v>
      </c>
      <c r="J444">
        <f t="shared" ca="1" si="13"/>
        <v>0</v>
      </c>
    </row>
    <row r="445" spans="1:10">
      <c r="A445">
        <v>2025</v>
      </c>
      <c r="B445" t="s">
        <v>1360</v>
      </c>
      <c r="C445" t="s">
        <v>712</v>
      </c>
      <c r="D445" t="s">
        <v>103</v>
      </c>
      <c r="E445" s="1">
        <f t="shared" si="12"/>
        <v>45930</v>
      </c>
      <c r="F445" t="s">
        <v>105</v>
      </c>
      <c r="G445">
        <v>0</v>
      </c>
      <c r="H445">
        <v>0</v>
      </c>
      <c r="I445">
        <v>0</v>
      </c>
      <c r="J445">
        <f t="shared" ca="1" si="13"/>
        <v>0</v>
      </c>
    </row>
    <row r="446" spans="1:10">
      <c r="A446">
        <v>2025</v>
      </c>
      <c r="B446" t="s">
        <v>803</v>
      </c>
      <c r="C446" t="s">
        <v>713</v>
      </c>
      <c r="D446" t="s">
        <v>103</v>
      </c>
      <c r="E446" s="1">
        <f t="shared" si="12"/>
        <v>45961</v>
      </c>
      <c r="F446" t="s">
        <v>105</v>
      </c>
      <c r="G446">
        <v>0</v>
      </c>
      <c r="H446">
        <v>11000</v>
      </c>
      <c r="I446">
        <v>0</v>
      </c>
      <c r="J446">
        <f t="shared" ca="1" si="13"/>
        <v>0</v>
      </c>
    </row>
    <row r="447" spans="1:10">
      <c r="A447">
        <v>2025</v>
      </c>
      <c r="B447" t="s">
        <v>803</v>
      </c>
      <c r="C447" t="s">
        <v>714</v>
      </c>
      <c r="D447" t="s">
        <v>103</v>
      </c>
      <c r="E447" s="1">
        <f t="shared" si="12"/>
        <v>45991</v>
      </c>
      <c r="F447" t="s">
        <v>105</v>
      </c>
      <c r="G447">
        <v>0</v>
      </c>
      <c r="H447">
        <v>10000</v>
      </c>
      <c r="I447">
        <v>11000</v>
      </c>
      <c r="J447">
        <f t="shared" ca="1" si="13"/>
        <v>0</v>
      </c>
    </row>
    <row r="448" spans="1:10">
      <c r="A448">
        <v>2025</v>
      </c>
      <c r="B448" t="s">
        <v>803</v>
      </c>
      <c r="C448" t="s">
        <v>715</v>
      </c>
      <c r="D448" t="s">
        <v>103</v>
      </c>
      <c r="E448" s="1">
        <f t="shared" si="12"/>
        <v>46022</v>
      </c>
      <c r="F448" t="s">
        <v>105</v>
      </c>
      <c r="G448">
        <v>0</v>
      </c>
      <c r="H448">
        <v>0</v>
      </c>
      <c r="I448">
        <v>22000</v>
      </c>
      <c r="J448">
        <f t="shared" ca="1" si="13"/>
        <v>0</v>
      </c>
    </row>
    <row r="449" spans="1:10">
      <c r="A449">
        <v>2026</v>
      </c>
      <c r="B449" t="s">
        <v>1361</v>
      </c>
      <c r="C449" t="s">
        <v>716</v>
      </c>
      <c r="D449" t="s">
        <v>103</v>
      </c>
      <c r="E449" s="1">
        <f t="shared" si="12"/>
        <v>46053</v>
      </c>
      <c r="F449" t="s">
        <v>105</v>
      </c>
      <c r="G449">
        <v>0</v>
      </c>
      <c r="H449">
        <v>0</v>
      </c>
      <c r="I449">
        <v>33000</v>
      </c>
      <c r="J449">
        <f t="shared" ca="1" si="13"/>
        <v>0</v>
      </c>
    </row>
    <row r="450" spans="1:10">
      <c r="A450">
        <v>2026</v>
      </c>
      <c r="B450" t="s">
        <v>1361</v>
      </c>
      <c r="C450" t="s">
        <v>717</v>
      </c>
      <c r="D450" t="s">
        <v>103</v>
      </c>
      <c r="E450" s="1">
        <f t="shared" si="12"/>
        <v>46081</v>
      </c>
      <c r="F450" t="s">
        <v>105</v>
      </c>
      <c r="G450">
        <v>0</v>
      </c>
      <c r="H450">
        <v>0</v>
      </c>
      <c r="I450">
        <v>44000</v>
      </c>
      <c r="J450">
        <f t="shared" ca="1" si="13"/>
        <v>0</v>
      </c>
    </row>
    <row r="451" spans="1:10">
      <c r="A451">
        <v>2026</v>
      </c>
      <c r="B451" t="s">
        <v>1361</v>
      </c>
      <c r="C451" t="s">
        <v>718</v>
      </c>
      <c r="D451" t="s">
        <v>103</v>
      </c>
      <c r="E451" s="1">
        <f t="shared" ref="E451:E514" si="14">EOMONTH(DATE(A451, MONTH(1 &amp; C451), 1), 0)</f>
        <v>46112</v>
      </c>
      <c r="F451" t="s">
        <v>105</v>
      </c>
      <c r="G451">
        <v>0</v>
      </c>
      <c r="H451">
        <v>0</v>
      </c>
      <c r="I451">
        <v>44000</v>
      </c>
      <c r="J451">
        <f t="shared" ref="J451:J514" ca="1" si="15">IF(E451&lt;TODAY(),0,I451)</f>
        <v>44000</v>
      </c>
    </row>
    <row r="452" spans="1:10">
      <c r="A452">
        <v>2026</v>
      </c>
      <c r="B452" t="s">
        <v>1362</v>
      </c>
      <c r="C452" t="s">
        <v>719</v>
      </c>
      <c r="D452" t="s">
        <v>103</v>
      </c>
      <c r="E452" s="1">
        <f t="shared" si="14"/>
        <v>46142</v>
      </c>
      <c r="F452" t="s">
        <v>105</v>
      </c>
      <c r="G452">
        <v>0</v>
      </c>
      <c r="H452">
        <v>0</v>
      </c>
      <c r="I452">
        <v>44000</v>
      </c>
      <c r="J452">
        <f t="shared" ca="1" si="15"/>
        <v>44000</v>
      </c>
    </row>
    <row r="453" spans="1:10">
      <c r="A453">
        <v>2026</v>
      </c>
      <c r="B453" t="s">
        <v>1362</v>
      </c>
      <c r="C453" t="s">
        <v>720</v>
      </c>
      <c r="D453" t="s">
        <v>103</v>
      </c>
      <c r="E453" s="1">
        <f t="shared" si="14"/>
        <v>46173</v>
      </c>
      <c r="F453" t="s">
        <v>105</v>
      </c>
      <c r="G453">
        <v>0</v>
      </c>
      <c r="H453">
        <v>0</v>
      </c>
      <c r="I453">
        <v>44000</v>
      </c>
      <c r="J453">
        <f t="shared" ca="1" si="15"/>
        <v>44000</v>
      </c>
    </row>
    <row r="454" spans="1:10">
      <c r="A454">
        <v>2026</v>
      </c>
      <c r="B454" t="s">
        <v>1362</v>
      </c>
      <c r="C454" t="s">
        <v>721</v>
      </c>
      <c r="D454" t="s">
        <v>103</v>
      </c>
      <c r="E454" s="1">
        <f t="shared" si="14"/>
        <v>46203</v>
      </c>
      <c r="F454" t="s">
        <v>105</v>
      </c>
      <c r="G454">
        <v>0</v>
      </c>
      <c r="H454">
        <v>0</v>
      </c>
      <c r="I454">
        <v>44000</v>
      </c>
      <c r="J454">
        <f t="shared" ca="1" si="15"/>
        <v>44000</v>
      </c>
    </row>
    <row r="455" spans="1:10">
      <c r="A455">
        <v>2026</v>
      </c>
      <c r="B455" t="s">
        <v>1360</v>
      </c>
      <c r="C455" t="s">
        <v>710</v>
      </c>
      <c r="D455" t="s">
        <v>103</v>
      </c>
      <c r="E455" s="1">
        <f t="shared" si="14"/>
        <v>46234</v>
      </c>
      <c r="F455" t="s">
        <v>105</v>
      </c>
      <c r="G455">
        <v>0</v>
      </c>
      <c r="H455">
        <v>0</v>
      </c>
      <c r="I455">
        <v>44000</v>
      </c>
      <c r="J455">
        <f t="shared" ca="1" si="15"/>
        <v>44000</v>
      </c>
    </row>
    <row r="456" spans="1:10">
      <c r="A456">
        <v>2026</v>
      </c>
      <c r="B456" t="s">
        <v>1360</v>
      </c>
      <c r="C456" t="s">
        <v>711</v>
      </c>
      <c r="D456" t="s">
        <v>103</v>
      </c>
      <c r="E456" s="1">
        <f t="shared" si="14"/>
        <v>46265</v>
      </c>
      <c r="F456" t="s">
        <v>105</v>
      </c>
      <c r="G456">
        <v>0</v>
      </c>
      <c r="H456">
        <v>0</v>
      </c>
      <c r="I456">
        <v>44000</v>
      </c>
      <c r="J456">
        <f t="shared" ca="1" si="15"/>
        <v>44000</v>
      </c>
    </row>
    <row r="457" spans="1:10">
      <c r="A457">
        <v>2026</v>
      </c>
      <c r="B457" t="s">
        <v>1360</v>
      </c>
      <c r="C457" t="s">
        <v>712</v>
      </c>
      <c r="D457" t="s">
        <v>103</v>
      </c>
      <c r="E457" s="1">
        <f t="shared" si="14"/>
        <v>46295</v>
      </c>
      <c r="F457" t="s">
        <v>105</v>
      </c>
      <c r="G457">
        <v>0</v>
      </c>
      <c r="H457">
        <v>0</v>
      </c>
      <c r="I457">
        <v>44000</v>
      </c>
      <c r="J457">
        <f t="shared" ca="1" si="15"/>
        <v>44000</v>
      </c>
    </row>
    <row r="458" spans="1:10">
      <c r="A458">
        <v>2026</v>
      </c>
      <c r="B458" t="s">
        <v>803</v>
      </c>
      <c r="C458" t="s">
        <v>713</v>
      </c>
      <c r="D458" t="s">
        <v>103</v>
      </c>
      <c r="E458" s="1">
        <f t="shared" si="14"/>
        <v>46326</v>
      </c>
      <c r="F458" t="s">
        <v>105</v>
      </c>
      <c r="G458">
        <v>0</v>
      </c>
      <c r="H458">
        <v>0</v>
      </c>
      <c r="I458">
        <v>44000</v>
      </c>
      <c r="J458">
        <f t="shared" ca="1" si="15"/>
        <v>44000</v>
      </c>
    </row>
    <row r="459" spans="1:10">
      <c r="A459">
        <v>2026</v>
      </c>
      <c r="B459" t="s">
        <v>803</v>
      </c>
      <c r="C459" t="s">
        <v>714</v>
      </c>
      <c r="D459" t="s">
        <v>103</v>
      </c>
      <c r="E459" s="1">
        <f t="shared" si="14"/>
        <v>46356</v>
      </c>
      <c r="F459" t="s">
        <v>105</v>
      </c>
      <c r="G459">
        <v>0</v>
      </c>
      <c r="H459">
        <v>0</v>
      </c>
      <c r="I459">
        <v>44000</v>
      </c>
      <c r="J459">
        <f t="shared" ca="1" si="15"/>
        <v>44000</v>
      </c>
    </row>
    <row r="460" spans="1:10">
      <c r="A460">
        <v>2026</v>
      </c>
      <c r="B460" t="s">
        <v>803</v>
      </c>
      <c r="C460" t="s">
        <v>715</v>
      </c>
      <c r="D460" t="s">
        <v>103</v>
      </c>
      <c r="E460" s="1">
        <f t="shared" si="14"/>
        <v>46387</v>
      </c>
      <c r="F460" t="s">
        <v>105</v>
      </c>
      <c r="G460">
        <v>0</v>
      </c>
      <c r="H460">
        <v>0</v>
      </c>
      <c r="I460">
        <v>44000</v>
      </c>
      <c r="J460">
        <f t="shared" ca="1" si="15"/>
        <v>44000</v>
      </c>
    </row>
    <row r="461" spans="1:10">
      <c r="A461">
        <v>2025</v>
      </c>
      <c r="B461" t="s">
        <v>1360</v>
      </c>
      <c r="C461" t="s">
        <v>711</v>
      </c>
      <c r="D461" t="s">
        <v>103</v>
      </c>
      <c r="E461" s="1">
        <f t="shared" si="14"/>
        <v>45900</v>
      </c>
      <c r="F461" t="s">
        <v>192</v>
      </c>
      <c r="G461">
        <v>28000</v>
      </c>
      <c r="H461">
        <v>0</v>
      </c>
      <c r="I461">
        <v>0</v>
      </c>
      <c r="J461">
        <f t="shared" ca="1" si="15"/>
        <v>0</v>
      </c>
    </row>
    <row r="462" spans="1:10">
      <c r="A462">
        <v>2025</v>
      </c>
      <c r="B462" t="s">
        <v>1360</v>
      </c>
      <c r="C462" t="s">
        <v>712</v>
      </c>
      <c r="D462" t="s">
        <v>103</v>
      </c>
      <c r="E462" s="1">
        <f t="shared" si="14"/>
        <v>45930</v>
      </c>
      <c r="F462" t="s">
        <v>192</v>
      </c>
      <c r="G462">
        <v>28000</v>
      </c>
      <c r="H462">
        <v>0</v>
      </c>
      <c r="I462">
        <v>0</v>
      </c>
      <c r="J462">
        <f t="shared" ca="1" si="15"/>
        <v>0</v>
      </c>
    </row>
    <row r="463" spans="1:10">
      <c r="A463">
        <v>2025</v>
      </c>
      <c r="B463" t="s">
        <v>803</v>
      </c>
      <c r="C463" t="s">
        <v>713</v>
      </c>
      <c r="D463" t="s">
        <v>103</v>
      </c>
      <c r="E463" s="1">
        <f t="shared" si="14"/>
        <v>45961</v>
      </c>
      <c r="F463" t="s">
        <v>192</v>
      </c>
      <c r="G463">
        <v>28000</v>
      </c>
      <c r="H463">
        <v>0</v>
      </c>
      <c r="I463">
        <v>0</v>
      </c>
      <c r="J463">
        <f t="shared" ca="1" si="15"/>
        <v>0</v>
      </c>
    </row>
    <row r="464" spans="1:10">
      <c r="A464">
        <v>2025</v>
      </c>
      <c r="B464" t="s">
        <v>803</v>
      </c>
      <c r="C464" t="s">
        <v>714</v>
      </c>
      <c r="D464" t="s">
        <v>103</v>
      </c>
      <c r="E464" s="1">
        <f t="shared" si="14"/>
        <v>45991</v>
      </c>
      <c r="F464" t="s">
        <v>192</v>
      </c>
      <c r="G464">
        <v>28000</v>
      </c>
      <c r="H464">
        <v>8000</v>
      </c>
      <c r="I464">
        <v>14000</v>
      </c>
      <c r="J464">
        <f t="shared" ca="1" si="15"/>
        <v>0</v>
      </c>
    </row>
    <row r="465" spans="1:10">
      <c r="A465">
        <v>2025</v>
      </c>
      <c r="B465" t="s">
        <v>803</v>
      </c>
      <c r="C465" t="s">
        <v>715</v>
      </c>
      <c r="D465" t="s">
        <v>103</v>
      </c>
      <c r="E465" s="1">
        <f t="shared" si="14"/>
        <v>46022</v>
      </c>
      <c r="F465" t="s">
        <v>192</v>
      </c>
      <c r="G465">
        <v>28000</v>
      </c>
      <c r="H465">
        <v>0</v>
      </c>
      <c r="I465">
        <v>14000</v>
      </c>
      <c r="J465">
        <f t="shared" ca="1" si="15"/>
        <v>0</v>
      </c>
    </row>
    <row r="466" spans="1:10">
      <c r="A466">
        <v>2026</v>
      </c>
      <c r="B466" t="s">
        <v>1361</v>
      </c>
      <c r="C466" t="s">
        <v>716</v>
      </c>
      <c r="D466" t="s">
        <v>103</v>
      </c>
      <c r="E466" s="1">
        <f t="shared" si="14"/>
        <v>46053</v>
      </c>
      <c r="F466" t="s">
        <v>192</v>
      </c>
      <c r="G466">
        <v>28000</v>
      </c>
      <c r="H466">
        <v>30000</v>
      </c>
      <c r="I466">
        <v>28000</v>
      </c>
      <c r="J466">
        <f t="shared" ca="1" si="15"/>
        <v>0</v>
      </c>
    </row>
    <row r="467" spans="1:10">
      <c r="A467">
        <v>2026</v>
      </c>
      <c r="B467" t="s">
        <v>1361</v>
      </c>
      <c r="C467" t="s">
        <v>717</v>
      </c>
      <c r="D467" t="s">
        <v>103</v>
      </c>
      <c r="E467" s="1">
        <f t="shared" si="14"/>
        <v>46081</v>
      </c>
      <c r="F467" t="s">
        <v>192</v>
      </c>
      <c r="G467">
        <v>28000</v>
      </c>
      <c r="H467">
        <v>0</v>
      </c>
      <c r="I467">
        <v>28000</v>
      </c>
      <c r="J467">
        <f t="shared" ca="1" si="15"/>
        <v>0</v>
      </c>
    </row>
    <row r="468" spans="1:10">
      <c r="A468">
        <v>2026</v>
      </c>
      <c r="B468" t="s">
        <v>1361</v>
      </c>
      <c r="C468" t="s">
        <v>718</v>
      </c>
      <c r="D468" t="s">
        <v>103</v>
      </c>
      <c r="E468" s="1">
        <f t="shared" si="14"/>
        <v>46112</v>
      </c>
      <c r="F468" t="s">
        <v>192</v>
      </c>
      <c r="G468">
        <v>28000</v>
      </c>
      <c r="H468">
        <v>0</v>
      </c>
      <c r="I468">
        <v>28000</v>
      </c>
      <c r="J468">
        <f t="shared" ca="1" si="15"/>
        <v>28000</v>
      </c>
    </row>
    <row r="469" spans="1:10">
      <c r="A469">
        <v>2026</v>
      </c>
      <c r="B469" t="s">
        <v>1362</v>
      </c>
      <c r="C469" t="s">
        <v>719</v>
      </c>
      <c r="D469" t="s">
        <v>103</v>
      </c>
      <c r="E469" s="1">
        <f t="shared" si="14"/>
        <v>46142</v>
      </c>
      <c r="F469" t="s">
        <v>192</v>
      </c>
      <c r="G469">
        <v>28000</v>
      </c>
      <c r="H469">
        <v>0</v>
      </c>
      <c r="I469">
        <v>28000</v>
      </c>
      <c r="J469">
        <f t="shared" ca="1" si="15"/>
        <v>28000</v>
      </c>
    </row>
    <row r="470" spans="1:10">
      <c r="A470">
        <v>2026</v>
      </c>
      <c r="B470" t="s">
        <v>1362</v>
      </c>
      <c r="C470" t="s">
        <v>720</v>
      </c>
      <c r="D470" t="s">
        <v>103</v>
      </c>
      <c r="E470" s="1">
        <f t="shared" si="14"/>
        <v>46173</v>
      </c>
      <c r="F470" t="s">
        <v>192</v>
      </c>
      <c r="G470">
        <v>28000</v>
      </c>
      <c r="H470">
        <v>0</v>
      </c>
      <c r="I470">
        <v>28000</v>
      </c>
      <c r="J470">
        <f t="shared" ca="1" si="15"/>
        <v>28000</v>
      </c>
    </row>
    <row r="471" spans="1:10">
      <c r="A471">
        <v>2026</v>
      </c>
      <c r="B471" t="s">
        <v>1362</v>
      </c>
      <c r="C471" t="s">
        <v>721</v>
      </c>
      <c r="D471" t="s">
        <v>103</v>
      </c>
      <c r="E471" s="1">
        <f t="shared" si="14"/>
        <v>46203</v>
      </c>
      <c r="F471" t="s">
        <v>192</v>
      </c>
      <c r="G471">
        <v>28000</v>
      </c>
      <c r="H471">
        <v>0</v>
      </c>
      <c r="I471">
        <v>28000</v>
      </c>
      <c r="J471">
        <f t="shared" ca="1" si="15"/>
        <v>28000</v>
      </c>
    </row>
    <row r="472" spans="1:10">
      <c r="A472">
        <v>2026</v>
      </c>
      <c r="B472" t="s">
        <v>1360</v>
      </c>
      <c r="C472" t="s">
        <v>710</v>
      </c>
      <c r="D472" t="s">
        <v>103</v>
      </c>
      <c r="E472" s="1">
        <f t="shared" si="14"/>
        <v>46234</v>
      </c>
      <c r="F472" t="s">
        <v>192</v>
      </c>
      <c r="G472">
        <v>28000</v>
      </c>
      <c r="H472">
        <v>0</v>
      </c>
      <c r="I472">
        <v>28000</v>
      </c>
      <c r="J472">
        <f t="shared" ca="1" si="15"/>
        <v>28000</v>
      </c>
    </row>
    <row r="473" spans="1:10">
      <c r="A473">
        <v>2026</v>
      </c>
      <c r="B473" t="s">
        <v>1360</v>
      </c>
      <c r="C473" t="s">
        <v>711</v>
      </c>
      <c r="D473" t="s">
        <v>103</v>
      </c>
      <c r="E473" s="1">
        <f t="shared" si="14"/>
        <v>46265</v>
      </c>
      <c r="F473" t="s">
        <v>192</v>
      </c>
      <c r="G473">
        <v>28000</v>
      </c>
      <c r="H473">
        <v>0</v>
      </c>
      <c r="I473">
        <v>28000</v>
      </c>
      <c r="J473">
        <f t="shared" ca="1" si="15"/>
        <v>28000</v>
      </c>
    </row>
    <row r="474" spans="1:10">
      <c r="A474">
        <v>2026</v>
      </c>
      <c r="B474" t="s">
        <v>1360</v>
      </c>
      <c r="C474" t="s">
        <v>712</v>
      </c>
      <c r="D474" t="s">
        <v>103</v>
      </c>
      <c r="E474" s="1">
        <f t="shared" si="14"/>
        <v>46295</v>
      </c>
      <c r="F474" t="s">
        <v>192</v>
      </c>
      <c r="G474">
        <v>28000</v>
      </c>
      <c r="H474">
        <v>0</v>
      </c>
      <c r="I474">
        <v>28000</v>
      </c>
      <c r="J474">
        <f t="shared" ca="1" si="15"/>
        <v>28000</v>
      </c>
    </row>
    <row r="475" spans="1:10">
      <c r="A475">
        <v>2026</v>
      </c>
      <c r="B475" t="s">
        <v>803</v>
      </c>
      <c r="C475" t="s">
        <v>713</v>
      </c>
      <c r="D475" t="s">
        <v>103</v>
      </c>
      <c r="E475" s="1">
        <f t="shared" si="14"/>
        <v>46326</v>
      </c>
      <c r="F475" t="s">
        <v>192</v>
      </c>
      <c r="G475">
        <v>28000</v>
      </c>
      <c r="H475">
        <v>0</v>
      </c>
      <c r="I475">
        <v>28000</v>
      </c>
      <c r="J475">
        <f t="shared" ca="1" si="15"/>
        <v>28000</v>
      </c>
    </row>
    <row r="476" spans="1:10">
      <c r="A476">
        <v>2026</v>
      </c>
      <c r="B476" t="s">
        <v>803</v>
      </c>
      <c r="C476" t="s">
        <v>714</v>
      </c>
      <c r="D476" t="s">
        <v>103</v>
      </c>
      <c r="E476" s="1">
        <f t="shared" si="14"/>
        <v>46356</v>
      </c>
      <c r="F476" t="s">
        <v>192</v>
      </c>
      <c r="G476">
        <v>28000</v>
      </c>
      <c r="H476">
        <v>0</v>
      </c>
      <c r="I476">
        <v>28000</v>
      </c>
      <c r="J476">
        <f t="shared" ca="1" si="15"/>
        <v>28000</v>
      </c>
    </row>
    <row r="477" spans="1:10">
      <c r="A477">
        <v>2026</v>
      </c>
      <c r="B477" t="s">
        <v>803</v>
      </c>
      <c r="C477" t="s">
        <v>715</v>
      </c>
      <c r="D477" t="s">
        <v>103</v>
      </c>
      <c r="E477" s="1">
        <f t="shared" si="14"/>
        <v>46387</v>
      </c>
      <c r="F477" t="s">
        <v>192</v>
      </c>
      <c r="G477">
        <v>28000</v>
      </c>
      <c r="H477">
        <v>0</v>
      </c>
      <c r="I477">
        <v>28000</v>
      </c>
      <c r="J477">
        <f t="shared" ca="1" si="15"/>
        <v>28000</v>
      </c>
    </row>
    <row r="478" spans="1:10">
      <c r="A478">
        <v>2025</v>
      </c>
      <c r="B478" t="s">
        <v>1360</v>
      </c>
      <c r="C478" t="s">
        <v>711</v>
      </c>
      <c r="D478" t="s">
        <v>103</v>
      </c>
      <c r="E478" s="1">
        <f t="shared" si="14"/>
        <v>45900</v>
      </c>
      <c r="F478" t="s">
        <v>228</v>
      </c>
      <c r="G478">
        <v>48000</v>
      </c>
      <c r="H478">
        <v>0</v>
      </c>
      <c r="I478">
        <v>0</v>
      </c>
      <c r="J478">
        <f t="shared" ca="1" si="15"/>
        <v>0</v>
      </c>
    </row>
    <row r="479" spans="1:10">
      <c r="A479">
        <v>2025</v>
      </c>
      <c r="B479" t="s">
        <v>1360</v>
      </c>
      <c r="C479" t="s">
        <v>712</v>
      </c>
      <c r="D479" t="s">
        <v>103</v>
      </c>
      <c r="E479" s="1">
        <f t="shared" si="14"/>
        <v>45930</v>
      </c>
      <c r="F479" t="s">
        <v>228</v>
      </c>
      <c r="G479">
        <v>72000</v>
      </c>
      <c r="H479">
        <v>120000</v>
      </c>
      <c r="I479">
        <v>0</v>
      </c>
      <c r="J479">
        <f t="shared" ca="1" si="15"/>
        <v>0</v>
      </c>
    </row>
    <row r="480" spans="1:10">
      <c r="A480">
        <v>2025</v>
      </c>
      <c r="B480" t="s">
        <v>803</v>
      </c>
      <c r="C480" t="s">
        <v>713</v>
      </c>
      <c r="D480" t="s">
        <v>103</v>
      </c>
      <c r="E480" s="1">
        <f t="shared" si="14"/>
        <v>45961</v>
      </c>
      <c r="F480" t="s">
        <v>228</v>
      </c>
      <c r="G480">
        <v>96000</v>
      </c>
      <c r="H480">
        <v>200000</v>
      </c>
      <c r="I480">
        <v>0</v>
      </c>
      <c r="J480">
        <f t="shared" ca="1" si="15"/>
        <v>0</v>
      </c>
    </row>
    <row r="481" spans="1:10">
      <c r="A481">
        <v>2025</v>
      </c>
      <c r="B481" t="s">
        <v>803</v>
      </c>
      <c r="C481" t="s">
        <v>714</v>
      </c>
      <c r="D481" t="s">
        <v>103</v>
      </c>
      <c r="E481" s="1">
        <f t="shared" si="14"/>
        <v>45991</v>
      </c>
      <c r="F481" t="s">
        <v>228</v>
      </c>
      <c r="G481">
        <v>104000</v>
      </c>
      <c r="H481">
        <v>200000</v>
      </c>
      <c r="I481">
        <v>16000</v>
      </c>
      <c r="J481">
        <f t="shared" ca="1" si="15"/>
        <v>0</v>
      </c>
    </row>
    <row r="482" spans="1:10">
      <c r="A482">
        <v>2025</v>
      </c>
      <c r="B482" t="s">
        <v>803</v>
      </c>
      <c r="C482" t="s">
        <v>715</v>
      </c>
      <c r="D482" t="s">
        <v>103</v>
      </c>
      <c r="E482" s="1">
        <f t="shared" si="14"/>
        <v>46022</v>
      </c>
      <c r="F482" t="s">
        <v>228</v>
      </c>
      <c r="G482">
        <v>104000</v>
      </c>
      <c r="H482">
        <v>0</v>
      </c>
      <c r="I482">
        <v>16000</v>
      </c>
      <c r="J482">
        <f t="shared" ca="1" si="15"/>
        <v>0</v>
      </c>
    </row>
    <row r="483" spans="1:10">
      <c r="A483">
        <v>2026</v>
      </c>
      <c r="B483" t="s">
        <v>1361</v>
      </c>
      <c r="C483" t="s">
        <v>716</v>
      </c>
      <c r="D483" t="s">
        <v>103</v>
      </c>
      <c r="E483" s="1">
        <f t="shared" si="14"/>
        <v>46053</v>
      </c>
      <c r="F483" t="s">
        <v>228</v>
      </c>
      <c r="G483">
        <v>104000</v>
      </c>
      <c r="H483">
        <v>200000</v>
      </c>
      <c r="I483">
        <v>32000</v>
      </c>
      <c r="J483">
        <f t="shared" ca="1" si="15"/>
        <v>0</v>
      </c>
    </row>
    <row r="484" spans="1:10">
      <c r="A484">
        <v>2026</v>
      </c>
      <c r="B484" t="s">
        <v>1361</v>
      </c>
      <c r="C484" t="s">
        <v>717</v>
      </c>
      <c r="D484" t="s">
        <v>103</v>
      </c>
      <c r="E484" s="1">
        <f t="shared" si="14"/>
        <v>46081</v>
      </c>
      <c r="F484" t="s">
        <v>228</v>
      </c>
      <c r="G484">
        <v>104000</v>
      </c>
      <c r="H484">
        <v>0</v>
      </c>
      <c r="I484">
        <v>40000</v>
      </c>
      <c r="J484">
        <f t="shared" ca="1" si="15"/>
        <v>0</v>
      </c>
    </row>
    <row r="485" spans="1:10">
      <c r="A485">
        <v>2026</v>
      </c>
      <c r="B485" t="s">
        <v>1361</v>
      </c>
      <c r="C485" t="s">
        <v>718</v>
      </c>
      <c r="D485" t="s">
        <v>103</v>
      </c>
      <c r="E485" s="1">
        <f t="shared" si="14"/>
        <v>46112</v>
      </c>
      <c r="F485" t="s">
        <v>228</v>
      </c>
      <c r="G485">
        <v>104000</v>
      </c>
      <c r="H485">
        <v>0</v>
      </c>
      <c r="I485">
        <v>40000</v>
      </c>
      <c r="J485">
        <f t="shared" ca="1" si="15"/>
        <v>40000</v>
      </c>
    </row>
    <row r="486" spans="1:10">
      <c r="A486">
        <v>2026</v>
      </c>
      <c r="B486" t="s">
        <v>1362</v>
      </c>
      <c r="C486" t="s">
        <v>719</v>
      </c>
      <c r="D486" t="s">
        <v>103</v>
      </c>
      <c r="E486" s="1">
        <f t="shared" si="14"/>
        <v>46142</v>
      </c>
      <c r="F486" t="s">
        <v>228</v>
      </c>
      <c r="G486">
        <v>104000</v>
      </c>
      <c r="H486">
        <v>0</v>
      </c>
      <c r="I486">
        <v>40000</v>
      </c>
      <c r="J486">
        <f t="shared" ca="1" si="15"/>
        <v>40000</v>
      </c>
    </row>
    <row r="487" spans="1:10">
      <c r="A487">
        <v>2026</v>
      </c>
      <c r="B487" t="s">
        <v>1362</v>
      </c>
      <c r="C487" t="s">
        <v>720</v>
      </c>
      <c r="D487" t="s">
        <v>103</v>
      </c>
      <c r="E487" s="1">
        <f t="shared" si="14"/>
        <v>46173</v>
      </c>
      <c r="F487" t="s">
        <v>228</v>
      </c>
      <c r="G487">
        <v>104000</v>
      </c>
      <c r="H487">
        <v>0</v>
      </c>
      <c r="I487">
        <v>40000</v>
      </c>
      <c r="J487">
        <f t="shared" ca="1" si="15"/>
        <v>40000</v>
      </c>
    </row>
    <row r="488" spans="1:10">
      <c r="A488">
        <v>2026</v>
      </c>
      <c r="B488" t="s">
        <v>1362</v>
      </c>
      <c r="C488" t="s">
        <v>721</v>
      </c>
      <c r="D488" t="s">
        <v>103</v>
      </c>
      <c r="E488" s="1">
        <f t="shared" si="14"/>
        <v>46203</v>
      </c>
      <c r="F488" t="s">
        <v>228</v>
      </c>
      <c r="G488">
        <v>104000</v>
      </c>
      <c r="H488">
        <v>0</v>
      </c>
      <c r="I488">
        <v>40000</v>
      </c>
      <c r="J488">
        <f t="shared" ca="1" si="15"/>
        <v>40000</v>
      </c>
    </row>
    <row r="489" spans="1:10">
      <c r="A489">
        <v>2026</v>
      </c>
      <c r="B489" t="s">
        <v>1360</v>
      </c>
      <c r="C489" t="s">
        <v>710</v>
      </c>
      <c r="D489" t="s">
        <v>103</v>
      </c>
      <c r="E489" s="1">
        <f t="shared" si="14"/>
        <v>46234</v>
      </c>
      <c r="F489" t="s">
        <v>228</v>
      </c>
      <c r="G489">
        <v>104000</v>
      </c>
      <c r="H489">
        <v>0</v>
      </c>
      <c r="I489">
        <v>40000</v>
      </c>
      <c r="J489">
        <f t="shared" ca="1" si="15"/>
        <v>40000</v>
      </c>
    </row>
    <row r="490" spans="1:10">
      <c r="A490">
        <v>2026</v>
      </c>
      <c r="B490" t="s">
        <v>1360</v>
      </c>
      <c r="C490" t="s">
        <v>711</v>
      </c>
      <c r="D490" t="s">
        <v>103</v>
      </c>
      <c r="E490" s="1">
        <f t="shared" si="14"/>
        <v>46265</v>
      </c>
      <c r="F490" t="s">
        <v>228</v>
      </c>
      <c r="G490">
        <v>104000</v>
      </c>
      <c r="H490">
        <v>0</v>
      </c>
      <c r="I490">
        <v>40000</v>
      </c>
      <c r="J490">
        <f t="shared" ca="1" si="15"/>
        <v>40000</v>
      </c>
    </row>
    <row r="491" spans="1:10">
      <c r="A491">
        <v>2026</v>
      </c>
      <c r="B491" t="s">
        <v>1360</v>
      </c>
      <c r="C491" t="s">
        <v>712</v>
      </c>
      <c r="D491" t="s">
        <v>103</v>
      </c>
      <c r="E491" s="1">
        <f t="shared" si="14"/>
        <v>46295</v>
      </c>
      <c r="F491" t="s">
        <v>228</v>
      </c>
      <c r="G491">
        <v>104000</v>
      </c>
      <c r="H491">
        <v>0</v>
      </c>
      <c r="I491">
        <v>40000</v>
      </c>
      <c r="J491">
        <f t="shared" ca="1" si="15"/>
        <v>40000</v>
      </c>
    </row>
    <row r="492" spans="1:10">
      <c r="A492">
        <v>2026</v>
      </c>
      <c r="B492" t="s">
        <v>803</v>
      </c>
      <c r="C492" t="s">
        <v>713</v>
      </c>
      <c r="D492" t="s">
        <v>103</v>
      </c>
      <c r="E492" s="1">
        <f t="shared" si="14"/>
        <v>46326</v>
      </c>
      <c r="F492" t="s">
        <v>228</v>
      </c>
      <c r="G492">
        <v>104000</v>
      </c>
      <c r="H492">
        <v>0</v>
      </c>
      <c r="I492">
        <v>40000</v>
      </c>
      <c r="J492">
        <f t="shared" ca="1" si="15"/>
        <v>40000</v>
      </c>
    </row>
    <row r="493" spans="1:10">
      <c r="A493">
        <v>2026</v>
      </c>
      <c r="B493" t="s">
        <v>803</v>
      </c>
      <c r="C493" t="s">
        <v>714</v>
      </c>
      <c r="D493" t="s">
        <v>103</v>
      </c>
      <c r="E493" s="1">
        <f t="shared" si="14"/>
        <v>46356</v>
      </c>
      <c r="F493" t="s">
        <v>228</v>
      </c>
      <c r="G493">
        <v>104000</v>
      </c>
      <c r="H493">
        <v>0</v>
      </c>
      <c r="I493">
        <v>40000</v>
      </c>
      <c r="J493">
        <f t="shared" ca="1" si="15"/>
        <v>40000</v>
      </c>
    </row>
    <row r="494" spans="1:10">
      <c r="A494">
        <v>2026</v>
      </c>
      <c r="B494" t="s">
        <v>803</v>
      </c>
      <c r="C494" t="s">
        <v>715</v>
      </c>
      <c r="D494" t="s">
        <v>103</v>
      </c>
      <c r="E494" s="1">
        <f t="shared" si="14"/>
        <v>46387</v>
      </c>
      <c r="F494" t="s">
        <v>228</v>
      </c>
      <c r="G494">
        <v>104000</v>
      </c>
      <c r="H494">
        <v>0</v>
      </c>
      <c r="I494">
        <v>40000</v>
      </c>
      <c r="J494">
        <f t="shared" ca="1" si="15"/>
        <v>40000</v>
      </c>
    </row>
    <row r="495" spans="1:10">
      <c r="A495">
        <v>2025</v>
      </c>
      <c r="B495" t="s">
        <v>1360</v>
      </c>
      <c r="C495" t="s">
        <v>711</v>
      </c>
      <c r="D495" t="s">
        <v>103</v>
      </c>
      <c r="E495" s="1">
        <f t="shared" si="14"/>
        <v>45900</v>
      </c>
      <c r="F495" t="s">
        <v>206</v>
      </c>
      <c r="G495">
        <v>48000</v>
      </c>
      <c r="H495">
        <v>0</v>
      </c>
      <c r="I495">
        <v>0</v>
      </c>
      <c r="J495">
        <f t="shared" ca="1" si="15"/>
        <v>0</v>
      </c>
    </row>
    <row r="496" spans="1:10">
      <c r="A496">
        <v>2025</v>
      </c>
      <c r="B496" t="s">
        <v>1360</v>
      </c>
      <c r="C496" t="s">
        <v>712</v>
      </c>
      <c r="D496" t="s">
        <v>103</v>
      </c>
      <c r="E496" s="1">
        <f t="shared" si="14"/>
        <v>45930</v>
      </c>
      <c r="F496" t="s">
        <v>206</v>
      </c>
      <c r="G496">
        <v>60000</v>
      </c>
      <c r="H496">
        <v>80000</v>
      </c>
      <c r="I496">
        <v>0</v>
      </c>
      <c r="J496">
        <f t="shared" ca="1" si="15"/>
        <v>0</v>
      </c>
    </row>
    <row r="497" spans="1:10">
      <c r="A497">
        <v>2025</v>
      </c>
      <c r="B497" t="s">
        <v>803</v>
      </c>
      <c r="C497" t="s">
        <v>713</v>
      </c>
      <c r="D497" t="s">
        <v>103</v>
      </c>
      <c r="E497" s="1">
        <f t="shared" si="14"/>
        <v>45961</v>
      </c>
      <c r="F497" t="s">
        <v>206</v>
      </c>
      <c r="G497">
        <v>72000</v>
      </c>
      <c r="H497">
        <v>0</v>
      </c>
      <c r="I497">
        <v>0</v>
      </c>
      <c r="J497">
        <f t="shared" ca="1" si="15"/>
        <v>0</v>
      </c>
    </row>
    <row r="498" spans="1:10">
      <c r="A498">
        <v>2025</v>
      </c>
      <c r="B498" t="s">
        <v>803</v>
      </c>
      <c r="C498" t="s">
        <v>714</v>
      </c>
      <c r="D498" t="s">
        <v>103</v>
      </c>
      <c r="E498" s="1">
        <f t="shared" si="14"/>
        <v>45991</v>
      </c>
      <c r="F498" t="s">
        <v>206</v>
      </c>
      <c r="G498">
        <v>84000</v>
      </c>
      <c r="H498">
        <v>24000</v>
      </c>
      <c r="I498">
        <v>24000</v>
      </c>
      <c r="J498">
        <f t="shared" ca="1" si="15"/>
        <v>0</v>
      </c>
    </row>
    <row r="499" spans="1:10">
      <c r="A499">
        <v>2025</v>
      </c>
      <c r="B499" t="s">
        <v>803</v>
      </c>
      <c r="C499" t="s">
        <v>715</v>
      </c>
      <c r="D499" t="s">
        <v>103</v>
      </c>
      <c r="E499" s="1">
        <f t="shared" si="14"/>
        <v>46022</v>
      </c>
      <c r="F499" t="s">
        <v>206</v>
      </c>
      <c r="G499">
        <v>96000</v>
      </c>
      <c r="H499">
        <v>0</v>
      </c>
      <c r="I499">
        <v>72000</v>
      </c>
      <c r="J499">
        <f t="shared" ca="1" si="15"/>
        <v>0</v>
      </c>
    </row>
    <row r="500" spans="1:10">
      <c r="A500">
        <v>2026</v>
      </c>
      <c r="B500" t="s">
        <v>1361</v>
      </c>
      <c r="C500" t="s">
        <v>716</v>
      </c>
      <c r="D500" t="s">
        <v>103</v>
      </c>
      <c r="E500" s="1">
        <f t="shared" si="14"/>
        <v>46053</v>
      </c>
      <c r="F500" t="s">
        <v>206</v>
      </c>
      <c r="G500">
        <v>96000</v>
      </c>
      <c r="H500">
        <v>120000</v>
      </c>
      <c r="I500">
        <v>84000</v>
      </c>
      <c r="J500">
        <f t="shared" ca="1" si="15"/>
        <v>0</v>
      </c>
    </row>
    <row r="501" spans="1:10">
      <c r="A501">
        <v>2026</v>
      </c>
      <c r="B501" t="s">
        <v>1361</v>
      </c>
      <c r="C501" t="s">
        <v>717</v>
      </c>
      <c r="D501" t="s">
        <v>103</v>
      </c>
      <c r="E501" s="1">
        <f t="shared" si="14"/>
        <v>46081</v>
      </c>
      <c r="F501" t="s">
        <v>206</v>
      </c>
      <c r="G501">
        <v>96000</v>
      </c>
      <c r="H501">
        <v>0</v>
      </c>
      <c r="I501">
        <v>84000</v>
      </c>
      <c r="J501">
        <f t="shared" ca="1" si="15"/>
        <v>0</v>
      </c>
    </row>
    <row r="502" spans="1:10">
      <c r="A502">
        <v>2026</v>
      </c>
      <c r="B502" t="s">
        <v>1361</v>
      </c>
      <c r="C502" t="s">
        <v>718</v>
      </c>
      <c r="D502" t="s">
        <v>103</v>
      </c>
      <c r="E502" s="1">
        <f t="shared" si="14"/>
        <v>46112</v>
      </c>
      <c r="F502" t="s">
        <v>206</v>
      </c>
      <c r="G502">
        <v>96000</v>
      </c>
      <c r="H502">
        <v>0</v>
      </c>
      <c r="I502">
        <v>84000</v>
      </c>
      <c r="J502">
        <f t="shared" ca="1" si="15"/>
        <v>84000</v>
      </c>
    </row>
    <row r="503" spans="1:10">
      <c r="A503">
        <v>2026</v>
      </c>
      <c r="B503" t="s">
        <v>1362</v>
      </c>
      <c r="C503" t="s">
        <v>719</v>
      </c>
      <c r="D503" t="s">
        <v>103</v>
      </c>
      <c r="E503" s="1">
        <f t="shared" si="14"/>
        <v>46142</v>
      </c>
      <c r="F503" t="s">
        <v>206</v>
      </c>
      <c r="G503">
        <v>96000</v>
      </c>
      <c r="H503">
        <v>0</v>
      </c>
      <c r="I503">
        <v>84000</v>
      </c>
      <c r="J503">
        <f t="shared" ca="1" si="15"/>
        <v>84000</v>
      </c>
    </row>
    <row r="504" spans="1:10">
      <c r="A504">
        <v>2026</v>
      </c>
      <c r="B504" t="s">
        <v>1362</v>
      </c>
      <c r="C504" t="s">
        <v>720</v>
      </c>
      <c r="D504" t="s">
        <v>103</v>
      </c>
      <c r="E504" s="1">
        <f t="shared" si="14"/>
        <v>46173</v>
      </c>
      <c r="F504" t="s">
        <v>206</v>
      </c>
      <c r="G504">
        <v>96000</v>
      </c>
      <c r="H504">
        <v>0</v>
      </c>
      <c r="I504">
        <v>84000</v>
      </c>
      <c r="J504">
        <f t="shared" ca="1" si="15"/>
        <v>84000</v>
      </c>
    </row>
    <row r="505" spans="1:10">
      <c r="A505">
        <v>2026</v>
      </c>
      <c r="B505" t="s">
        <v>1362</v>
      </c>
      <c r="C505" t="s">
        <v>721</v>
      </c>
      <c r="D505" t="s">
        <v>103</v>
      </c>
      <c r="E505" s="1">
        <f t="shared" si="14"/>
        <v>46203</v>
      </c>
      <c r="F505" t="s">
        <v>206</v>
      </c>
      <c r="G505">
        <v>96000</v>
      </c>
      <c r="H505">
        <v>0</v>
      </c>
      <c r="I505">
        <v>84000</v>
      </c>
      <c r="J505">
        <f t="shared" ca="1" si="15"/>
        <v>84000</v>
      </c>
    </row>
    <row r="506" spans="1:10">
      <c r="A506">
        <v>2026</v>
      </c>
      <c r="B506" t="s">
        <v>1360</v>
      </c>
      <c r="C506" t="s">
        <v>710</v>
      </c>
      <c r="D506" t="s">
        <v>103</v>
      </c>
      <c r="E506" s="1">
        <f t="shared" si="14"/>
        <v>46234</v>
      </c>
      <c r="F506" t="s">
        <v>206</v>
      </c>
      <c r="G506">
        <v>96000</v>
      </c>
      <c r="H506">
        <v>0</v>
      </c>
      <c r="I506">
        <v>84000</v>
      </c>
      <c r="J506">
        <f t="shared" ca="1" si="15"/>
        <v>84000</v>
      </c>
    </row>
    <row r="507" spans="1:10">
      <c r="A507">
        <v>2026</v>
      </c>
      <c r="B507" t="s">
        <v>1360</v>
      </c>
      <c r="C507" t="s">
        <v>711</v>
      </c>
      <c r="D507" t="s">
        <v>103</v>
      </c>
      <c r="E507" s="1">
        <f t="shared" si="14"/>
        <v>46265</v>
      </c>
      <c r="F507" t="s">
        <v>206</v>
      </c>
      <c r="G507">
        <v>96000</v>
      </c>
      <c r="H507">
        <v>0</v>
      </c>
      <c r="I507">
        <v>84000</v>
      </c>
      <c r="J507">
        <f t="shared" ca="1" si="15"/>
        <v>84000</v>
      </c>
    </row>
    <row r="508" spans="1:10">
      <c r="A508">
        <v>2026</v>
      </c>
      <c r="B508" t="s">
        <v>1360</v>
      </c>
      <c r="C508" t="s">
        <v>712</v>
      </c>
      <c r="D508" t="s">
        <v>103</v>
      </c>
      <c r="E508" s="1">
        <f t="shared" si="14"/>
        <v>46295</v>
      </c>
      <c r="F508" t="s">
        <v>206</v>
      </c>
      <c r="G508">
        <v>96000</v>
      </c>
      <c r="H508">
        <v>0</v>
      </c>
      <c r="I508">
        <v>84000</v>
      </c>
      <c r="J508">
        <f t="shared" ca="1" si="15"/>
        <v>84000</v>
      </c>
    </row>
    <row r="509" spans="1:10">
      <c r="A509">
        <v>2026</v>
      </c>
      <c r="B509" t="s">
        <v>803</v>
      </c>
      <c r="C509" t="s">
        <v>713</v>
      </c>
      <c r="D509" t="s">
        <v>103</v>
      </c>
      <c r="E509" s="1">
        <f t="shared" si="14"/>
        <v>46326</v>
      </c>
      <c r="F509" t="s">
        <v>206</v>
      </c>
      <c r="G509">
        <v>96000</v>
      </c>
      <c r="H509">
        <v>0</v>
      </c>
      <c r="I509">
        <v>84000</v>
      </c>
      <c r="J509">
        <f t="shared" ca="1" si="15"/>
        <v>84000</v>
      </c>
    </row>
    <row r="510" spans="1:10">
      <c r="A510">
        <v>2026</v>
      </c>
      <c r="B510" t="s">
        <v>803</v>
      </c>
      <c r="C510" t="s">
        <v>714</v>
      </c>
      <c r="D510" t="s">
        <v>103</v>
      </c>
      <c r="E510" s="1">
        <f t="shared" si="14"/>
        <v>46356</v>
      </c>
      <c r="F510" t="s">
        <v>206</v>
      </c>
      <c r="G510">
        <v>96000</v>
      </c>
      <c r="H510">
        <v>0</v>
      </c>
      <c r="I510">
        <v>84000</v>
      </c>
      <c r="J510">
        <f t="shared" ca="1" si="15"/>
        <v>84000</v>
      </c>
    </row>
    <row r="511" spans="1:10">
      <c r="A511">
        <v>2026</v>
      </c>
      <c r="B511" t="s">
        <v>803</v>
      </c>
      <c r="C511" t="s">
        <v>715</v>
      </c>
      <c r="D511" t="s">
        <v>103</v>
      </c>
      <c r="E511" s="1">
        <f t="shared" si="14"/>
        <v>46387</v>
      </c>
      <c r="F511" t="s">
        <v>206</v>
      </c>
      <c r="G511">
        <v>96000</v>
      </c>
      <c r="H511">
        <v>0</v>
      </c>
      <c r="I511">
        <v>84000</v>
      </c>
      <c r="J511">
        <f t="shared" ca="1" si="15"/>
        <v>84000</v>
      </c>
    </row>
    <row r="512" spans="1:10">
      <c r="A512">
        <v>2025</v>
      </c>
      <c r="B512" t="s">
        <v>1360</v>
      </c>
      <c r="C512" t="s">
        <v>711</v>
      </c>
      <c r="D512" t="s">
        <v>103</v>
      </c>
      <c r="E512" s="1">
        <f t="shared" si="14"/>
        <v>45900</v>
      </c>
      <c r="F512" t="s">
        <v>261</v>
      </c>
      <c r="G512">
        <v>30000</v>
      </c>
      <c r="H512">
        <v>0</v>
      </c>
      <c r="I512">
        <v>0</v>
      </c>
      <c r="J512">
        <f t="shared" ca="1" si="15"/>
        <v>0</v>
      </c>
    </row>
    <row r="513" spans="1:10">
      <c r="A513">
        <v>2025</v>
      </c>
      <c r="B513" t="s">
        <v>1360</v>
      </c>
      <c r="C513" t="s">
        <v>712</v>
      </c>
      <c r="D513" t="s">
        <v>103</v>
      </c>
      <c r="E513" s="1">
        <f t="shared" si="14"/>
        <v>45930</v>
      </c>
      <c r="F513" t="s">
        <v>261</v>
      </c>
      <c r="G513">
        <v>40000</v>
      </c>
      <c r="H513">
        <v>0</v>
      </c>
      <c r="I513">
        <v>0</v>
      </c>
      <c r="J513">
        <f t="shared" ca="1" si="15"/>
        <v>0</v>
      </c>
    </row>
    <row r="514" spans="1:10">
      <c r="A514">
        <v>2025</v>
      </c>
      <c r="B514" t="s">
        <v>803</v>
      </c>
      <c r="C514" t="s">
        <v>713</v>
      </c>
      <c r="D514" t="s">
        <v>103</v>
      </c>
      <c r="E514" s="1">
        <f t="shared" si="14"/>
        <v>45961</v>
      </c>
      <c r="F514" t="s">
        <v>261</v>
      </c>
      <c r="G514">
        <v>50000</v>
      </c>
      <c r="H514">
        <v>0</v>
      </c>
      <c r="I514">
        <v>0</v>
      </c>
      <c r="J514">
        <f t="shared" ca="1" si="15"/>
        <v>0</v>
      </c>
    </row>
    <row r="515" spans="1:10">
      <c r="A515">
        <v>2025</v>
      </c>
      <c r="B515" t="s">
        <v>803</v>
      </c>
      <c r="C515" t="s">
        <v>714</v>
      </c>
      <c r="D515" t="s">
        <v>103</v>
      </c>
      <c r="E515" s="1">
        <f t="shared" ref="E515:E578" si="16">EOMONTH(DATE(A515, MONTH(1 &amp; C515), 1), 0)</f>
        <v>45991</v>
      </c>
      <c r="F515" t="s">
        <v>261</v>
      </c>
      <c r="G515">
        <v>50000</v>
      </c>
      <c r="H515">
        <v>25000</v>
      </c>
      <c r="I515">
        <v>10000</v>
      </c>
      <c r="J515">
        <f t="shared" ref="J515:J578" ca="1" si="17">IF(E515&lt;TODAY(),0,I515)</f>
        <v>0</v>
      </c>
    </row>
    <row r="516" spans="1:10">
      <c r="A516">
        <v>2025</v>
      </c>
      <c r="B516" t="s">
        <v>803</v>
      </c>
      <c r="C516" t="s">
        <v>715</v>
      </c>
      <c r="D516" t="s">
        <v>103</v>
      </c>
      <c r="E516" s="1">
        <f t="shared" si="16"/>
        <v>46022</v>
      </c>
      <c r="F516" t="s">
        <v>261</v>
      </c>
      <c r="G516">
        <v>50000</v>
      </c>
      <c r="H516">
        <v>0</v>
      </c>
      <c r="I516">
        <v>10000</v>
      </c>
      <c r="J516">
        <f t="shared" ca="1" si="17"/>
        <v>0</v>
      </c>
    </row>
    <row r="517" spans="1:10">
      <c r="A517">
        <v>2026</v>
      </c>
      <c r="B517" t="s">
        <v>1361</v>
      </c>
      <c r="C517" t="s">
        <v>716</v>
      </c>
      <c r="D517" t="s">
        <v>103</v>
      </c>
      <c r="E517" s="1">
        <f t="shared" si="16"/>
        <v>46053</v>
      </c>
      <c r="F517" t="s">
        <v>261</v>
      </c>
      <c r="G517">
        <v>50000</v>
      </c>
      <c r="H517">
        <v>0</v>
      </c>
      <c r="I517">
        <v>20000</v>
      </c>
      <c r="J517">
        <f t="shared" ca="1" si="17"/>
        <v>0</v>
      </c>
    </row>
    <row r="518" spans="1:10">
      <c r="A518">
        <v>2026</v>
      </c>
      <c r="B518" t="s">
        <v>1361</v>
      </c>
      <c r="C518" t="s">
        <v>717</v>
      </c>
      <c r="D518" t="s">
        <v>103</v>
      </c>
      <c r="E518" s="1">
        <f t="shared" si="16"/>
        <v>46081</v>
      </c>
      <c r="F518" t="s">
        <v>261</v>
      </c>
      <c r="G518">
        <v>50000</v>
      </c>
      <c r="H518">
        <v>0</v>
      </c>
      <c r="I518">
        <v>30000</v>
      </c>
      <c r="J518">
        <f t="shared" ca="1" si="17"/>
        <v>0</v>
      </c>
    </row>
    <row r="519" spans="1:10">
      <c r="A519">
        <v>2026</v>
      </c>
      <c r="B519" t="s">
        <v>1361</v>
      </c>
      <c r="C519" t="s">
        <v>718</v>
      </c>
      <c r="D519" t="s">
        <v>103</v>
      </c>
      <c r="E519" s="1">
        <f t="shared" si="16"/>
        <v>46112</v>
      </c>
      <c r="F519" t="s">
        <v>261</v>
      </c>
      <c r="G519">
        <v>50000</v>
      </c>
      <c r="H519">
        <v>0</v>
      </c>
      <c r="I519">
        <v>30000</v>
      </c>
      <c r="J519">
        <f t="shared" ca="1" si="17"/>
        <v>30000</v>
      </c>
    </row>
    <row r="520" spans="1:10">
      <c r="A520">
        <v>2026</v>
      </c>
      <c r="B520" t="s">
        <v>1362</v>
      </c>
      <c r="C520" t="s">
        <v>719</v>
      </c>
      <c r="D520" t="s">
        <v>103</v>
      </c>
      <c r="E520" s="1">
        <f t="shared" si="16"/>
        <v>46142</v>
      </c>
      <c r="F520" t="s">
        <v>261</v>
      </c>
      <c r="G520">
        <v>50000</v>
      </c>
      <c r="H520">
        <v>0</v>
      </c>
      <c r="I520">
        <v>30000</v>
      </c>
      <c r="J520">
        <f t="shared" ca="1" si="17"/>
        <v>30000</v>
      </c>
    </row>
    <row r="521" spans="1:10">
      <c r="A521">
        <v>2026</v>
      </c>
      <c r="B521" t="s">
        <v>1362</v>
      </c>
      <c r="C521" t="s">
        <v>720</v>
      </c>
      <c r="D521" t="s">
        <v>103</v>
      </c>
      <c r="E521" s="1">
        <f t="shared" si="16"/>
        <v>46173</v>
      </c>
      <c r="F521" t="s">
        <v>261</v>
      </c>
      <c r="G521">
        <v>50000</v>
      </c>
      <c r="H521">
        <v>0</v>
      </c>
      <c r="I521">
        <v>30000</v>
      </c>
      <c r="J521">
        <f t="shared" ca="1" si="17"/>
        <v>30000</v>
      </c>
    </row>
    <row r="522" spans="1:10">
      <c r="A522">
        <v>2026</v>
      </c>
      <c r="B522" t="s">
        <v>1362</v>
      </c>
      <c r="C522" t="s">
        <v>721</v>
      </c>
      <c r="D522" t="s">
        <v>103</v>
      </c>
      <c r="E522" s="1">
        <f t="shared" si="16"/>
        <v>46203</v>
      </c>
      <c r="F522" t="s">
        <v>261</v>
      </c>
      <c r="G522">
        <v>50000</v>
      </c>
      <c r="H522">
        <v>0</v>
      </c>
      <c r="I522">
        <v>30000</v>
      </c>
      <c r="J522">
        <f t="shared" ca="1" si="17"/>
        <v>30000</v>
      </c>
    </row>
    <row r="523" spans="1:10">
      <c r="A523">
        <v>2026</v>
      </c>
      <c r="B523" t="s">
        <v>1360</v>
      </c>
      <c r="C523" t="s">
        <v>710</v>
      </c>
      <c r="D523" t="s">
        <v>103</v>
      </c>
      <c r="E523" s="1">
        <f t="shared" si="16"/>
        <v>46234</v>
      </c>
      <c r="F523" t="s">
        <v>261</v>
      </c>
      <c r="G523">
        <v>50000</v>
      </c>
      <c r="H523">
        <v>0</v>
      </c>
      <c r="I523">
        <v>30000</v>
      </c>
      <c r="J523">
        <f t="shared" ca="1" si="17"/>
        <v>30000</v>
      </c>
    </row>
    <row r="524" spans="1:10">
      <c r="A524">
        <v>2026</v>
      </c>
      <c r="B524" t="s">
        <v>1360</v>
      </c>
      <c r="C524" t="s">
        <v>711</v>
      </c>
      <c r="D524" t="s">
        <v>103</v>
      </c>
      <c r="E524" s="1">
        <f t="shared" si="16"/>
        <v>46265</v>
      </c>
      <c r="F524" t="s">
        <v>261</v>
      </c>
      <c r="G524">
        <v>50000</v>
      </c>
      <c r="H524">
        <v>0</v>
      </c>
      <c r="I524">
        <v>30000</v>
      </c>
      <c r="J524">
        <f t="shared" ca="1" si="17"/>
        <v>30000</v>
      </c>
    </row>
    <row r="525" spans="1:10">
      <c r="A525">
        <v>2026</v>
      </c>
      <c r="B525" t="s">
        <v>1360</v>
      </c>
      <c r="C525" t="s">
        <v>712</v>
      </c>
      <c r="D525" t="s">
        <v>103</v>
      </c>
      <c r="E525" s="1">
        <f t="shared" si="16"/>
        <v>46295</v>
      </c>
      <c r="F525" t="s">
        <v>261</v>
      </c>
      <c r="G525">
        <v>50000</v>
      </c>
      <c r="H525">
        <v>0</v>
      </c>
      <c r="I525">
        <v>30000</v>
      </c>
      <c r="J525">
        <f t="shared" ca="1" si="17"/>
        <v>30000</v>
      </c>
    </row>
    <row r="526" spans="1:10">
      <c r="A526">
        <v>2026</v>
      </c>
      <c r="B526" t="s">
        <v>803</v>
      </c>
      <c r="C526" t="s">
        <v>713</v>
      </c>
      <c r="D526" t="s">
        <v>103</v>
      </c>
      <c r="E526" s="1">
        <f t="shared" si="16"/>
        <v>46326</v>
      </c>
      <c r="F526" t="s">
        <v>261</v>
      </c>
      <c r="G526">
        <v>50000</v>
      </c>
      <c r="H526">
        <v>0</v>
      </c>
      <c r="I526">
        <v>30000</v>
      </c>
      <c r="J526">
        <f t="shared" ca="1" si="17"/>
        <v>30000</v>
      </c>
    </row>
    <row r="527" spans="1:10">
      <c r="A527">
        <v>2026</v>
      </c>
      <c r="B527" t="s">
        <v>803</v>
      </c>
      <c r="C527" t="s">
        <v>714</v>
      </c>
      <c r="D527" t="s">
        <v>103</v>
      </c>
      <c r="E527" s="1">
        <f t="shared" si="16"/>
        <v>46356</v>
      </c>
      <c r="F527" t="s">
        <v>261</v>
      </c>
      <c r="G527">
        <v>50000</v>
      </c>
      <c r="H527">
        <v>0</v>
      </c>
      <c r="I527">
        <v>30000</v>
      </c>
      <c r="J527">
        <f t="shared" ca="1" si="17"/>
        <v>30000</v>
      </c>
    </row>
    <row r="528" spans="1:10">
      <c r="A528">
        <v>2026</v>
      </c>
      <c r="B528" t="s">
        <v>803</v>
      </c>
      <c r="C528" t="s">
        <v>715</v>
      </c>
      <c r="D528" t="s">
        <v>103</v>
      </c>
      <c r="E528" s="1">
        <f t="shared" si="16"/>
        <v>46387</v>
      </c>
      <c r="F528" t="s">
        <v>261</v>
      </c>
      <c r="G528">
        <v>50000</v>
      </c>
      <c r="H528">
        <v>0</v>
      </c>
      <c r="I528">
        <v>30000</v>
      </c>
      <c r="J528">
        <f t="shared" ca="1" si="17"/>
        <v>30000</v>
      </c>
    </row>
    <row r="529" spans="1:10">
      <c r="A529">
        <v>2025</v>
      </c>
      <c r="B529" t="s">
        <v>1360</v>
      </c>
      <c r="C529" t="s">
        <v>711</v>
      </c>
      <c r="D529" t="s">
        <v>103</v>
      </c>
      <c r="E529" s="1">
        <f t="shared" si="16"/>
        <v>45900</v>
      </c>
      <c r="F529" t="s">
        <v>121</v>
      </c>
      <c r="G529">
        <v>56000</v>
      </c>
      <c r="H529">
        <v>0</v>
      </c>
      <c r="I529">
        <v>0</v>
      </c>
      <c r="J529">
        <f t="shared" ca="1" si="17"/>
        <v>0</v>
      </c>
    </row>
    <row r="530" spans="1:10">
      <c r="A530">
        <v>2025</v>
      </c>
      <c r="B530" t="s">
        <v>1360</v>
      </c>
      <c r="C530" t="s">
        <v>712</v>
      </c>
      <c r="D530" t="s">
        <v>103</v>
      </c>
      <c r="E530" s="1">
        <f t="shared" si="16"/>
        <v>45930</v>
      </c>
      <c r="F530" t="s">
        <v>121</v>
      </c>
      <c r="G530">
        <v>84000</v>
      </c>
      <c r="H530">
        <v>190000</v>
      </c>
      <c r="I530">
        <v>0</v>
      </c>
      <c r="J530">
        <f t="shared" ca="1" si="17"/>
        <v>0</v>
      </c>
    </row>
    <row r="531" spans="1:10">
      <c r="A531">
        <v>2025</v>
      </c>
      <c r="B531" t="s">
        <v>803</v>
      </c>
      <c r="C531" t="s">
        <v>713</v>
      </c>
      <c r="D531" t="s">
        <v>103</v>
      </c>
      <c r="E531" s="1">
        <f t="shared" si="16"/>
        <v>45961</v>
      </c>
      <c r="F531" t="s">
        <v>121</v>
      </c>
      <c r="G531">
        <v>105000</v>
      </c>
      <c r="H531">
        <v>156200</v>
      </c>
      <c r="I531">
        <v>0</v>
      </c>
      <c r="J531">
        <f t="shared" ca="1" si="17"/>
        <v>0</v>
      </c>
    </row>
    <row r="532" spans="1:10">
      <c r="A532">
        <v>2025</v>
      </c>
      <c r="B532" t="s">
        <v>803</v>
      </c>
      <c r="C532" t="s">
        <v>714</v>
      </c>
      <c r="D532" t="s">
        <v>103</v>
      </c>
      <c r="E532" s="1">
        <f t="shared" si="16"/>
        <v>45991</v>
      </c>
      <c r="F532" t="s">
        <v>121</v>
      </c>
      <c r="G532">
        <v>119000</v>
      </c>
      <c r="H532">
        <v>140000</v>
      </c>
      <c r="I532">
        <v>14000</v>
      </c>
      <c r="J532">
        <f t="shared" ca="1" si="17"/>
        <v>0</v>
      </c>
    </row>
    <row r="533" spans="1:10">
      <c r="A533">
        <v>2025</v>
      </c>
      <c r="B533" t="s">
        <v>803</v>
      </c>
      <c r="C533" t="s">
        <v>715</v>
      </c>
      <c r="D533" t="s">
        <v>103</v>
      </c>
      <c r="E533" s="1">
        <f t="shared" si="16"/>
        <v>46022</v>
      </c>
      <c r="F533" t="s">
        <v>121</v>
      </c>
      <c r="G533">
        <v>119000</v>
      </c>
      <c r="H533">
        <v>0</v>
      </c>
      <c r="I533">
        <v>21000</v>
      </c>
      <c r="J533">
        <f t="shared" ca="1" si="17"/>
        <v>0</v>
      </c>
    </row>
    <row r="534" spans="1:10">
      <c r="A534">
        <v>2026</v>
      </c>
      <c r="B534" t="s">
        <v>1361</v>
      </c>
      <c r="C534" t="s">
        <v>716</v>
      </c>
      <c r="D534" t="s">
        <v>103</v>
      </c>
      <c r="E534" s="1">
        <f t="shared" si="16"/>
        <v>46053</v>
      </c>
      <c r="F534" t="s">
        <v>121</v>
      </c>
      <c r="G534">
        <v>119000</v>
      </c>
      <c r="H534">
        <v>20000</v>
      </c>
      <c r="I534">
        <v>28000</v>
      </c>
      <c r="J534">
        <f t="shared" ca="1" si="17"/>
        <v>0</v>
      </c>
    </row>
    <row r="535" spans="1:10">
      <c r="A535">
        <v>2026</v>
      </c>
      <c r="B535" t="s">
        <v>1361</v>
      </c>
      <c r="C535" t="s">
        <v>717</v>
      </c>
      <c r="D535" t="s">
        <v>103</v>
      </c>
      <c r="E535" s="1">
        <f t="shared" si="16"/>
        <v>46081</v>
      </c>
      <c r="F535" t="s">
        <v>121</v>
      </c>
      <c r="G535">
        <v>119000</v>
      </c>
      <c r="H535">
        <v>0</v>
      </c>
      <c r="I535">
        <v>35000</v>
      </c>
      <c r="J535">
        <f t="shared" ca="1" si="17"/>
        <v>0</v>
      </c>
    </row>
    <row r="536" spans="1:10">
      <c r="A536">
        <v>2026</v>
      </c>
      <c r="B536" t="s">
        <v>1361</v>
      </c>
      <c r="C536" t="s">
        <v>718</v>
      </c>
      <c r="D536" t="s">
        <v>103</v>
      </c>
      <c r="E536" s="1">
        <f t="shared" si="16"/>
        <v>46112</v>
      </c>
      <c r="F536" t="s">
        <v>121</v>
      </c>
      <c r="G536">
        <v>119000</v>
      </c>
      <c r="H536">
        <v>0</v>
      </c>
      <c r="I536">
        <v>35000</v>
      </c>
      <c r="J536">
        <f t="shared" ca="1" si="17"/>
        <v>35000</v>
      </c>
    </row>
    <row r="537" spans="1:10">
      <c r="A537">
        <v>2026</v>
      </c>
      <c r="B537" t="s">
        <v>1362</v>
      </c>
      <c r="C537" t="s">
        <v>719</v>
      </c>
      <c r="D537" t="s">
        <v>103</v>
      </c>
      <c r="E537" s="1">
        <f t="shared" si="16"/>
        <v>46142</v>
      </c>
      <c r="F537" t="s">
        <v>121</v>
      </c>
      <c r="G537">
        <v>119000</v>
      </c>
      <c r="H537">
        <v>0</v>
      </c>
      <c r="I537">
        <v>35000</v>
      </c>
      <c r="J537">
        <f t="shared" ca="1" si="17"/>
        <v>35000</v>
      </c>
    </row>
    <row r="538" spans="1:10">
      <c r="A538">
        <v>2026</v>
      </c>
      <c r="B538" t="s">
        <v>1362</v>
      </c>
      <c r="C538" t="s">
        <v>720</v>
      </c>
      <c r="D538" t="s">
        <v>103</v>
      </c>
      <c r="E538" s="1">
        <f t="shared" si="16"/>
        <v>46173</v>
      </c>
      <c r="F538" t="s">
        <v>121</v>
      </c>
      <c r="G538">
        <v>119000</v>
      </c>
      <c r="H538">
        <v>0</v>
      </c>
      <c r="I538">
        <v>35000</v>
      </c>
      <c r="J538">
        <f t="shared" ca="1" si="17"/>
        <v>35000</v>
      </c>
    </row>
    <row r="539" spans="1:10">
      <c r="A539">
        <v>2026</v>
      </c>
      <c r="B539" t="s">
        <v>1362</v>
      </c>
      <c r="C539" t="s">
        <v>721</v>
      </c>
      <c r="D539" t="s">
        <v>103</v>
      </c>
      <c r="E539" s="1">
        <f t="shared" si="16"/>
        <v>46203</v>
      </c>
      <c r="F539" t="s">
        <v>121</v>
      </c>
      <c r="G539">
        <v>119000</v>
      </c>
      <c r="H539">
        <v>0</v>
      </c>
      <c r="I539">
        <v>35000</v>
      </c>
      <c r="J539">
        <f t="shared" ca="1" si="17"/>
        <v>35000</v>
      </c>
    </row>
    <row r="540" spans="1:10">
      <c r="A540">
        <v>2026</v>
      </c>
      <c r="B540" t="s">
        <v>1360</v>
      </c>
      <c r="C540" t="s">
        <v>710</v>
      </c>
      <c r="D540" t="s">
        <v>103</v>
      </c>
      <c r="E540" s="1">
        <f t="shared" si="16"/>
        <v>46234</v>
      </c>
      <c r="F540" t="s">
        <v>121</v>
      </c>
      <c r="G540">
        <v>119000</v>
      </c>
      <c r="H540">
        <v>0</v>
      </c>
      <c r="I540">
        <v>35000</v>
      </c>
      <c r="J540">
        <f t="shared" ca="1" si="17"/>
        <v>35000</v>
      </c>
    </row>
    <row r="541" spans="1:10">
      <c r="A541">
        <v>2026</v>
      </c>
      <c r="B541" t="s">
        <v>1360</v>
      </c>
      <c r="C541" t="s">
        <v>711</v>
      </c>
      <c r="D541" t="s">
        <v>103</v>
      </c>
      <c r="E541" s="1">
        <f t="shared" si="16"/>
        <v>46265</v>
      </c>
      <c r="F541" t="s">
        <v>121</v>
      </c>
      <c r="G541">
        <v>119000</v>
      </c>
      <c r="H541">
        <v>0</v>
      </c>
      <c r="I541">
        <v>35000</v>
      </c>
      <c r="J541">
        <f t="shared" ca="1" si="17"/>
        <v>35000</v>
      </c>
    </row>
    <row r="542" spans="1:10">
      <c r="A542">
        <v>2026</v>
      </c>
      <c r="B542" t="s">
        <v>1360</v>
      </c>
      <c r="C542" t="s">
        <v>712</v>
      </c>
      <c r="D542" t="s">
        <v>103</v>
      </c>
      <c r="E542" s="1">
        <f t="shared" si="16"/>
        <v>46295</v>
      </c>
      <c r="F542" t="s">
        <v>121</v>
      </c>
      <c r="G542">
        <v>119000</v>
      </c>
      <c r="H542">
        <v>0</v>
      </c>
      <c r="I542">
        <v>35000</v>
      </c>
      <c r="J542">
        <f t="shared" ca="1" si="17"/>
        <v>35000</v>
      </c>
    </row>
    <row r="543" spans="1:10">
      <c r="A543">
        <v>2026</v>
      </c>
      <c r="B543" t="s">
        <v>803</v>
      </c>
      <c r="C543" t="s">
        <v>713</v>
      </c>
      <c r="D543" t="s">
        <v>103</v>
      </c>
      <c r="E543" s="1">
        <f t="shared" si="16"/>
        <v>46326</v>
      </c>
      <c r="F543" t="s">
        <v>121</v>
      </c>
      <c r="G543">
        <v>119000</v>
      </c>
      <c r="H543">
        <v>0</v>
      </c>
      <c r="I543">
        <v>35000</v>
      </c>
      <c r="J543">
        <f t="shared" ca="1" si="17"/>
        <v>35000</v>
      </c>
    </row>
    <row r="544" spans="1:10">
      <c r="A544">
        <v>2026</v>
      </c>
      <c r="B544" t="s">
        <v>803</v>
      </c>
      <c r="C544" t="s">
        <v>714</v>
      </c>
      <c r="D544" t="s">
        <v>103</v>
      </c>
      <c r="E544" s="1">
        <f t="shared" si="16"/>
        <v>46356</v>
      </c>
      <c r="F544" t="s">
        <v>121</v>
      </c>
      <c r="G544">
        <v>119000</v>
      </c>
      <c r="H544">
        <v>0</v>
      </c>
      <c r="I544">
        <v>35000</v>
      </c>
      <c r="J544">
        <f t="shared" ca="1" si="17"/>
        <v>35000</v>
      </c>
    </row>
    <row r="545" spans="1:10">
      <c r="A545">
        <v>2026</v>
      </c>
      <c r="B545" t="s">
        <v>803</v>
      </c>
      <c r="C545" t="s">
        <v>715</v>
      </c>
      <c r="D545" t="s">
        <v>103</v>
      </c>
      <c r="E545" s="1">
        <f t="shared" si="16"/>
        <v>46387</v>
      </c>
      <c r="F545" t="s">
        <v>121</v>
      </c>
      <c r="G545">
        <v>119000</v>
      </c>
      <c r="H545">
        <v>0</v>
      </c>
      <c r="I545">
        <v>35000</v>
      </c>
      <c r="J545">
        <f t="shared" ca="1" si="17"/>
        <v>35000</v>
      </c>
    </row>
    <row r="546" spans="1:10">
      <c r="A546">
        <v>2025</v>
      </c>
      <c r="B546" t="s">
        <v>1360</v>
      </c>
      <c r="C546" t="s">
        <v>711</v>
      </c>
      <c r="D546" t="s">
        <v>103</v>
      </c>
      <c r="E546" s="1">
        <f t="shared" si="16"/>
        <v>45900</v>
      </c>
      <c r="F546" t="s">
        <v>300</v>
      </c>
      <c r="G546">
        <v>0</v>
      </c>
      <c r="H546">
        <v>0</v>
      </c>
      <c r="I546">
        <v>0</v>
      </c>
      <c r="J546">
        <f t="shared" ca="1" si="17"/>
        <v>0</v>
      </c>
    </row>
    <row r="547" spans="1:10">
      <c r="A547">
        <v>2025</v>
      </c>
      <c r="B547" t="s">
        <v>1360</v>
      </c>
      <c r="C547" t="s">
        <v>712</v>
      </c>
      <c r="D547" t="s">
        <v>103</v>
      </c>
      <c r="E547" s="1">
        <f t="shared" si="16"/>
        <v>45930</v>
      </c>
      <c r="F547" t="s">
        <v>300</v>
      </c>
      <c r="G547">
        <v>0</v>
      </c>
      <c r="H547">
        <v>0</v>
      </c>
      <c r="I547">
        <v>0</v>
      </c>
      <c r="J547">
        <f t="shared" ca="1" si="17"/>
        <v>0</v>
      </c>
    </row>
    <row r="548" spans="1:10">
      <c r="A548">
        <v>2025</v>
      </c>
      <c r="B548" t="s">
        <v>803</v>
      </c>
      <c r="C548" t="s">
        <v>713</v>
      </c>
      <c r="D548" t="s">
        <v>103</v>
      </c>
      <c r="E548" s="1">
        <f t="shared" si="16"/>
        <v>45961</v>
      </c>
      <c r="F548" t="s">
        <v>300</v>
      </c>
      <c r="G548">
        <v>0</v>
      </c>
      <c r="H548">
        <v>0</v>
      </c>
      <c r="I548">
        <v>0</v>
      </c>
      <c r="J548">
        <f t="shared" ca="1" si="17"/>
        <v>0</v>
      </c>
    </row>
    <row r="549" spans="1:10">
      <c r="A549">
        <v>2025</v>
      </c>
      <c r="B549" t="s">
        <v>803</v>
      </c>
      <c r="C549" t="s">
        <v>714</v>
      </c>
      <c r="D549" t="s">
        <v>103</v>
      </c>
      <c r="E549" s="1">
        <f t="shared" si="16"/>
        <v>45991</v>
      </c>
      <c r="F549" t="s">
        <v>300</v>
      </c>
      <c r="G549">
        <v>0</v>
      </c>
      <c r="H549">
        <v>0</v>
      </c>
      <c r="I549">
        <v>0</v>
      </c>
      <c r="J549">
        <f t="shared" ca="1" si="17"/>
        <v>0</v>
      </c>
    </row>
    <row r="550" spans="1:10">
      <c r="A550">
        <v>2025</v>
      </c>
      <c r="B550" t="s">
        <v>803</v>
      </c>
      <c r="C550" t="s">
        <v>715</v>
      </c>
      <c r="D550" t="s">
        <v>103</v>
      </c>
      <c r="E550" s="1">
        <f t="shared" si="16"/>
        <v>46022</v>
      </c>
      <c r="F550" t="s">
        <v>300</v>
      </c>
      <c r="G550">
        <v>0</v>
      </c>
      <c r="H550">
        <v>0</v>
      </c>
      <c r="I550">
        <v>0</v>
      </c>
      <c r="J550">
        <f t="shared" ca="1" si="17"/>
        <v>0</v>
      </c>
    </row>
    <row r="551" spans="1:10">
      <c r="A551">
        <v>2026</v>
      </c>
      <c r="B551" t="s">
        <v>1361</v>
      </c>
      <c r="C551" t="s">
        <v>716</v>
      </c>
      <c r="D551" t="s">
        <v>103</v>
      </c>
      <c r="E551" s="1">
        <f t="shared" si="16"/>
        <v>46053</v>
      </c>
      <c r="F551" t="s">
        <v>300</v>
      </c>
      <c r="G551">
        <v>0</v>
      </c>
      <c r="H551">
        <v>0</v>
      </c>
      <c r="I551">
        <v>0</v>
      </c>
      <c r="J551">
        <f t="shared" ca="1" si="17"/>
        <v>0</v>
      </c>
    </row>
    <row r="552" spans="1:10">
      <c r="A552">
        <v>2026</v>
      </c>
      <c r="B552" t="s">
        <v>1361</v>
      </c>
      <c r="C552" t="s">
        <v>717</v>
      </c>
      <c r="D552" t="s">
        <v>103</v>
      </c>
      <c r="E552" s="1">
        <f t="shared" si="16"/>
        <v>46081</v>
      </c>
      <c r="F552" t="s">
        <v>300</v>
      </c>
      <c r="G552">
        <v>0</v>
      </c>
      <c r="H552">
        <v>0</v>
      </c>
      <c r="I552">
        <v>0</v>
      </c>
      <c r="J552">
        <f t="shared" ca="1" si="17"/>
        <v>0</v>
      </c>
    </row>
    <row r="553" spans="1:10">
      <c r="A553">
        <v>2026</v>
      </c>
      <c r="B553" t="s">
        <v>1361</v>
      </c>
      <c r="C553" t="s">
        <v>718</v>
      </c>
      <c r="D553" t="s">
        <v>103</v>
      </c>
      <c r="E553" s="1">
        <f t="shared" si="16"/>
        <v>46112</v>
      </c>
      <c r="F553" t="s">
        <v>300</v>
      </c>
      <c r="G553">
        <v>0</v>
      </c>
      <c r="H553">
        <v>0</v>
      </c>
      <c r="I553">
        <v>0</v>
      </c>
      <c r="J553">
        <f t="shared" ca="1" si="17"/>
        <v>0</v>
      </c>
    </row>
    <row r="554" spans="1:10">
      <c r="A554">
        <v>2026</v>
      </c>
      <c r="B554" t="s">
        <v>1362</v>
      </c>
      <c r="C554" t="s">
        <v>719</v>
      </c>
      <c r="D554" t="s">
        <v>103</v>
      </c>
      <c r="E554" s="1">
        <f t="shared" si="16"/>
        <v>46142</v>
      </c>
      <c r="F554" t="s">
        <v>300</v>
      </c>
      <c r="G554">
        <v>0</v>
      </c>
      <c r="H554">
        <v>0</v>
      </c>
      <c r="I554">
        <v>0</v>
      </c>
      <c r="J554">
        <f t="shared" ca="1" si="17"/>
        <v>0</v>
      </c>
    </row>
    <row r="555" spans="1:10">
      <c r="A555">
        <v>2026</v>
      </c>
      <c r="B555" t="s">
        <v>1362</v>
      </c>
      <c r="C555" t="s">
        <v>720</v>
      </c>
      <c r="D555" t="s">
        <v>103</v>
      </c>
      <c r="E555" s="1">
        <f t="shared" si="16"/>
        <v>46173</v>
      </c>
      <c r="F555" t="s">
        <v>300</v>
      </c>
      <c r="G555">
        <v>0</v>
      </c>
      <c r="H555">
        <v>0</v>
      </c>
      <c r="I555">
        <v>0</v>
      </c>
      <c r="J555">
        <f t="shared" ca="1" si="17"/>
        <v>0</v>
      </c>
    </row>
    <row r="556" spans="1:10">
      <c r="A556">
        <v>2026</v>
      </c>
      <c r="B556" t="s">
        <v>1362</v>
      </c>
      <c r="C556" t="s">
        <v>721</v>
      </c>
      <c r="D556" t="s">
        <v>103</v>
      </c>
      <c r="E556" s="1">
        <f t="shared" si="16"/>
        <v>46203</v>
      </c>
      <c r="F556" t="s">
        <v>300</v>
      </c>
      <c r="G556">
        <v>0</v>
      </c>
      <c r="H556">
        <v>0</v>
      </c>
      <c r="I556">
        <v>0</v>
      </c>
      <c r="J556">
        <f t="shared" ca="1" si="17"/>
        <v>0</v>
      </c>
    </row>
    <row r="557" spans="1:10">
      <c r="A557">
        <v>2026</v>
      </c>
      <c r="B557" t="s">
        <v>1360</v>
      </c>
      <c r="C557" t="s">
        <v>710</v>
      </c>
      <c r="D557" t="s">
        <v>103</v>
      </c>
      <c r="E557" s="1">
        <f t="shared" si="16"/>
        <v>46234</v>
      </c>
      <c r="F557" t="s">
        <v>300</v>
      </c>
      <c r="G557">
        <v>0</v>
      </c>
      <c r="H557">
        <v>0</v>
      </c>
      <c r="I557">
        <v>0</v>
      </c>
      <c r="J557">
        <f t="shared" ca="1" si="17"/>
        <v>0</v>
      </c>
    </row>
    <row r="558" spans="1:10">
      <c r="A558">
        <v>2026</v>
      </c>
      <c r="B558" t="s">
        <v>1360</v>
      </c>
      <c r="C558" t="s">
        <v>711</v>
      </c>
      <c r="D558" t="s">
        <v>103</v>
      </c>
      <c r="E558" s="1">
        <f t="shared" si="16"/>
        <v>46265</v>
      </c>
      <c r="F558" t="s">
        <v>300</v>
      </c>
      <c r="G558">
        <v>0</v>
      </c>
      <c r="H558">
        <v>0</v>
      </c>
      <c r="I558">
        <v>0</v>
      </c>
      <c r="J558">
        <f t="shared" ca="1" si="17"/>
        <v>0</v>
      </c>
    </row>
    <row r="559" spans="1:10">
      <c r="A559">
        <v>2026</v>
      </c>
      <c r="B559" t="s">
        <v>1360</v>
      </c>
      <c r="C559" t="s">
        <v>712</v>
      </c>
      <c r="D559" t="s">
        <v>103</v>
      </c>
      <c r="E559" s="1">
        <f t="shared" si="16"/>
        <v>46295</v>
      </c>
      <c r="F559" t="s">
        <v>300</v>
      </c>
      <c r="G559">
        <v>0</v>
      </c>
      <c r="H559">
        <v>0</v>
      </c>
      <c r="I559">
        <v>0</v>
      </c>
      <c r="J559">
        <f t="shared" ca="1" si="17"/>
        <v>0</v>
      </c>
    </row>
    <row r="560" spans="1:10">
      <c r="A560">
        <v>2026</v>
      </c>
      <c r="B560" t="s">
        <v>803</v>
      </c>
      <c r="C560" t="s">
        <v>713</v>
      </c>
      <c r="D560" t="s">
        <v>103</v>
      </c>
      <c r="E560" s="1">
        <f t="shared" si="16"/>
        <v>46326</v>
      </c>
      <c r="F560" t="s">
        <v>300</v>
      </c>
      <c r="G560">
        <v>0</v>
      </c>
      <c r="H560">
        <v>0</v>
      </c>
      <c r="I560">
        <v>0</v>
      </c>
      <c r="J560">
        <f t="shared" ca="1" si="17"/>
        <v>0</v>
      </c>
    </row>
    <row r="561" spans="1:10">
      <c r="A561">
        <v>2026</v>
      </c>
      <c r="B561" t="s">
        <v>803</v>
      </c>
      <c r="C561" t="s">
        <v>714</v>
      </c>
      <c r="D561" t="s">
        <v>103</v>
      </c>
      <c r="E561" s="1">
        <f t="shared" si="16"/>
        <v>46356</v>
      </c>
      <c r="F561" t="s">
        <v>300</v>
      </c>
      <c r="G561">
        <v>0</v>
      </c>
      <c r="H561">
        <v>0</v>
      </c>
      <c r="I561">
        <v>0</v>
      </c>
      <c r="J561">
        <f t="shared" ca="1" si="17"/>
        <v>0</v>
      </c>
    </row>
    <row r="562" spans="1:10">
      <c r="A562">
        <v>2026</v>
      </c>
      <c r="B562" t="s">
        <v>803</v>
      </c>
      <c r="C562" t="s">
        <v>715</v>
      </c>
      <c r="D562" t="s">
        <v>103</v>
      </c>
      <c r="E562" s="1">
        <f t="shared" si="16"/>
        <v>46387</v>
      </c>
      <c r="F562" t="s">
        <v>300</v>
      </c>
      <c r="G562">
        <v>0</v>
      </c>
      <c r="H562">
        <v>0</v>
      </c>
      <c r="I562">
        <v>0</v>
      </c>
      <c r="J562">
        <f t="shared" ca="1" si="17"/>
        <v>0</v>
      </c>
    </row>
    <row r="563" spans="1:10">
      <c r="A563">
        <v>2025</v>
      </c>
      <c r="B563" t="s">
        <v>1360</v>
      </c>
      <c r="C563" t="s">
        <v>711</v>
      </c>
      <c r="D563" t="s">
        <v>103</v>
      </c>
      <c r="E563" s="1">
        <f t="shared" si="16"/>
        <v>45900</v>
      </c>
      <c r="F563" t="s">
        <v>248</v>
      </c>
      <c r="G563">
        <v>64000</v>
      </c>
      <c r="H563">
        <v>0</v>
      </c>
      <c r="I563">
        <v>0</v>
      </c>
      <c r="J563">
        <f t="shared" ca="1" si="17"/>
        <v>0</v>
      </c>
    </row>
    <row r="564" spans="1:10">
      <c r="A564">
        <v>2025</v>
      </c>
      <c r="B564" t="s">
        <v>1360</v>
      </c>
      <c r="C564" t="s">
        <v>712</v>
      </c>
      <c r="D564" t="s">
        <v>103</v>
      </c>
      <c r="E564" s="1">
        <f t="shared" si="16"/>
        <v>45930</v>
      </c>
      <c r="F564" t="s">
        <v>248</v>
      </c>
      <c r="G564">
        <v>80000</v>
      </c>
      <c r="H564">
        <v>0</v>
      </c>
      <c r="I564">
        <v>0</v>
      </c>
      <c r="J564">
        <f t="shared" ca="1" si="17"/>
        <v>0</v>
      </c>
    </row>
    <row r="565" spans="1:10">
      <c r="A565">
        <v>2025</v>
      </c>
      <c r="B565" t="s">
        <v>803</v>
      </c>
      <c r="C565" t="s">
        <v>713</v>
      </c>
      <c r="D565" t="s">
        <v>103</v>
      </c>
      <c r="E565" s="1">
        <f t="shared" si="16"/>
        <v>45961</v>
      </c>
      <c r="F565" t="s">
        <v>248</v>
      </c>
      <c r="G565">
        <v>96000</v>
      </c>
      <c r="H565">
        <v>240000</v>
      </c>
      <c r="I565">
        <v>0</v>
      </c>
      <c r="J565">
        <f t="shared" ca="1" si="17"/>
        <v>0</v>
      </c>
    </row>
    <row r="566" spans="1:10">
      <c r="A566">
        <v>2025</v>
      </c>
      <c r="B566" t="s">
        <v>803</v>
      </c>
      <c r="C566" t="s">
        <v>714</v>
      </c>
      <c r="D566" t="s">
        <v>103</v>
      </c>
      <c r="E566" s="1">
        <f t="shared" si="16"/>
        <v>45991</v>
      </c>
      <c r="F566" t="s">
        <v>248</v>
      </c>
      <c r="G566">
        <v>96000</v>
      </c>
      <c r="H566">
        <v>25000</v>
      </c>
      <c r="I566">
        <v>16000</v>
      </c>
      <c r="J566">
        <f t="shared" ca="1" si="17"/>
        <v>0</v>
      </c>
    </row>
    <row r="567" spans="1:10">
      <c r="A567">
        <v>2025</v>
      </c>
      <c r="B567" t="s">
        <v>803</v>
      </c>
      <c r="C567" t="s">
        <v>715</v>
      </c>
      <c r="D567" t="s">
        <v>103</v>
      </c>
      <c r="E567" s="1">
        <f t="shared" si="16"/>
        <v>46022</v>
      </c>
      <c r="F567" t="s">
        <v>248</v>
      </c>
      <c r="G567">
        <v>96000</v>
      </c>
      <c r="H567">
        <v>0</v>
      </c>
      <c r="I567">
        <v>32000</v>
      </c>
      <c r="J567">
        <f t="shared" ca="1" si="17"/>
        <v>0</v>
      </c>
    </row>
    <row r="568" spans="1:10">
      <c r="A568">
        <v>2026</v>
      </c>
      <c r="B568" t="s">
        <v>1361</v>
      </c>
      <c r="C568" t="s">
        <v>716</v>
      </c>
      <c r="D568" t="s">
        <v>103</v>
      </c>
      <c r="E568" s="1">
        <f t="shared" si="16"/>
        <v>46053</v>
      </c>
      <c r="F568" t="s">
        <v>248</v>
      </c>
      <c r="G568">
        <v>96000</v>
      </c>
      <c r="H568">
        <v>0</v>
      </c>
      <c r="I568">
        <v>64000</v>
      </c>
      <c r="J568">
        <f t="shared" ca="1" si="17"/>
        <v>0</v>
      </c>
    </row>
    <row r="569" spans="1:10">
      <c r="A569">
        <v>2026</v>
      </c>
      <c r="B569" t="s">
        <v>1361</v>
      </c>
      <c r="C569" t="s">
        <v>717</v>
      </c>
      <c r="D569" t="s">
        <v>103</v>
      </c>
      <c r="E569" s="1">
        <f t="shared" si="16"/>
        <v>46081</v>
      </c>
      <c r="F569" t="s">
        <v>248</v>
      </c>
      <c r="G569">
        <v>96000</v>
      </c>
      <c r="H569">
        <v>0</v>
      </c>
      <c r="I569">
        <v>64000</v>
      </c>
      <c r="J569">
        <f t="shared" ca="1" si="17"/>
        <v>0</v>
      </c>
    </row>
    <row r="570" spans="1:10">
      <c r="A570">
        <v>2026</v>
      </c>
      <c r="B570" t="s">
        <v>1361</v>
      </c>
      <c r="C570" t="s">
        <v>718</v>
      </c>
      <c r="D570" t="s">
        <v>103</v>
      </c>
      <c r="E570" s="1">
        <f t="shared" si="16"/>
        <v>46112</v>
      </c>
      <c r="F570" t="s">
        <v>248</v>
      </c>
      <c r="G570">
        <v>96000</v>
      </c>
      <c r="H570">
        <v>0</v>
      </c>
      <c r="I570">
        <v>64000</v>
      </c>
      <c r="J570">
        <f t="shared" ca="1" si="17"/>
        <v>64000</v>
      </c>
    </row>
    <row r="571" spans="1:10">
      <c r="A571">
        <v>2026</v>
      </c>
      <c r="B571" t="s">
        <v>1362</v>
      </c>
      <c r="C571" t="s">
        <v>719</v>
      </c>
      <c r="D571" t="s">
        <v>103</v>
      </c>
      <c r="E571" s="1">
        <f t="shared" si="16"/>
        <v>46142</v>
      </c>
      <c r="F571" t="s">
        <v>248</v>
      </c>
      <c r="G571">
        <v>96000</v>
      </c>
      <c r="H571">
        <v>0</v>
      </c>
      <c r="I571">
        <v>64000</v>
      </c>
      <c r="J571">
        <f t="shared" ca="1" si="17"/>
        <v>64000</v>
      </c>
    </row>
    <row r="572" spans="1:10">
      <c r="A572">
        <v>2026</v>
      </c>
      <c r="B572" t="s">
        <v>1362</v>
      </c>
      <c r="C572" t="s">
        <v>720</v>
      </c>
      <c r="D572" t="s">
        <v>103</v>
      </c>
      <c r="E572" s="1">
        <f t="shared" si="16"/>
        <v>46173</v>
      </c>
      <c r="F572" t="s">
        <v>248</v>
      </c>
      <c r="G572">
        <v>96000</v>
      </c>
      <c r="H572">
        <v>0</v>
      </c>
      <c r="I572">
        <v>64000</v>
      </c>
      <c r="J572">
        <f t="shared" ca="1" si="17"/>
        <v>64000</v>
      </c>
    </row>
    <row r="573" spans="1:10">
      <c r="A573">
        <v>2026</v>
      </c>
      <c r="B573" t="s">
        <v>1362</v>
      </c>
      <c r="C573" t="s">
        <v>721</v>
      </c>
      <c r="D573" t="s">
        <v>103</v>
      </c>
      <c r="E573" s="1">
        <f t="shared" si="16"/>
        <v>46203</v>
      </c>
      <c r="F573" t="s">
        <v>248</v>
      </c>
      <c r="G573">
        <v>96000</v>
      </c>
      <c r="H573">
        <v>0</v>
      </c>
      <c r="I573">
        <v>64000</v>
      </c>
      <c r="J573">
        <f t="shared" ca="1" si="17"/>
        <v>64000</v>
      </c>
    </row>
    <row r="574" spans="1:10">
      <c r="A574">
        <v>2026</v>
      </c>
      <c r="B574" t="s">
        <v>1360</v>
      </c>
      <c r="C574" t="s">
        <v>710</v>
      </c>
      <c r="D574" t="s">
        <v>103</v>
      </c>
      <c r="E574" s="1">
        <f t="shared" si="16"/>
        <v>46234</v>
      </c>
      <c r="F574" t="s">
        <v>248</v>
      </c>
      <c r="G574">
        <v>96000</v>
      </c>
      <c r="H574">
        <v>0</v>
      </c>
      <c r="I574">
        <v>64000</v>
      </c>
      <c r="J574">
        <f t="shared" ca="1" si="17"/>
        <v>64000</v>
      </c>
    </row>
    <row r="575" spans="1:10">
      <c r="A575">
        <v>2026</v>
      </c>
      <c r="B575" t="s">
        <v>1360</v>
      </c>
      <c r="C575" t="s">
        <v>711</v>
      </c>
      <c r="D575" t="s">
        <v>103</v>
      </c>
      <c r="E575" s="1">
        <f t="shared" si="16"/>
        <v>46265</v>
      </c>
      <c r="F575" t="s">
        <v>248</v>
      </c>
      <c r="G575">
        <v>96000</v>
      </c>
      <c r="H575">
        <v>0</v>
      </c>
      <c r="I575">
        <v>64000</v>
      </c>
      <c r="J575">
        <f t="shared" ca="1" si="17"/>
        <v>64000</v>
      </c>
    </row>
    <row r="576" spans="1:10">
      <c r="A576">
        <v>2026</v>
      </c>
      <c r="B576" t="s">
        <v>1360</v>
      </c>
      <c r="C576" t="s">
        <v>712</v>
      </c>
      <c r="D576" t="s">
        <v>103</v>
      </c>
      <c r="E576" s="1">
        <f t="shared" si="16"/>
        <v>46295</v>
      </c>
      <c r="F576" t="s">
        <v>248</v>
      </c>
      <c r="G576">
        <v>96000</v>
      </c>
      <c r="H576">
        <v>0</v>
      </c>
      <c r="I576">
        <v>64000</v>
      </c>
      <c r="J576">
        <f t="shared" ca="1" si="17"/>
        <v>64000</v>
      </c>
    </row>
    <row r="577" spans="1:10">
      <c r="A577">
        <v>2026</v>
      </c>
      <c r="B577" t="s">
        <v>803</v>
      </c>
      <c r="C577" t="s">
        <v>713</v>
      </c>
      <c r="D577" t="s">
        <v>103</v>
      </c>
      <c r="E577" s="1">
        <f t="shared" si="16"/>
        <v>46326</v>
      </c>
      <c r="F577" t="s">
        <v>248</v>
      </c>
      <c r="G577">
        <v>96000</v>
      </c>
      <c r="H577">
        <v>0</v>
      </c>
      <c r="I577">
        <v>64000</v>
      </c>
      <c r="J577">
        <f t="shared" ca="1" si="17"/>
        <v>64000</v>
      </c>
    </row>
    <row r="578" spans="1:10">
      <c r="A578">
        <v>2026</v>
      </c>
      <c r="B578" t="s">
        <v>803</v>
      </c>
      <c r="C578" t="s">
        <v>714</v>
      </c>
      <c r="D578" t="s">
        <v>103</v>
      </c>
      <c r="E578" s="1">
        <f t="shared" si="16"/>
        <v>46356</v>
      </c>
      <c r="F578" t="s">
        <v>248</v>
      </c>
      <c r="G578">
        <v>96000</v>
      </c>
      <c r="H578">
        <v>0</v>
      </c>
      <c r="I578">
        <v>64000</v>
      </c>
      <c r="J578">
        <f t="shared" ca="1" si="17"/>
        <v>64000</v>
      </c>
    </row>
    <row r="579" spans="1:10">
      <c r="A579">
        <v>2026</v>
      </c>
      <c r="B579" t="s">
        <v>803</v>
      </c>
      <c r="C579" t="s">
        <v>715</v>
      </c>
      <c r="D579" t="s">
        <v>103</v>
      </c>
      <c r="E579" s="1">
        <f t="shared" ref="E579" si="18">EOMONTH(DATE(A579, MONTH(1 &amp; C579), 1), 0)</f>
        <v>46387</v>
      </c>
      <c r="F579" t="s">
        <v>248</v>
      </c>
      <c r="G579">
        <v>96000</v>
      </c>
      <c r="H579">
        <v>0</v>
      </c>
      <c r="I579">
        <v>64000</v>
      </c>
      <c r="J579">
        <f t="shared" ref="J579" ca="1" si="19">IF(E579&lt;TODAY(),0,I579)</f>
        <v>64000</v>
      </c>
    </row>
  </sheetData>
  <autoFilter ref="A1:I579" xr:uid="{2410DB04-C2F3-4783-A799-104B3E7A5F7C}"/>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C0E3-CE3B-456D-8546-4FF7262E6F34}">
  <dimension ref="A1:H20"/>
  <sheetViews>
    <sheetView workbookViewId="0">
      <selection activeCell="G21" sqref="G21"/>
    </sheetView>
  </sheetViews>
  <sheetFormatPr defaultRowHeight="14.5"/>
  <cols>
    <col min="4" max="5" width="16.453125" customWidth="1"/>
    <col min="6" max="6" width="22.54296875" bestFit="1" customWidth="1"/>
    <col min="7" max="8" width="30.81640625" customWidth="1"/>
  </cols>
  <sheetData>
    <row r="1" spans="1:8">
      <c r="A1" t="s">
        <v>705</v>
      </c>
      <c r="B1" t="s">
        <v>706</v>
      </c>
      <c r="C1" t="s">
        <v>707</v>
      </c>
      <c r="D1" t="s">
        <v>1355</v>
      </c>
      <c r="E1" t="s">
        <v>1363</v>
      </c>
      <c r="F1" t="s">
        <v>1364</v>
      </c>
      <c r="G1" t="s">
        <v>1365</v>
      </c>
      <c r="H1" t="s">
        <v>1366</v>
      </c>
    </row>
    <row r="2" spans="1:8">
      <c r="A2">
        <v>2025</v>
      </c>
      <c r="B2" t="s">
        <v>1360</v>
      </c>
      <c r="C2" t="s">
        <v>710</v>
      </c>
      <c r="D2" s="1">
        <f t="shared" ref="D2:D19" si="0">EOMONTH(DATE(A2, MONTH(1 &amp; C2), 1), 0)+1</f>
        <v>45870</v>
      </c>
      <c r="E2" s="29">
        <f>SUM(F2:H2)</f>
        <v>359999.99996666668</v>
      </c>
      <c r="F2" s="29">
        <v>66666.666666666672</v>
      </c>
      <c r="G2" s="29">
        <f>600000/6</f>
        <v>100000</v>
      </c>
      <c r="H2" s="29">
        <v>193333.3333</v>
      </c>
    </row>
    <row r="3" spans="1:8">
      <c r="A3">
        <v>2025</v>
      </c>
      <c r="B3" t="s">
        <v>1360</v>
      </c>
      <c r="C3" t="s">
        <v>711</v>
      </c>
      <c r="D3" s="1">
        <f t="shared" si="0"/>
        <v>45901</v>
      </c>
      <c r="E3" s="29">
        <f>SUM(F3:H3)</f>
        <v>359999.99996666668</v>
      </c>
      <c r="F3" s="29">
        <v>66666.666666666672</v>
      </c>
      <c r="G3" s="29">
        <f t="shared" ref="G3:G7" si="1">600000/6</f>
        <v>100000</v>
      </c>
      <c r="H3" s="29">
        <v>193333.3333</v>
      </c>
    </row>
    <row r="4" spans="1:8">
      <c r="A4">
        <v>2025</v>
      </c>
      <c r="B4" t="s">
        <v>1360</v>
      </c>
      <c r="C4" t="s">
        <v>712</v>
      </c>
      <c r="D4" s="1">
        <f t="shared" si="0"/>
        <v>45931</v>
      </c>
      <c r="E4" s="29">
        <f t="shared" ref="E4:E19" si="2">SUM(F4:H4)</f>
        <v>359999.99996666668</v>
      </c>
      <c r="F4" s="29">
        <v>66666.666666666672</v>
      </c>
      <c r="G4" s="29">
        <f t="shared" si="1"/>
        <v>100000</v>
      </c>
      <c r="H4" s="29">
        <v>193333.3333</v>
      </c>
    </row>
    <row r="5" spans="1:8">
      <c r="A5">
        <v>2025</v>
      </c>
      <c r="B5" t="s">
        <v>803</v>
      </c>
      <c r="C5" t="s">
        <v>713</v>
      </c>
      <c r="D5" s="1">
        <f t="shared" si="0"/>
        <v>45962</v>
      </c>
      <c r="E5" s="29">
        <f t="shared" si="2"/>
        <v>359999.99996666668</v>
      </c>
      <c r="F5" s="29">
        <v>66666.666666666672</v>
      </c>
      <c r="G5" s="29">
        <f t="shared" si="1"/>
        <v>100000</v>
      </c>
      <c r="H5" s="29">
        <v>193333.3333</v>
      </c>
    </row>
    <row r="6" spans="1:8">
      <c r="A6">
        <v>2025</v>
      </c>
      <c r="B6" t="s">
        <v>803</v>
      </c>
      <c r="C6" t="s">
        <v>714</v>
      </c>
      <c r="D6" s="1">
        <f t="shared" si="0"/>
        <v>45992</v>
      </c>
      <c r="E6" s="29">
        <f t="shared" si="2"/>
        <v>359999.99996666668</v>
      </c>
      <c r="F6" s="29">
        <v>66666.666666666672</v>
      </c>
      <c r="G6" s="29">
        <f t="shared" si="1"/>
        <v>100000</v>
      </c>
      <c r="H6" s="29">
        <v>193333.3333</v>
      </c>
    </row>
    <row r="7" spans="1:8">
      <c r="A7">
        <v>2025</v>
      </c>
      <c r="B7" t="s">
        <v>803</v>
      </c>
      <c r="C7" t="s">
        <v>715</v>
      </c>
      <c r="D7" s="1">
        <f t="shared" si="0"/>
        <v>46023</v>
      </c>
      <c r="E7" s="29">
        <f t="shared" si="2"/>
        <v>359999.99996666668</v>
      </c>
      <c r="F7" s="29">
        <v>66666.666666666672</v>
      </c>
      <c r="G7" s="29">
        <f t="shared" si="1"/>
        <v>100000</v>
      </c>
      <c r="H7" s="29">
        <v>193333.3333</v>
      </c>
    </row>
    <row r="8" spans="1:8">
      <c r="A8">
        <v>2026</v>
      </c>
      <c r="B8" t="s">
        <v>1361</v>
      </c>
      <c r="C8" t="s">
        <v>716</v>
      </c>
      <c r="D8" s="1">
        <f t="shared" si="0"/>
        <v>46054</v>
      </c>
      <c r="E8" s="29">
        <f t="shared" si="2"/>
        <v>469999.99996666668</v>
      </c>
      <c r="F8" s="29">
        <v>66666.666666666672</v>
      </c>
      <c r="G8" s="29">
        <v>150000</v>
      </c>
      <c r="H8" s="29">
        <v>253333.3333</v>
      </c>
    </row>
    <row r="9" spans="1:8">
      <c r="A9">
        <v>2026</v>
      </c>
      <c r="B9" t="s">
        <v>1361</v>
      </c>
      <c r="C9" t="s">
        <v>717</v>
      </c>
      <c r="D9" s="1">
        <f t="shared" si="0"/>
        <v>46082</v>
      </c>
      <c r="E9" s="29">
        <f t="shared" si="2"/>
        <v>469999.99996666668</v>
      </c>
      <c r="F9" s="29">
        <v>66666.666666666672</v>
      </c>
      <c r="G9" s="29">
        <v>150000</v>
      </c>
      <c r="H9" s="29">
        <v>253333.3333</v>
      </c>
    </row>
    <row r="10" spans="1:8">
      <c r="A10">
        <v>2026</v>
      </c>
      <c r="B10" t="s">
        <v>1361</v>
      </c>
      <c r="C10" t="s">
        <v>718</v>
      </c>
      <c r="D10" s="1">
        <f t="shared" si="0"/>
        <v>46113</v>
      </c>
      <c r="E10" s="29">
        <f t="shared" si="2"/>
        <v>469999.99996666668</v>
      </c>
      <c r="F10" s="29">
        <v>66666.666666666672</v>
      </c>
      <c r="G10" s="29">
        <v>150000</v>
      </c>
      <c r="H10" s="29">
        <v>253333.3333</v>
      </c>
    </row>
    <row r="11" spans="1:8">
      <c r="A11">
        <v>2026</v>
      </c>
      <c r="B11" t="s">
        <v>1362</v>
      </c>
      <c r="C11" t="s">
        <v>719</v>
      </c>
      <c r="D11" s="1">
        <f t="shared" si="0"/>
        <v>46143</v>
      </c>
      <c r="E11" s="29">
        <f t="shared" si="2"/>
        <v>469999.99996666668</v>
      </c>
      <c r="F11" s="29">
        <v>66666.666666666672</v>
      </c>
      <c r="G11" s="29">
        <v>150000</v>
      </c>
      <c r="H11" s="29">
        <v>253333.3333</v>
      </c>
    </row>
    <row r="12" spans="1:8">
      <c r="A12">
        <v>2026</v>
      </c>
      <c r="B12" t="s">
        <v>1362</v>
      </c>
      <c r="C12" t="s">
        <v>720</v>
      </c>
      <c r="D12" s="1">
        <f t="shared" si="0"/>
        <v>46174</v>
      </c>
      <c r="E12" s="29">
        <f t="shared" si="2"/>
        <v>469999.99996666668</v>
      </c>
      <c r="F12" s="29">
        <v>66666.666666666672</v>
      </c>
      <c r="G12" s="29">
        <v>150000</v>
      </c>
      <c r="H12" s="29">
        <v>253333.3333</v>
      </c>
    </row>
    <row r="13" spans="1:8">
      <c r="A13">
        <v>2026</v>
      </c>
      <c r="B13" t="s">
        <v>1362</v>
      </c>
      <c r="C13" t="s">
        <v>721</v>
      </c>
      <c r="D13" s="1">
        <f t="shared" si="0"/>
        <v>46204</v>
      </c>
      <c r="E13" s="29">
        <f t="shared" si="2"/>
        <v>469999.99996666668</v>
      </c>
      <c r="F13" s="29">
        <v>66666.666666666672</v>
      </c>
      <c r="G13" s="29">
        <v>150000</v>
      </c>
      <c r="H13" s="29">
        <v>253333.3333</v>
      </c>
    </row>
    <row r="14" spans="1:8">
      <c r="A14">
        <v>2026</v>
      </c>
      <c r="B14" t="s">
        <v>1360</v>
      </c>
      <c r="C14" t="s">
        <v>710</v>
      </c>
      <c r="D14" s="1">
        <f t="shared" si="0"/>
        <v>46235</v>
      </c>
      <c r="E14" s="29">
        <f t="shared" si="2"/>
        <v>561666.66666666674</v>
      </c>
      <c r="F14" s="29">
        <v>66666.666666666672</v>
      </c>
      <c r="G14" s="29">
        <v>195000</v>
      </c>
      <c r="H14" s="29">
        <v>300000</v>
      </c>
    </row>
    <row r="15" spans="1:8">
      <c r="A15">
        <v>2026</v>
      </c>
      <c r="B15" t="s">
        <v>1360</v>
      </c>
      <c r="C15" t="s">
        <v>711</v>
      </c>
      <c r="D15" s="1">
        <f t="shared" si="0"/>
        <v>46266</v>
      </c>
      <c r="E15" s="29">
        <f t="shared" si="2"/>
        <v>561666.66666666674</v>
      </c>
      <c r="F15" s="29">
        <v>66666.666666666672</v>
      </c>
      <c r="G15" s="29">
        <v>195000</v>
      </c>
      <c r="H15" s="29">
        <v>300000</v>
      </c>
    </row>
    <row r="16" spans="1:8">
      <c r="A16">
        <v>2026</v>
      </c>
      <c r="B16" t="s">
        <v>1360</v>
      </c>
      <c r="C16" t="s">
        <v>712</v>
      </c>
      <c r="D16" s="1">
        <f t="shared" si="0"/>
        <v>46296</v>
      </c>
      <c r="E16" s="29">
        <f t="shared" si="2"/>
        <v>561666.66666666674</v>
      </c>
      <c r="F16" s="29">
        <v>66666.666666666672</v>
      </c>
      <c r="G16" s="29">
        <v>195000</v>
      </c>
      <c r="H16" s="29">
        <v>300000</v>
      </c>
    </row>
    <row r="17" spans="1:8">
      <c r="A17">
        <v>2026</v>
      </c>
      <c r="B17" t="s">
        <v>803</v>
      </c>
      <c r="C17" t="s">
        <v>713</v>
      </c>
      <c r="D17" s="1">
        <f t="shared" si="0"/>
        <v>46327</v>
      </c>
      <c r="E17" s="29">
        <f t="shared" si="2"/>
        <v>561666.66666666674</v>
      </c>
      <c r="F17" s="29">
        <v>66666.666666666672</v>
      </c>
      <c r="G17" s="29">
        <v>195000</v>
      </c>
      <c r="H17" s="29">
        <v>300000</v>
      </c>
    </row>
    <row r="18" spans="1:8">
      <c r="A18">
        <v>2026</v>
      </c>
      <c r="B18" t="s">
        <v>803</v>
      </c>
      <c r="C18" t="s">
        <v>714</v>
      </c>
      <c r="D18" s="1">
        <f t="shared" si="0"/>
        <v>46357</v>
      </c>
      <c r="E18" s="29">
        <f t="shared" si="2"/>
        <v>561666.66666666674</v>
      </c>
      <c r="F18" s="29">
        <v>66666.666666666672</v>
      </c>
      <c r="G18" s="29">
        <v>195000</v>
      </c>
      <c r="H18" s="29">
        <v>300000</v>
      </c>
    </row>
    <row r="19" spans="1:8">
      <c r="A19">
        <v>2026</v>
      </c>
      <c r="B19" t="s">
        <v>803</v>
      </c>
      <c r="C19" t="s">
        <v>715</v>
      </c>
      <c r="D19" s="1">
        <f t="shared" si="0"/>
        <v>46388</v>
      </c>
      <c r="E19" s="29">
        <f t="shared" si="2"/>
        <v>561666.66666666674</v>
      </c>
      <c r="F19" s="29">
        <v>66666.666666666672</v>
      </c>
      <c r="G19" s="29">
        <v>195000</v>
      </c>
      <c r="H19" s="29">
        <v>300000</v>
      </c>
    </row>
    <row r="20" spans="1:8">
      <c r="E20" s="2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7178-A201-440D-87C9-05220C0CA05D}">
  <dimension ref="A1:C35"/>
  <sheetViews>
    <sheetView zoomScale="85" zoomScaleNormal="85" workbookViewId="0">
      <selection activeCell="C2" sqref="C2"/>
    </sheetView>
  </sheetViews>
  <sheetFormatPr defaultColWidth="37" defaultRowHeight="14.5"/>
  <cols>
    <col min="2" max="4" width="8.81640625" customWidth="1"/>
  </cols>
  <sheetData>
    <row r="1" spans="1:3">
      <c r="A1" t="s">
        <v>33</v>
      </c>
      <c r="B1" t="s">
        <v>30</v>
      </c>
      <c r="C1" t="s">
        <v>1367</v>
      </c>
    </row>
    <row r="2" spans="1:3">
      <c r="A2" t="s">
        <v>51</v>
      </c>
      <c r="B2" t="s">
        <v>49</v>
      </c>
      <c r="C2">
        <v>8000</v>
      </c>
    </row>
    <row r="3" spans="1:3">
      <c r="A3" t="s">
        <v>59</v>
      </c>
      <c r="B3" t="s">
        <v>57</v>
      </c>
      <c r="C3">
        <v>7500</v>
      </c>
    </row>
    <row r="4" spans="1:3">
      <c r="A4" t="s">
        <v>63</v>
      </c>
      <c r="B4" t="s">
        <v>57</v>
      </c>
      <c r="C4">
        <v>5000</v>
      </c>
    </row>
    <row r="5" spans="1:3">
      <c r="A5" t="s">
        <v>66</v>
      </c>
      <c r="B5" t="s">
        <v>49</v>
      </c>
      <c r="C5">
        <v>15000</v>
      </c>
    </row>
    <row r="6" spans="1:3">
      <c r="A6" t="s">
        <v>72</v>
      </c>
      <c r="B6" t="s">
        <v>70</v>
      </c>
      <c r="C6">
        <v>11000</v>
      </c>
    </row>
    <row r="7" spans="1:3">
      <c r="A7" t="s">
        <v>76</v>
      </c>
      <c r="B7" t="s">
        <v>70</v>
      </c>
      <c r="C7">
        <v>9000</v>
      </c>
    </row>
    <row r="8" spans="1:3">
      <c r="A8" t="s">
        <v>80</v>
      </c>
      <c r="B8" t="s">
        <v>57</v>
      </c>
      <c r="C8">
        <v>7000</v>
      </c>
    </row>
    <row r="9" spans="1:3">
      <c r="A9" t="s">
        <v>86</v>
      </c>
      <c r="B9" t="s">
        <v>70</v>
      </c>
      <c r="C9">
        <v>6000</v>
      </c>
    </row>
    <row r="10" spans="1:3">
      <c r="A10" t="s">
        <v>99</v>
      </c>
      <c r="B10" t="s">
        <v>49</v>
      </c>
      <c r="C10">
        <v>6000</v>
      </c>
    </row>
    <row r="11" spans="1:3">
      <c r="A11" t="s">
        <v>105</v>
      </c>
      <c r="B11" t="s">
        <v>103</v>
      </c>
      <c r="C11">
        <v>11000</v>
      </c>
    </row>
    <row r="12" spans="1:3">
      <c r="A12" t="s">
        <v>114</v>
      </c>
      <c r="B12" t="s">
        <v>57</v>
      </c>
      <c r="C12">
        <v>5500</v>
      </c>
    </row>
    <row r="13" spans="1:3">
      <c r="A13" t="s">
        <v>121</v>
      </c>
      <c r="B13" t="s">
        <v>103</v>
      </c>
      <c r="C13">
        <v>7000</v>
      </c>
    </row>
    <row r="14" spans="1:3">
      <c r="A14" t="s">
        <v>134</v>
      </c>
      <c r="B14" t="s">
        <v>57</v>
      </c>
      <c r="C14">
        <v>5000</v>
      </c>
    </row>
    <row r="15" spans="1:3">
      <c r="A15" t="s">
        <v>138</v>
      </c>
      <c r="B15" t="s">
        <v>70</v>
      </c>
      <c r="C15">
        <v>12000</v>
      </c>
    </row>
    <row r="16" spans="1:3">
      <c r="A16" t="s">
        <v>142</v>
      </c>
      <c r="B16" t="s">
        <v>49</v>
      </c>
      <c r="C16">
        <v>10000</v>
      </c>
    </row>
    <row r="17" spans="1:3">
      <c r="A17" t="s">
        <v>161</v>
      </c>
      <c r="B17" t="s">
        <v>57</v>
      </c>
      <c r="C17">
        <v>4000</v>
      </c>
    </row>
    <row r="18" spans="1:3">
      <c r="A18" t="s">
        <v>165</v>
      </c>
      <c r="B18" t="s">
        <v>70</v>
      </c>
      <c r="C18">
        <v>20000</v>
      </c>
    </row>
    <row r="19" spans="1:3">
      <c r="A19" t="s">
        <v>172</v>
      </c>
      <c r="B19" t="s">
        <v>70</v>
      </c>
      <c r="C19">
        <v>10000</v>
      </c>
    </row>
    <row r="20" spans="1:3">
      <c r="A20" t="s">
        <v>188</v>
      </c>
      <c r="B20" t="s">
        <v>49</v>
      </c>
      <c r="C20">
        <v>4500</v>
      </c>
    </row>
    <row r="21" spans="1:3">
      <c r="A21" t="s">
        <v>192</v>
      </c>
      <c r="B21" t="s">
        <v>103</v>
      </c>
      <c r="C21">
        <v>14000</v>
      </c>
    </row>
    <row r="22" spans="1:3">
      <c r="A22" t="s">
        <v>200</v>
      </c>
      <c r="B22" t="s">
        <v>57</v>
      </c>
      <c r="C22">
        <v>4500</v>
      </c>
    </row>
    <row r="23" spans="1:3">
      <c r="A23" t="s">
        <v>206</v>
      </c>
      <c r="B23" t="s">
        <v>103</v>
      </c>
      <c r="C23">
        <v>12000</v>
      </c>
    </row>
    <row r="24" spans="1:3">
      <c r="A24" t="s">
        <v>219</v>
      </c>
      <c r="B24" t="s">
        <v>70</v>
      </c>
      <c r="C24">
        <v>13000</v>
      </c>
    </row>
    <row r="25" spans="1:3">
      <c r="A25" t="s">
        <v>228</v>
      </c>
      <c r="B25" t="s">
        <v>103</v>
      </c>
      <c r="C25">
        <v>8000</v>
      </c>
    </row>
    <row r="26" spans="1:3">
      <c r="A26" t="s">
        <v>239</v>
      </c>
      <c r="B26" t="s">
        <v>57</v>
      </c>
      <c r="C26">
        <v>4000</v>
      </c>
    </row>
    <row r="27" spans="1:3">
      <c r="A27" t="s">
        <v>248</v>
      </c>
      <c r="B27" t="s">
        <v>103</v>
      </c>
      <c r="C27">
        <v>16000</v>
      </c>
    </row>
    <row r="28" spans="1:3">
      <c r="A28" t="s">
        <v>251</v>
      </c>
      <c r="B28" t="s">
        <v>49</v>
      </c>
      <c r="C28">
        <v>9000</v>
      </c>
    </row>
    <row r="29" spans="1:3">
      <c r="A29" t="s">
        <v>261</v>
      </c>
      <c r="B29" t="s">
        <v>103</v>
      </c>
      <c r="C29">
        <v>10000</v>
      </c>
    </row>
    <row r="30" spans="1:3">
      <c r="A30" t="s">
        <v>273</v>
      </c>
      <c r="B30" t="s">
        <v>57</v>
      </c>
      <c r="C30">
        <v>10000</v>
      </c>
    </row>
    <row r="31" spans="1:3">
      <c r="A31" t="s">
        <v>289</v>
      </c>
      <c r="B31" t="s">
        <v>70</v>
      </c>
      <c r="C31">
        <v>15000</v>
      </c>
    </row>
    <row r="32" spans="1:3">
      <c r="A32" t="s">
        <v>300</v>
      </c>
      <c r="B32" t="s">
        <v>103</v>
      </c>
      <c r="C32">
        <v>13000</v>
      </c>
    </row>
    <row r="33" spans="1:3">
      <c r="A33" t="s">
        <v>340</v>
      </c>
      <c r="B33" t="s">
        <v>57</v>
      </c>
      <c r="C33">
        <v>4500</v>
      </c>
    </row>
    <row r="34" spans="1:3">
      <c r="A34" t="s">
        <v>346</v>
      </c>
      <c r="B34" t="s">
        <v>70</v>
      </c>
      <c r="C34">
        <v>8000</v>
      </c>
    </row>
    <row r="35" spans="1:3">
      <c r="A35" t="s">
        <v>490</v>
      </c>
      <c r="B35" t="s">
        <v>57</v>
      </c>
      <c r="C35">
        <v>5500</v>
      </c>
    </row>
  </sheetData>
  <autoFilter ref="A1:B196" xr:uid="{1F117178-A201-440D-87C9-05220C0CA05D}"/>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E759A-C944-4C81-BCF8-12318777311C}">
  <dimension ref="A1:Q10"/>
  <sheetViews>
    <sheetView workbookViewId="0">
      <selection activeCell="D2" sqref="D2"/>
    </sheetView>
  </sheetViews>
  <sheetFormatPr defaultRowHeight="14.5"/>
  <cols>
    <col min="1" max="1" width="9.81640625" bestFit="1" customWidth="1"/>
    <col min="2" max="2" width="6.81640625" bestFit="1" customWidth="1"/>
    <col min="3" max="3" width="9.54296875" bestFit="1" customWidth="1"/>
    <col min="4" max="4" width="11.81640625" style="1" customWidth="1"/>
    <col min="5" max="5" width="17.26953125" bestFit="1" customWidth="1"/>
    <col min="6" max="6" width="23.1796875" bestFit="1" customWidth="1"/>
    <col min="7" max="7" width="21.1796875" bestFit="1" customWidth="1"/>
    <col min="8" max="8" width="24.54296875" bestFit="1" customWidth="1"/>
    <col min="9" max="9" width="15.26953125" bestFit="1" customWidth="1"/>
    <col min="10" max="10" width="15.26953125" customWidth="1"/>
    <col min="11" max="12" width="25.54296875" bestFit="1" customWidth="1"/>
    <col min="13" max="13" width="26" bestFit="1" customWidth="1"/>
  </cols>
  <sheetData>
    <row r="1" spans="1:17">
      <c r="A1" t="s">
        <v>707</v>
      </c>
      <c r="B1" t="s">
        <v>705</v>
      </c>
      <c r="C1" t="s">
        <v>706</v>
      </c>
      <c r="D1" s="1" t="s">
        <v>1368</v>
      </c>
      <c r="E1" t="s">
        <v>1369</v>
      </c>
      <c r="F1" t="s">
        <v>1370</v>
      </c>
      <c r="G1" t="s">
        <v>1371</v>
      </c>
      <c r="H1" t="s">
        <v>1372</v>
      </c>
      <c r="I1" t="s">
        <v>1373</v>
      </c>
      <c r="J1" t="s">
        <v>1374</v>
      </c>
      <c r="K1" t="s">
        <v>1375</v>
      </c>
      <c r="L1" t="s">
        <v>1376</v>
      </c>
      <c r="M1" t="s">
        <v>1377</v>
      </c>
      <c r="N1" t="s">
        <v>749</v>
      </c>
      <c r="O1" t="s">
        <v>1378</v>
      </c>
      <c r="P1" t="s">
        <v>1379</v>
      </c>
      <c r="Q1" t="s">
        <v>1380</v>
      </c>
    </row>
    <row r="2" spans="1:17">
      <c r="A2" s="21" t="s">
        <v>710</v>
      </c>
      <c r="B2" s="22">
        <v>2025</v>
      </c>
      <c r="C2" s="22" t="s">
        <v>1360</v>
      </c>
      <c r="D2" s="1">
        <f>EOMONTH(DATE(B2, MONTH(1 &amp; A2), 1), 0)</f>
        <v>45869</v>
      </c>
      <c r="E2">
        <v>0.92</v>
      </c>
      <c r="F2">
        <v>0.95</v>
      </c>
      <c r="G2">
        <v>5</v>
      </c>
      <c r="H2">
        <v>2</v>
      </c>
      <c r="I2">
        <v>18</v>
      </c>
      <c r="J2">
        <f t="shared" ref="J2:J10" si="0">I2/2</f>
        <v>9</v>
      </c>
      <c r="K2">
        <v>4</v>
      </c>
      <c r="L2">
        <v>2</v>
      </c>
      <c r="M2">
        <v>0.61</v>
      </c>
      <c r="N2">
        <v>7</v>
      </c>
      <c r="O2">
        <v>0.92</v>
      </c>
      <c r="P2">
        <v>29</v>
      </c>
      <c r="Q2" s="27">
        <v>8.6406534099021783</v>
      </c>
    </row>
    <row r="3" spans="1:17">
      <c r="A3" s="21" t="s">
        <v>711</v>
      </c>
      <c r="B3" s="22">
        <v>2025</v>
      </c>
      <c r="C3" s="22" t="s">
        <v>1360</v>
      </c>
      <c r="D3" s="1">
        <f t="shared" ref="D3:D10" si="1">EOMONTH(DATE(B3, MONTH(1 &amp; A3), 1), 0)</f>
        <v>45900</v>
      </c>
      <c r="E3">
        <v>0.92</v>
      </c>
      <c r="F3">
        <v>0.93</v>
      </c>
      <c r="G3">
        <v>6</v>
      </c>
      <c r="H3">
        <v>1</v>
      </c>
      <c r="I3">
        <f>18</f>
        <v>18</v>
      </c>
      <c r="J3">
        <f t="shared" si="0"/>
        <v>9</v>
      </c>
      <c r="K3">
        <v>4</v>
      </c>
      <c r="L3">
        <v>2</v>
      </c>
      <c r="M3">
        <v>0.61</v>
      </c>
      <c r="N3">
        <v>8</v>
      </c>
      <c r="O3">
        <v>0.82</v>
      </c>
      <c r="P3">
        <v>30</v>
      </c>
      <c r="Q3" s="27">
        <v>9.2155386699083639</v>
      </c>
    </row>
    <row r="4" spans="1:17">
      <c r="A4" s="21" t="s">
        <v>712</v>
      </c>
      <c r="B4" s="22">
        <v>2025</v>
      </c>
      <c r="C4" s="22" t="s">
        <v>1360</v>
      </c>
      <c r="D4" s="1">
        <f t="shared" si="1"/>
        <v>45930</v>
      </c>
      <c r="E4">
        <v>0.92</v>
      </c>
      <c r="F4">
        <v>0.94</v>
      </c>
      <c r="G4">
        <v>9</v>
      </c>
      <c r="H4">
        <v>3</v>
      </c>
      <c r="I4">
        <v>20</v>
      </c>
      <c r="J4">
        <f t="shared" si="0"/>
        <v>10</v>
      </c>
      <c r="K4">
        <v>5</v>
      </c>
      <c r="L4">
        <v>2</v>
      </c>
      <c r="M4">
        <v>0.61</v>
      </c>
      <c r="N4">
        <v>9</v>
      </c>
      <c r="O4">
        <v>0.92</v>
      </c>
      <c r="P4">
        <v>29</v>
      </c>
      <c r="Q4" s="27">
        <v>8.5659834554547718</v>
      </c>
    </row>
    <row r="5" spans="1:17">
      <c r="A5" s="21" t="s">
        <v>713</v>
      </c>
      <c r="B5" s="22">
        <v>2025</v>
      </c>
      <c r="C5" s="22" t="s">
        <v>803</v>
      </c>
      <c r="D5" s="1">
        <f t="shared" si="1"/>
        <v>45961</v>
      </c>
      <c r="E5">
        <v>0.95</v>
      </c>
      <c r="F5">
        <v>0.97</v>
      </c>
      <c r="G5">
        <v>5</v>
      </c>
      <c r="H5">
        <v>5</v>
      </c>
      <c r="I5">
        <v>22</v>
      </c>
      <c r="J5">
        <f t="shared" si="0"/>
        <v>11</v>
      </c>
      <c r="K5">
        <v>4</v>
      </c>
      <c r="L5">
        <v>2</v>
      </c>
      <c r="M5">
        <v>0.68</v>
      </c>
      <c r="N5">
        <v>10</v>
      </c>
      <c r="O5">
        <v>0.95</v>
      </c>
      <c r="P5">
        <v>26</v>
      </c>
      <c r="Q5" s="27">
        <v>9.9603728278771051</v>
      </c>
    </row>
    <row r="6" spans="1:17">
      <c r="A6" s="21" t="s">
        <v>714</v>
      </c>
      <c r="B6" s="22">
        <v>2025</v>
      </c>
      <c r="C6" s="22" t="s">
        <v>803</v>
      </c>
      <c r="D6" s="1">
        <f t="shared" si="1"/>
        <v>45991</v>
      </c>
      <c r="E6">
        <v>0.95</v>
      </c>
      <c r="F6">
        <v>0.96</v>
      </c>
      <c r="G6">
        <v>4</v>
      </c>
      <c r="H6">
        <v>5</v>
      </c>
      <c r="I6">
        <v>22</v>
      </c>
      <c r="J6">
        <f t="shared" si="0"/>
        <v>11</v>
      </c>
      <c r="K6">
        <v>4</v>
      </c>
      <c r="L6">
        <v>2</v>
      </c>
      <c r="M6">
        <v>0.68</v>
      </c>
      <c r="N6">
        <v>11</v>
      </c>
      <c r="O6">
        <v>0.95</v>
      </c>
      <c r="P6">
        <v>42</v>
      </c>
      <c r="Q6" s="27">
        <v>9.7458210631672113</v>
      </c>
    </row>
    <row r="7" spans="1:17">
      <c r="A7" s="21" t="s">
        <v>715</v>
      </c>
      <c r="B7" s="22">
        <v>2025</v>
      </c>
      <c r="C7" s="22" t="s">
        <v>803</v>
      </c>
      <c r="D7" s="1">
        <f t="shared" si="1"/>
        <v>46022</v>
      </c>
      <c r="E7">
        <v>0.95</v>
      </c>
      <c r="F7">
        <v>0.97</v>
      </c>
      <c r="G7">
        <v>2</v>
      </c>
      <c r="H7">
        <v>3</v>
      </c>
      <c r="I7">
        <v>24</v>
      </c>
      <c r="J7">
        <f t="shared" si="0"/>
        <v>12</v>
      </c>
      <c r="K7">
        <v>3</v>
      </c>
      <c r="L7">
        <v>2</v>
      </c>
      <c r="M7">
        <v>0.68</v>
      </c>
      <c r="N7">
        <v>12</v>
      </c>
      <c r="O7">
        <v>0.75</v>
      </c>
      <c r="P7">
        <v>32</v>
      </c>
      <c r="Q7" s="27">
        <v>9.5096110446694411</v>
      </c>
    </row>
    <row r="8" spans="1:17">
      <c r="A8" s="21" t="s">
        <v>716</v>
      </c>
      <c r="B8" s="22">
        <v>2026</v>
      </c>
      <c r="C8" s="22" t="s">
        <v>1361</v>
      </c>
      <c r="D8" s="1">
        <f t="shared" si="1"/>
        <v>46053</v>
      </c>
      <c r="E8">
        <v>0.97</v>
      </c>
      <c r="F8">
        <v>0.98</v>
      </c>
      <c r="G8">
        <v>1</v>
      </c>
      <c r="H8">
        <v>0</v>
      </c>
      <c r="I8">
        <v>26</v>
      </c>
      <c r="J8">
        <f t="shared" si="0"/>
        <v>13</v>
      </c>
      <c r="K8">
        <v>4</v>
      </c>
      <c r="L8">
        <v>1</v>
      </c>
      <c r="M8">
        <v>0.7</v>
      </c>
      <c r="N8">
        <v>1</v>
      </c>
      <c r="O8">
        <v>0.87</v>
      </c>
      <c r="P8">
        <v>32</v>
      </c>
      <c r="Q8" s="27">
        <v>8.5559478675250986</v>
      </c>
    </row>
    <row r="9" spans="1:17">
      <c r="A9" s="21" t="s">
        <v>717</v>
      </c>
      <c r="B9" s="22">
        <v>2026</v>
      </c>
      <c r="C9" s="22" t="s">
        <v>1361</v>
      </c>
      <c r="D9" s="1">
        <f t="shared" si="1"/>
        <v>46081</v>
      </c>
      <c r="E9">
        <v>0.97</v>
      </c>
      <c r="F9">
        <v>0.99</v>
      </c>
      <c r="G9">
        <v>2</v>
      </c>
      <c r="H9">
        <v>1</v>
      </c>
      <c r="I9">
        <v>28</v>
      </c>
      <c r="J9">
        <f t="shared" si="0"/>
        <v>14</v>
      </c>
      <c r="K9">
        <v>2</v>
      </c>
      <c r="L9">
        <v>1</v>
      </c>
      <c r="M9">
        <v>0.7</v>
      </c>
      <c r="N9">
        <v>2</v>
      </c>
      <c r="O9">
        <v>0.97</v>
      </c>
      <c r="P9">
        <v>30</v>
      </c>
      <c r="Q9" s="27">
        <v>9.6686341106504727</v>
      </c>
    </row>
    <row r="10" spans="1:17">
      <c r="A10" s="21" t="s">
        <v>718</v>
      </c>
      <c r="B10" s="22">
        <v>2026</v>
      </c>
      <c r="C10" s="22" t="s">
        <v>1361</v>
      </c>
      <c r="D10" s="1">
        <f t="shared" si="1"/>
        <v>46112</v>
      </c>
      <c r="E10">
        <v>0.97</v>
      </c>
      <c r="F10">
        <v>0.98</v>
      </c>
      <c r="G10">
        <v>3</v>
      </c>
      <c r="H10">
        <v>1</v>
      </c>
      <c r="I10">
        <v>30</v>
      </c>
      <c r="J10">
        <f t="shared" si="0"/>
        <v>15</v>
      </c>
      <c r="K10">
        <v>3</v>
      </c>
      <c r="L10">
        <v>1</v>
      </c>
      <c r="M10">
        <v>0.7</v>
      </c>
      <c r="N10">
        <v>3</v>
      </c>
      <c r="O10">
        <v>0.97</v>
      </c>
      <c r="P10">
        <v>28</v>
      </c>
      <c r="Q10" s="27">
        <v>9.6408554990605388</v>
      </c>
    </row>
  </sheetData>
  <autoFilter ref="A1:K10" xr:uid="{161E759A-C944-4C81-BCF8-12318777311C}"/>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B70D-5603-4A0F-B453-38DFDFC38CF0}">
  <dimension ref="A1:A14"/>
  <sheetViews>
    <sheetView workbookViewId="0">
      <selection activeCell="I18" sqref="I18"/>
    </sheetView>
  </sheetViews>
  <sheetFormatPr defaultRowHeight="14.5"/>
  <sheetData>
    <row r="1" spans="1:1">
      <c r="A1" s="19" t="s">
        <v>1381</v>
      </c>
    </row>
    <row r="2" spans="1:1">
      <c r="A2" s="20" t="s">
        <v>1382</v>
      </c>
    </row>
    <row r="3" spans="1:1">
      <c r="A3" s="20" t="s">
        <v>1383</v>
      </c>
    </row>
    <row r="4" spans="1:1">
      <c r="A4" s="20" t="s">
        <v>1384</v>
      </c>
    </row>
    <row r="6" spans="1:1">
      <c r="A6" t="s">
        <v>1385</v>
      </c>
    </row>
    <row r="7" spans="1:1">
      <c r="A7" t="s">
        <v>1386</v>
      </c>
    </row>
    <row r="8" spans="1:1">
      <c r="A8" t="s">
        <v>1387</v>
      </c>
    </row>
    <row r="9" spans="1:1">
      <c r="A9" t="s">
        <v>1388</v>
      </c>
    </row>
    <row r="10" spans="1:1">
      <c r="A10" t="s">
        <v>1389</v>
      </c>
    </row>
    <row r="11" spans="1:1">
      <c r="A11" t="s">
        <v>1390</v>
      </c>
    </row>
    <row r="12" spans="1:1">
      <c r="A12" t="s">
        <v>1391</v>
      </c>
    </row>
    <row r="13" spans="1:1">
      <c r="A13" t="s">
        <v>1392</v>
      </c>
    </row>
    <row r="14" spans="1:1">
      <c r="A14" t="s">
        <v>1385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D44D66494127498BC27E96595AF8FF" ma:contentTypeVersion="9" ma:contentTypeDescription="Create a new document." ma:contentTypeScope="" ma:versionID="392136898c77b1e72af8ec83586e43c9">
  <xsd:schema xmlns:xsd="http://www.w3.org/2001/XMLSchema" xmlns:xs="http://www.w3.org/2001/XMLSchema" xmlns:p="http://schemas.microsoft.com/office/2006/metadata/properties" xmlns:ns2="09a8d391-601d-4ce3-a57e-4953ad5da32c" targetNamespace="http://schemas.microsoft.com/office/2006/metadata/properties" ma:root="true" ma:fieldsID="0a270aa561d93bd3ae06f1fb8713e58a" ns2:_="">
    <xsd:import namespace="09a8d391-601d-4ce3-a57e-4953ad5da32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a8d391-601d-4ce3-a57e-4953ad5da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4F189D-590F-4F68-B84F-047B775DC3F5}">
  <ds:schemaRef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09a8d391-601d-4ce3-a57e-4953ad5da32c"/>
    <ds:schemaRef ds:uri="http://schemas.microsoft.com/office/infopath/2007/PartnerControl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6E96B309-761C-4495-B7EF-AC7A87A25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a8d391-601d-4ce3-a57e-4953ad5da3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020D78-1C78-40A2-BADB-DD3979AE42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Raw Data</vt:lpstr>
      <vt:lpstr>Raw Data Final</vt:lpstr>
      <vt:lpstr>Roles</vt:lpstr>
      <vt:lpstr>Teams</vt:lpstr>
      <vt:lpstr>Streams</vt:lpstr>
      <vt:lpstr>Planned Demand</vt:lpstr>
      <vt:lpstr>Talent Data</vt:lpstr>
      <vt:lpstr>Top Skills</vt:lpstr>
      <vt:lpstr>Health</vt:lpstr>
      <vt:lpstr>Program Data</vt:lpstr>
      <vt:lpstr>Program Deep Dive</vt:lpstr>
      <vt:lpstr>Financial Forecast</vt:lpstr>
      <vt:lpstr>Fixed Spend</vt:lpstr>
      <vt:lpstr>Rolewise - RateCard</vt:lpstr>
      <vt:lpstr>PM Dash</vt:lpstr>
      <vt:lpstr>Theme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Agarwal, Subham</dc:creator>
  <cp:keywords/>
  <dc:description/>
  <cp:lastModifiedBy>Agarwal, Subham</cp:lastModifiedBy>
  <cp:revision/>
  <dcterms:created xsi:type="dcterms:W3CDTF">2015-06-05T18:17:20Z</dcterms:created>
  <dcterms:modified xsi:type="dcterms:W3CDTF">2026-03-03T12:52:48Z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0x0101005ED44D66494127498BC27E96595AF8FF</vt:lpwstr>
  </property>
</Properties>
</file>